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568ABA4E-6DE2-489A-BA0B-E3E919402B47}" xr6:coauthVersionLast="47" xr6:coauthVersionMax="47" xr10:uidLastSave="{00000000-0000-0000-0000-000000000000}"/>
  <bookViews>
    <workbookView xWindow="-120" yWindow="-120" windowWidth="20730" windowHeight="11040" tabRatio="500" firstSheet="5" activeTab="7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BS_Consolidated!$A$1:$C$52</definedName>
    <definedName name="_xlnm._FilterDatabase" localSheetId="5" hidden="1">CFS_Consolidated!$A$1:$C$66</definedName>
    <definedName name="_xlnm._FilterDatabase" localSheetId="4" hidden="1">CFS_Standalone!$A$1:$C$66</definedName>
    <definedName name="_xlnm._FilterDatabase" localSheetId="1" hidden="1">'P&amp;L_Consolidated'!$A$1:$C$43</definedName>
    <definedName name="_xlnm._FilterDatabase" localSheetId="0" hidden="1">'P&amp;L_Standalone'!$A$1:$C$42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6" l="1"/>
  <c r="C3" i="6"/>
  <c r="B4" i="6"/>
  <c r="B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B13" i="6"/>
  <c r="C13" i="6"/>
  <c r="B14" i="6"/>
  <c r="C14" i="6"/>
  <c r="B15" i="6"/>
  <c r="C15" i="6"/>
  <c r="B16" i="6"/>
  <c r="C16" i="6"/>
  <c r="B18" i="6"/>
  <c r="C18" i="6"/>
  <c r="B19" i="6"/>
  <c r="B20" i="6"/>
  <c r="C20" i="6"/>
  <c r="B21" i="6"/>
  <c r="C21" i="6"/>
  <c r="B22" i="6"/>
  <c r="C22" i="6"/>
  <c r="B23" i="6"/>
  <c r="C23" i="6"/>
  <c r="B26" i="6"/>
  <c r="C26" i="6"/>
  <c r="B27" i="6"/>
  <c r="C27" i="6"/>
  <c r="B28" i="6"/>
  <c r="C28" i="6"/>
  <c r="B29" i="6"/>
  <c r="C29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B39" i="6"/>
  <c r="C39" i="6"/>
  <c r="B40" i="6"/>
  <c r="B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4" i="6"/>
  <c r="B55" i="6"/>
  <c r="C55" i="6"/>
  <c r="B56" i="6"/>
  <c r="C56" i="6"/>
  <c r="B57" i="6"/>
  <c r="B58" i="6"/>
  <c r="C58" i="6"/>
  <c r="B59" i="6"/>
  <c r="C59" i="6"/>
  <c r="B60" i="6"/>
  <c r="C60" i="6"/>
  <c r="B61" i="6"/>
  <c r="C61" i="6"/>
  <c r="B63" i="6"/>
  <c r="C63" i="6"/>
  <c r="B64" i="6"/>
  <c r="C64" i="6"/>
  <c r="B65" i="6"/>
  <c r="C65" i="6"/>
  <c r="B2" i="6"/>
  <c r="B3" i="4"/>
  <c r="C3" i="4"/>
  <c r="B4" i="4"/>
  <c r="C4" i="4"/>
  <c r="B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5" i="4"/>
  <c r="C15" i="4"/>
  <c r="B16" i="4"/>
  <c r="B17" i="4"/>
  <c r="C17" i="4"/>
  <c r="B18" i="4"/>
  <c r="C18" i="4"/>
  <c r="B22" i="4"/>
  <c r="B23" i="4"/>
  <c r="C23" i="4"/>
  <c r="B24" i="4"/>
  <c r="C24" i="4"/>
  <c r="B25" i="4"/>
  <c r="C25" i="4"/>
  <c r="B26" i="4"/>
  <c r="C26" i="4"/>
  <c r="B29" i="4"/>
  <c r="C29" i="4"/>
  <c r="B31" i="4"/>
  <c r="C31" i="4"/>
  <c r="B32" i="4"/>
  <c r="C32" i="4"/>
  <c r="C2" i="4"/>
  <c r="B2" i="4"/>
</calcChain>
</file>

<file path=xl/sharedStrings.xml><?xml version="1.0" encoding="utf-8"?>
<sst xmlns="http://schemas.openxmlformats.org/spreadsheetml/2006/main" count="567" uniqueCount="248">
  <si>
    <t>Revenue from Operation</t>
  </si>
  <si>
    <t>Other Income</t>
  </si>
  <si>
    <t>Total Income</t>
  </si>
  <si>
    <t>Expenses</t>
  </si>
  <si>
    <t>Purchase of Stock in Trade</t>
  </si>
  <si>
    <t>Employee benefit expenses</t>
  </si>
  <si>
    <t>Finance Cost</t>
  </si>
  <si>
    <t>Depreciation and Amortisation Expenses</t>
  </si>
  <si>
    <t>Other Expenditure</t>
  </si>
  <si>
    <t>Total Expenses</t>
  </si>
  <si>
    <t>Profit/ (loss) before exceptional Item &amp; Tax</t>
  </si>
  <si>
    <t>Exceptional Items</t>
  </si>
  <si>
    <t>Profit before tax</t>
  </si>
  <si>
    <t>Tax expense</t>
  </si>
  <si>
    <t>Current tax</t>
  </si>
  <si>
    <t>Deffered tax</t>
  </si>
  <si>
    <t>Profit/ (loss) for the period</t>
  </si>
  <si>
    <t>Other Comprehensive Income</t>
  </si>
  <si>
    <t>Items that will not be reclassified to profit or (loss)</t>
  </si>
  <si>
    <t>Income tax relating to items that will not be reclassified to profit or (loss)</t>
  </si>
  <si>
    <t>Items that will be reclassified to profit or (loss)</t>
  </si>
  <si>
    <t>Income tax relating to items that will be reclassified to profit or (loss)</t>
  </si>
  <si>
    <t>Total</t>
  </si>
  <si>
    <t>Total Comprehsive income for the period</t>
  </si>
  <si>
    <t>Paid up Equity share value Capital (Face Value Rs 2/-)</t>
  </si>
  <si>
    <t>Earning per Equity Share of Rs2/- Each :</t>
  </si>
  <si>
    <t>Basic EPS</t>
  </si>
  <si>
    <t>Diluted EPS</t>
  </si>
  <si>
    <t>PART  II (Select Information for the Quarter Ended 30TH SEPT., 2020</t>
  </si>
  <si>
    <t>PARTICULARS OF SHAREHOLDING</t>
  </si>
  <si>
    <t>Public Shareholding</t>
  </si>
  <si>
    <t>Number of Shares</t>
  </si>
  <si>
    <t>Percentage of shareholding</t>
  </si>
  <si>
    <t>Promoter and promoter group shareholding</t>
  </si>
  <si>
    <t>Pledged/Encumbered</t>
  </si>
  <si>
    <t>Percentage of Shares (as total shareholding of promoter and promoter group)</t>
  </si>
  <si>
    <t>Percentage of shares (as a % of the total share capital of the company)</t>
  </si>
  <si>
    <t>ASSETS</t>
  </si>
  <si>
    <t>Non - Current Assets</t>
  </si>
  <si>
    <t>Property, plant and equipment</t>
  </si>
  <si>
    <t>Capital Work In Progress</t>
  </si>
  <si>
    <t>Intangible assets</t>
  </si>
  <si>
    <t>Intangible assets under development</t>
  </si>
  <si>
    <t>Investments</t>
  </si>
  <si>
    <t>Trade Receivable</t>
  </si>
  <si>
    <t>Loans</t>
  </si>
  <si>
    <t>Other Financial Assets</t>
  </si>
  <si>
    <t>Income tax assets (net)</t>
  </si>
  <si>
    <t>Other non-current assets</t>
  </si>
  <si>
    <t>Subtotal - Non-Current Assets</t>
  </si>
  <si>
    <t>Current Asstes</t>
  </si>
  <si>
    <t>Financial assets</t>
  </si>
  <si>
    <t>Trade Receivables</t>
  </si>
  <si>
    <t>Cash and cash equivalents</t>
  </si>
  <si>
    <t>Bank balances other that above</t>
  </si>
  <si>
    <t>Others</t>
  </si>
  <si>
    <t>Current Tax Assets (Net)</t>
  </si>
  <si>
    <t>Other Current Assets</t>
  </si>
  <si>
    <t>Total -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</si>
  <si>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</si>
  <si>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</si>
  <si>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</si>
  <si>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</si>
  <si>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</si>
  <si>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</si>
  <si>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</si>
  <si>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 - Current Liabilities</t>
  </si>
  <si>
    <t>Financial Liability</t>
  </si>
  <si>
    <t>Borrowings</t>
  </si>
  <si>
    <t>Other Financial Liability</t>
  </si>
  <si>
    <t>Provisions</t>
  </si>
  <si>
    <t>Deferred Tax Liabilities (Net)</t>
  </si>
  <si>
    <t>Other Non-current liablitiesFinancial Liability</t>
  </si>
  <si>
    <t>Total - Non - Current Liabilities</t>
  </si>
  <si>
    <t>Current Liabilities</t>
  </si>
  <si>
    <t>Financial Liabilities</t>
  </si>
  <si>
    <t>Trade Payables</t>
  </si>
  <si>
    <t>Total Outstanding dues of micro and small enterprises</t>
  </si>
  <si>
    <t>Total Outstanding dues of Creditores other than micro and small enterprises</t>
  </si>
  <si>
    <t>Other Current Liabilities</t>
  </si>
  <si>
    <t>Current Tax Liabilities (Net)</t>
  </si>
  <si>
    <t>Total - Current Liabilities</t>
  </si>
  <si>
    <t>Total Equity &amp; Liabilities</t>
  </si>
  <si>
    <t>CASH FLOW FROM OPERATING ACTIVITIES</t>
  </si>
  <si>
    <t>Adjustments for:</t>
  </si>
  <si>
    <t>Add:</t>
  </si>
  <si>
    <t>Depreciation &amp; ammortisation expenses</t>
  </si>
  <si>
    <t>Finance costs</t>
  </si>
  <si>
    <t>Loss on disposal of property,plant&amp; equipment</t>
  </si>
  <si>
    <t>Loss on sale of Investments</t>
  </si>
  <si>
    <t>Loss on Written of Assets</t>
  </si>
  <si>
    <t>Provirion for dimunetion in the value of investments</t>
  </si>
  <si>
    <t>Less:</t>
  </si>
  <si>
    <t>Dividend received</t>
  </si>
  <si>
    <t>Interest income from financial assets measured at ammortised costs</t>
  </si>
  <si>
    <t>Gain on disposal of equity instruments measured at cost</t>
  </si>
  <si>
    <t>Gain on disposal of property plant &amp; equipment</t>
  </si>
  <si>
    <t>Provision for dimunetion in the value of investments</t>
  </si>
  <si>
    <t>Operating profit before change in operating assets &amp; liabilities</t>
  </si>
  <si>
    <t>(Increase)/decrease in inventories</t>
  </si>
  <si>
    <t>(Increase)/decrease in non current trade receivable</t>
  </si>
  <si>
    <t>(Increase)/decrease in other financial assets</t>
  </si>
  <si>
    <t>(Increase)/decrease in other assets</t>
  </si>
  <si>
    <t>(Increase)/decrease in NonCurrent loans &amp; advances</t>
  </si>
  <si>
    <t>(Increase)/decrease in NonCurrent Assets</t>
  </si>
  <si>
    <t>Increase/(decrease) in current trade receivable</t>
  </si>
  <si>
    <t>Increase/(decrease) in other current financial assests</t>
  </si>
  <si>
    <t>Increase/(decrease) in current tax assets</t>
  </si>
  <si>
    <t>Increase/(decrease) in other assets</t>
  </si>
  <si>
    <t>Increase/(decrease) in other noncurrent Liabilities</t>
  </si>
  <si>
    <t>Increase/(decrease) in non-current loans</t>
  </si>
  <si>
    <t>Increase/(decrease) in Current Liabities</t>
  </si>
  <si>
    <t>Increase/(decrease) in trade payables</t>
  </si>
  <si>
    <t>Increase/(decrease) in other current Financial Assets</t>
  </si>
  <si>
    <t>Increase/(decrease) in other current assests</t>
  </si>
  <si>
    <t>Increase/(decrease) in other current liabilities</t>
  </si>
  <si>
    <t>Cash generated from operations</t>
  </si>
  <si>
    <t>Income tax paid(net of refund)</t>
  </si>
  <si>
    <t>Net cash flow from operating activities</t>
  </si>
  <si>
    <t>CASH FLOW FROM INVESTING ACTIVITIES</t>
  </si>
  <si>
    <t>Payment to acquire property,plant &amp; equipments</t>
  </si>
  <si>
    <t>Proceeds from disposal of equity instruments measured at FVOCI</t>
  </si>
  <si>
    <t>Sale of Investments</t>
  </si>
  <si>
    <t>Purchase of Investments</t>
  </si>
  <si>
    <t>Proceeds from redemption of Preferance shares measured at FVPL</t>
  </si>
  <si>
    <t>Sale of Fixed Assets</t>
  </si>
  <si>
    <t>Repayments/(Disbursement) of loans given</t>
  </si>
  <si>
    <t>Proceeds from disposal of propertyplant &amp; equipments</t>
  </si>
  <si>
    <t>Purchase of Fixed Deposit</t>
  </si>
  <si>
    <t>Interest received on financial assets measured at ammortised cost</t>
  </si>
  <si>
    <t>CASH FLOW FROM FINANCING ACTIVITIES</t>
  </si>
  <si>
    <t>Repayments of term loans/non-current borrowings</t>
  </si>
  <si>
    <t>Disbursement/ (Repayments) of working capital loans/current borrowings</t>
  </si>
  <si>
    <t>Total disbursement/(repayments) of working capital loans/current borrowings</t>
  </si>
  <si>
    <t>Interest paid</t>
  </si>
  <si>
    <t>Dividend on Equity shares(including dividend distribution tax)</t>
  </si>
  <si>
    <t>Purchase of equity instruments measured at cost</t>
  </si>
  <si>
    <t>Proceeds from disposal of equity instruments measured at cost</t>
  </si>
  <si>
    <t>Net increase/(decrease) in cash &amp; cash equivalents</t>
  </si>
  <si>
    <t>Cash &amp; cash equivalents at the beginning of the financial year</t>
  </si>
  <si>
    <t>Cash &amp; cash equivalents at the end of the financial year</t>
  </si>
  <si>
    <t>Change in Cash &amp; cash equivalents during the year</t>
  </si>
  <si>
    <t>Shares of Profit/(Loss) of associates</t>
  </si>
  <si>
    <t>Percentage of shares (as a % of the total share capital of the of company)</t>
  </si>
  <si>
    <t>Other Financial Liabilities</t>
  </si>
  <si>
    <t>Provision for dimunetion in the value of investments profit/(loss) from Associates</t>
  </si>
  <si>
    <t>(Increase)/decrease in Non-Current loans &amp; advances</t>
  </si>
  <si>
    <t>(Increase)/decrease in Non-Current Assets</t>
  </si>
  <si>
    <t>Increase/(decrease) in other non-current Liabilities</t>
  </si>
  <si>
    <t xml:space="preserve">Particulars </t>
  </si>
  <si>
    <t>Cogencis Field</t>
  </si>
  <si>
    <t>Field id</t>
  </si>
  <si>
    <t>Gross Sales/Income from Operations</t>
  </si>
  <si>
    <t>Lable</t>
  </si>
  <si>
    <t>Purchase of Stock-in-Trade</t>
  </si>
  <si>
    <t>Employee Benefit Expense</t>
  </si>
  <si>
    <t>Finance Costs</t>
  </si>
  <si>
    <t>Other Expenses</t>
  </si>
  <si>
    <t>Miscellaneous Income</t>
  </si>
  <si>
    <t>Depreciation, Depletion and Amortisation Expense</t>
  </si>
  <si>
    <t>Profit/(Loss) From Ordinary Activities before Tax</t>
  </si>
  <si>
    <t>Profit/(Loss) from Ordinary Activities after Finance Costs but before Exceptional Items</t>
  </si>
  <si>
    <t>Other Exceptional Items</t>
  </si>
  <si>
    <t>Total Exceptional Items</t>
  </si>
  <si>
    <t>Tax Expense</t>
  </si>
  <si>
    <t>Deferred Tax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</si>
  <si>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</si>
  <si>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</si>
  <si>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</si>
  <si>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</si>
  <si>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</si>
  <si>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</si>
  <si>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</si>
  <si>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Number of shares</t>
  </si>
  <si>
    <t xml:space="preserve">Non-encumbered </t>
  </si>
  <si>
    <t>Percentage of Shares (As a % of the Total Shareholding of the Promoter and Promoter Group)</t>
  </si>
  <si>
    <t>Percentage of Shares (As a % of the Total Share Capital of the Company)</t>
  </si>
  <si>
    <t>Share of Profit/(Loss) of Associates/Joint Ventures</t>
  </si>
  <si>
    <t>Net Profit/(Loss) After Taxes But Before Share of Profit/(Loss) of Associates and Minority Interest</t>
  </si>
  <si>
    <t>Property, Plant &amp; Equipment</t>
  </si>
  <si>
    <t>Capital Work-In-Progress</t>
  </si>
  <si>
    <t>Other Intangible Assets</t>
  </si>
  <si>
    <t>Intangible Assets Under Development</t>
  </si>
  <si>
    <t>Non-Current Investments</t>
  </si>
  <si>
    <t>Loans Non-Current</t>
  </si>
  <si>
    <t>Other Non-Current Financial Assets</t>
  </si>
  <si>
    <t>Income Tax assets (net)</t>
  </si>
  <si>
    <t>Other Non-Current Assets</t>
  </si>
  <si>
    <t>Total Non-Current Assets</t>
  </si>
  <si>
    <t>Cash And Cash Equivalents</t>
  </si>
  <si>
    <t>Bank balance other than cash and cash equivalents</t>
  </si>
  <si>
    <t>Loans, Current</t>
  </si>
  <si>
    <t>Other Current Financial Assets</t>
  </si>
  <si>
    <t>Total Current Assets</t>
  </si>
  <si>
    <t>Share Capital</t>
  </si>
  <si>
    <t>Reserves And Surplus/Other Equity</t>
  </si>
  <si>
    <t>Total Share Holder's Funds</t>
  </si>
  <si>
    <t>Other Non Current Financial Liabilities</t>
  </si>
  <si>
    <t>Long-Term Provisions</t>
  </si>
  <si>
    <t>Deferred Tax Liability (Net)</t>
  </si>
  <si>
    <t>Other Non-Current Liabilities</t>
  </si>
  <si>
    <t>Total Non-Current Liabilities</t>
  </si>
  <si>
    <t>Other Current Financial Liabilities</t>
  </si>
  <si>
    <t>Other liabilities</t>
  </si>
  <si>
    <t>Short-Term Provisions</t>
  </si>
  <si>
    <t>Total Current Liabilities</t>
  </si>
  <si>
    <t>Total Equity And Liabilities</t>
  </si>
  <si>
    <t>Net Profit Before Tax And Exceptional Item</t>
  </si>
  <si>
    <t>Depreciation and Amortisation Expense</t>
  </si>
  <si>
    <t>Interest Expense</t>
  </si>
  <si>
    <t>Loss On Sale Of Fixed Assets</t>
  </si>
  <si>
    <t>Loss On Sale Of Investments</t>
  </si>
  <si>
    <t>Miscellaneous Expenditure Written Off</t>
  </si>
  <si>
    <t>Provision For Dimunition In Investments</t>
  </si>
  <si>
    <t>Dividend Received</t>
  </si>
  <si>
    <t>Interest Income</t>
  </si>
  <si>
    <t>Profit On Sale Of Investments</t>
  </si>
  <si>
    <t>Profit On Sale Of Fixed Assets</t>
  </si>
  <si>
    <t>Operating Profit Before Working Capital Changes</t>
  </si>
  <si>
    <t>Inventories</t>
  </si>
  <si>
    <t>Trade And Other Receivables</t>
  </si>
  <si>
    <t>Adjustments for other financial assets, non-current</t>
  </si>
  <si>
    <t>Other Current and Non Current Assets</t>
  </si>
  <si>
    <t>Loans And Advances</t>
  </si>
  <si>
    <t>Adjustments for other financial assets, current</t>
  </si>
  <si>
    <t>Other Current and Non Current Liabilities</t>
  </si>
  <si>
    <t>Others-From Operations</t>
  </si>
  <si>
    <t>Trade Payables And Others</t>
  </si>
  <si>
    <t>Cash Generated From Operations</t>
  </si>
  <si>
    <t>Income Tax Paid</t>
  </si>
  <si>
    <t>Purchase Of Fixed Assets (Tangible / Intangible)</t>
  </si>
  <si>
    <t>Sale Of Investments</t>
  </si>
  <si>
    <t>Purchase Of Investments</t>
  </si>
  <si>
    <t>Sale Of Fixed Assets (Tangible / Intangible)</t>
  </si>
  <si>
    <t>Cash Receipts from Repayment of Advances and Loans Made to Other Parties</t>
  </si>
  <si>
    <t>Fixed Deposits</t>
  </si>
  <si>
    <t>Interest Received</t>
  </si>
  <si>
    <t>Net Cash Flow From Investing Activities</t>
  </si>
  <si>
    <t>Repayment Of Long Term Borrowings</t>
  </si>
  <si>
    <t>Repayment Of Short Term Borrowings</t>
  </si>
  <si>
    <t>Interest Paid</t>
  </si>
  <si>
    <t>Dividend Paid</t>
  </si>
  <si>
    <t>Others-Financing Activities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</si>
  <si>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</si>
  <si>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</si>
  <si>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</si>
  <si>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</si>
  <si>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Net Cash Flow From Operating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</si>
</sst>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50.7109375" customWidth="1"/>
  </cols>
  <sheetData>
    <row r="1" spans="1:3" x14ac:dyDescent="0.25">
      <c r="A1" s="1" t="s">
        <v>149</v>
      </c>
      <c r="B1" s="2" t="s">
        <v>150</v>
      </c>
      <c r="C1" s="3" t="s">
        <v>151</v>
      </c>
    </row>
    <row r="2" spans="1:3" x14ac:dyDescent="0.25">
      <c r="A2" s="4" t="s">
        <v>0</v>
      </c>
      <c r="B2" s="4" t="s">
        <v>152</v>
      </c>
      <c r="C2" s="4">
        <v>256</v>
      </c>
    </row>
    <row r="3" spans="1:3" x14ac:dyDescent="0.25">
      <c r="A3" s="4" t="s">
        <v>1</v>
      </c>
      <c r="B3" s="4" t="s">
        <v>158</v>
      </c>
      <c r="C3" s="4">
        <v>265</v>
      </c>
    </row>
    <row r="4" spans="1:3" x14ac:dyDescent="0.25">
      <c r="A4" s="4" t="s">
        <v>2</v>
      </c>
      <c r="B4" s="4" t="s">
        <v>2</v>
      </c>
      <c r="C4" s="4">
        <v>25238</v>
      </c>
    </row>
    <row r="5" spans="1:3" x14ac:dyDescent="0.25">
      <c r="A5" s="4" t="s">
        <v>3</v>
      </c>
      <c r="B5" s="4" t="s">
        <v>153</v>
      </c>
      <c r="C5" s="4"/>
    </row>
    <row r="6" spans="1:3" x14ac:dyDescent="0.25">
      <c r="A6" s="4" t="s">
        <v>4</v>
      </c>
      <c r="B6" s="4" t="s">
        <v>154</v>
      </c>
      <c r="C6" s="4">
        <v>307</v>
      </c>
    </row>
    <row r="7" spans="1:3" x14ac:dyDescent="0.25">
      <c r="A7" s="4" t="s">
        <v>5</v>
      </c>
      <c r="B7" s="4" t="s">
        <v>155</v>
      </c>
      <c r="C7" s="4">
        <v>238</v>
      </c>
    </row>
    <row r="8" spans="1:3" x14ac:dyDescent="0.25">
      <c r="A8" s="4" t="s">
        <v>6</v>
      </c>
      <c r="B8" s="4" t="s">
        <v>156</v>
      </c>
      <c r="C8" s="4">
        <v>246</v>
      </c>
    </row>
    <row r="9" spans="1:3" x14ac:dyDescent="0.25">
      <c r="A9" s="4" t="s">
        <v>7</v>
      </c>
      <c r="B9" s="4" t="s">
        <v>159</v>
      </c>
      <c r="C9" s="4">
        <v>232</v>
      </c>
    </row>
    <row r="10" spans="1:3" x14ac:dyDescent="0.25">
      <c r="A10" s="4" t="s">
        <v>8</v>
      </c>
      <c r="B10" s="4" t="s">
        <v>157</v>
      </c>
      <c r="C10" s="4">
        <v>279</v>
      </c>
    </row>
    <row r="11" spans="1:3" x14ac:dyDescent="0.25">
      <c r="A11" s="4" t="s">
        <v>9</v>
      </c>
      <c r="B11" s="4" t="s">
        <v>9</v>
      </c>
      <c r="C11" s="4">
        <v>320</v>
      </c>
    </row>
    <row r="12" spans="1:3" x14ac:dyDescent="0.25">
      <c r="A12" s="4" t="s">
        <v>10</v>
      </c>
      <c r="B12" s="4" t="s">
        <v>161</v>
      </c>
      <c r="C12" s="4">
        <v>294</v>
      </c>
    </row>
    <row r="13" spans="1:3" x14ac:dyDescent="0.25">
      <c r="A13" s="4" t="s">
        <v>11</v>
      </c>
      <c r="B13" s="4" t="s">
        <v>162</v>
      </c>
      <c r="C13" s="4">
        <v>278</v>
      </c>
    </row>
    <row r="14" spans="1:3" x14ac:dyDescent="0.25">
      <c r="A14" s="5" t="s">
        <v>163</v>
      </c>
      <c r="B14" s="5" t="s">
        <v>163</v>
      </c>
      <c r="C14" s="5">
        <v>319</v>
      </c>
    </row>
    <row r="15" spans="1:3" x14ac:dyDescent="0.25">
      <c r="A15" s="4" t="s">
        <v>12</v>
      </c>
      <c r="B15" s="4" t="s">
        <v>160</v>
      </c>
      <c r="C15" s="4">
        <v>296</v>
      </c>
    </row>
    <row r="16" spans="1:3" x14ac:dyDescent="0.25">
      <c r="A16" s="4" t="s">
        <v>13</v>
      </c>
      <c r="B16" s="4" t="s">
        <v>153</v>
      </c>
      <c r="C16" s="4"/>
    </row>
    <row r="17" spans="1:3" x14ac:dyDescent="0.25">
      <c r="A17" s="4" t="s">
        <v>14</v>
      </c>
      <c r="B17" s="4" t="s">
        <v>164</v>
      </c>
      <c r="C17" s="6">
        <v>318</v>
      </c>
    </row>
    <row r="18" spans="1:3" x14ac:dyDescent="0.25">
      <c r="A18" s="4" t="s">
        <v>15</v>
      </c>
      <c r="B18" s="4" t="s">
        <v>165</v>
      </c>
      <c r="C18" s="6">
        <v>231</v>
      </c>
    </row>
    <row r="19" spans="1:3" x14ac:dyDescent="0.25">
      <c r="A19" s="4" t="s">
        <v>16</v>
      </c>
      <c r="B19" s="4" t="s">
        <v>166</v>
      </c>
      <c r="C19" s="4">
        <v>269</v>
      </c>
    </row>
    <row r="20" spans="1:3" x14ac:dyDescent="0.25">
      <c r="A20" s="4" t="s">
        <v>17</v>
      </c>
      <c r="B20" s="4" t="s">
        <v>153</v>
      </c>
      <c r="C20" s="4">
        <v>0</v>
      </c>
    </row>
    <row r="21" spans="1:3" x14ac:dyDescent="0.25">
      <c r="A21" s="4" t="s">
        <v>18</v>
      </c>
      <c r="B21" s="4" t="s">
        <v>167</v>
      </c>
      <c r="C21" s="6">
        <v>22293</v>
      </c>
    </row>
    <row r="22" spans="1:3" x14ac:dyDescent="0.25">
      <c r="A22" s="4" t="s">
        <v>19</v>
      </c>
      <c r="B22" s="4" t="s">
        <v>168</v>
      </c>
      <c r="C22" s="6">
        <v>22295</v>
      </c>
    </row>
    <row r="23" spans="1:3" x14ac:dyDescent="0.25">
      <c r="A23" s="4" t="s">
        <v>20</v>
      </c>
      <c r="B23" s="4" t="s">
        <v>169</v>
      </c>
      <c r="C23" s="6">
        <v>22294</v>
      </c>
    </row>
    <row r="24" spans="1:3" x14ac:dyDescent="0.25">
      <c r="A24" s="4" t="s">
        <v>21</v>
      </c>
      <c r="B24" s="4" t="s">
        <v>170</v>
      </c>
      <c r="C24" s="6">
        <v>22296</v>
      </c>
    </row>
    <row r="25" spans="1:3" x14ac:dyDescent="0.25">
      <c r="A25" s="4" t="s">
        <v>22</v>
      </c>
      <c r="B25" s="4" t="s">
        <v>17</v>
      </c>
      <c r="C25" s="4">
        <v>16484</v>
      </c>
    </row>
    <row r="26" spans="1:3" x14ac:dyDescent="0.25">
      <c r="A26" s="4" t="s">
        <v>23</v>
      </c>
      <c r="B26" s="4" t="s">
        <v>171</v>
      </c>
      <c r="C26" s="4">
        <v>20019</v>
      </c>
    </row>
    <row r="27" spans="1:3" x14ac:dyDescent="0.25">
      <c r="A27" s="4" t="s">
        <v>24</v>
      </c>
      <c r="B27" s="4" t="s">
        <v>172</v>
      </c>
      <c r="C27" s="4">
        <v>282</v>
      </c>
    </row>
    <row r="28" spans="1:3" x14ac:dyDescent="0.25">
      <c r="A28" s="4" t="s">
        <v>25</v>
      </c>
      <c r="B28" s="4"/>
      <c r="C28" s="4"/>
    </row>
    <row r="29" spans="1:3" x14ac:dyDescent="0.25">
      <c r="A29" s="4" t="s">
        <v>26</v>
      </c>
      <c r="B29" s="4" t="s">
        <v>26</v>
      </c>
      <c r="C29" s="6">
        <v>222</v>
      </c>
    </row>
    <row r="30" spans="1:3" x14ac:dyDescent="0.25">
      <c r="A30" s="4" t="s">
        <v>27</v>
      </c>
      <c r="B30" s="4" t="s">
        <v>27</v>
      </c>
      <c r="C30" s="6">
        <v>234</v>
      </c>
    </row>
    <row r="31" spans="1:3" x14ac:dyDescent="0.25">
      <c r="A31" s="4" t="s">
        <v>28</v>
      </c>
      <c r="B31" s="4" t="s">
        <v>153</v>
      </c>
      <c r="C31" s="4"/>
    </row>
    <row r="32" spans="1:3" x14ac:dyDescent="0.25">
      <c r="A32" s="4" t="s">
        <v>29</v>
      </c>
      <c r="B32" s="4" t="s">
        <v>153</v>
      </c>
      <c r="C32" s="4"/>
    </row>
    <row r="33" spans="1:3" x14ac:dyDescent="0.25">
      <c r="A33" s="4" t="s">
        <v>30</v>
      </c>
      <c r="B33" s="4" t="s">
        <v>153</v>
      </c>
      <c r="C33" s="4"/>
    </row>
    <row r="34" spans="1:3" x14ac:dyDescent="0.25">
      <c r="A34" s="4" t="s">
        <v>31</v>
      </c>
      <c r="B34" s="4" t="s">
        <v>173</v>
      </c>
      <c r="C34" s="6">
        <v>275</v>
      </c>
    </row>
    <row r="35" spans="1:3" x14ac:dyDescent="0.25">
      <c r="A35" s="4" t="s">
        <v>32</v>
      </c>
      <c r="B35" s="4" t="s">
        <v>32</v>
      </c>
      <c r="C35" s="6">
        <v>287</v>
      </c>
    </row>
    <row r="36" spans="1:3" x14ac:dyDescent="0.25">
      <c r="A36" s="4" t="s">
        <v>33</v>
      </c>
      <c r="B36" s="4" t="s">
        <v>153</v>
      </c>
      <c r="C36" s="4"/>
    </row>
    <row r="37" spans="1:3" x14ac:dyDescent="0.25">
      <c r="A37" s="4" t="s">
        <v>34</v>
      </c>
      <c r="B37" s="4" t="s">
        <v>153</v>
      </c>
      <c r="C37" s="4"/>
    </row>
    <row r="38" spans="1:3" x14ac:dyDescent="0.25">
      <c r="A38" s="4" t="s">
        <v>34</v>
      </c>
      <c r="B38" s="4" t="s">
        <v>153</v>
      </c>
      <c r="C38" s="4"/>
    </row>
    <row r="39" spans="1:3" x14ac:dyDescent="0.25">
      <c r="A39" s="4" t="s">
        <v>174</v>
      </c>
      <c r="B39" s="4" t="s">
        <v>153</v>
      </c>
      <c r="C39" s="4"/>
    </row>
    <row r="40" spans="1:3" x14ac:dyDescent="0.25">
      <c r="A40" s="4" t="s">
        <v>31</v>
      </c>
      <c r="B40" s="4" t="s">
        <v>173</v>
      </c>
      <c r="C40" s="6">
        <v>274</v>
      </c>
    </row>
    <row r="41" spans="1:3" x14ac:dyDescent="0.25">
      <c r="A41" s="4" t="s">
        <v>35</v>
      </c>
      <c r="B41" s="4" t="s">
        <v>175</v>
      </c>
      <c r="C41" s="6">
        <v>286</v>
      </c>
    </row>
    <row r="42" spans="1:3" x14ac:dyDescent="0.25">
      <c r="A42" s="4" t="s">
        <v>36</v>
      </c>
      <c r="B42" s="4" t="s">
        <v>176</v>
      </c>
      <c r="C42" s="6">
        <v>289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48.28515625" customWidth="1"/>
  </cols>
  <sheetData>
    <row r="1" spans="1:3" x14ac:dyDescent="0.25">
      <c r="A1" s="1" t="s">
        <v>149</v>
      </c>
      <c r="B1" s="2" t="s">
        <v>150</v>
      </c>
      <c r="C1" s="3" t="s">
        <v>151</v>
      </c>
    </row>
    <row r="2" spans="1:3" x14ac:dyDescent="0.25">
      <c r="A2" s="4" t="s">
        <v>0</v>
      </c>
      <c r="B2" s="4" t="str">
        <f>_xlfn.XLOOKUP(A2,'P&amp;L_Standalone'!A:A,'P&amp;L_Standalone'!B:B)</f>
        <v>Gross Sales/Income from Operations</v>
      </c>
      <c r="C2" s="4">
        <f>_xlfn.XLOOKUP(A2,'P&amp;L_Standalone'!A:A,'P&amp;L_Standalone'!C:C)</f>
        <v>256</v>
      </c>
    </row>
    <row r="3" spans="1:3" x14ac:dyDescent="0.25">
      <c r="A3" s="4" t="s">
        <v>1</v>
      </c>
      <c r="B3" s="4" t="str">
        <f>_xlfn.XLOOKUP(A3,'P&amp;L_Standalone'!A:A,'P&amp;L_Standalone'!B:B)</f>
        <v>Miscellaneous Income</v>
      </c>
      <c r="C3" s="4">
        <f>_xlfn.XLOOKUP(A3,'P&amp;L_Standalone'!A:A,'P&amp;L_Standalone'!C:C)</f>
        <v>265</v>
      </c>
    </row>
    <row r="4" spans="1:3" x14ac:dyDescent="0.25">
      <c r="A4" s="4" t="s">
        <v>2</v>
      </c>
      <c r="B4" s="4" t="str">
        <f>_xlfn.XLOOKUP(A4,'P&amp;L_Standalone'!A:A,'P&amp;L_Standalone'!B:B)</f>
        <v>Total Income</v>
      </c>
      <c r="C4" s="4">
        <f>_xlfn.XLOOKUP(A4,'P&amp;L_Standalone'!A:A,'P&amp;L_Standalone'!C:C)</f>
        <v>25238</v>
      </c>
    </row>
    <row r="5" spans="1:3" x14ac:dyDescent="0.25">
      <c r="A5" s="4" t="s">
        <v>3</v>
      </c>
      <c r="B5" s="4" t="str">
        <f>_xlfn.XLOOKUP(A5,'P&amp;L_Standalone'!A:A,'P&amp;L_Standalone'!B:B)</f>
        <v>Lable</v>
      </c>
      <c r="C5" s="4"/>
    </row>
    <row r="6" spans="1:3" x14ac:dyDescent="0.25">
      <c r="A6" s="4" t="s">
        <v>4</v>
      </c>
      <c r="B6" s="4" t="str">
        <f>_xlfn.XLOOKUP(A6,'P&amp;L_Standalone'!A:A,'P&amp;L_Standalone'!B:B)</f>
        <v>Purchase of Stock-in-Trade</v>
      </c>
      <c r="C6" s="4">
        <f>_xlfn.XLOOKUP(A6,'P&amp;L_Standalone'!A:A,'P&amp;L_Standalone'!C:C)</f>
        <v>307</v>
      </c>
    </row>
    <row r="7" spans="1:3" x14ac:dyDescent="0.25">
      <c r="A7" s="4" t="s">
        <v>5</v>
      </c>
      <c r="B7" s="4" t="str">
        <f>_xlfn.XLOOKUP(A7,'P&amp;L_Standalone'!A:A,'P&amp;L_Standalone'!B:B)</f>
        <v>Employee Benefit Expense</v>
      </c>
      <c r="C7" s="4">
        <f>_xlfn.XLOOKUP(A7,'P&amp;L_Standalone'!A:A,'P&amp;L_Standalone'!C:C)</f>
        <v>238</v>
      </c>
    </row>
    <row r="8" spans="1:3" x14ac:dyDescent="0.25">
      <c r="A8" s="4" t="s">
        <v>6</v>
      </c>
      <c r="B8" s="4" t="str">
        <f>_xlfn.XLOOKUP(A8,'P&amp;L_Standalone'!A:A,'P&amp;L_Standalone'!B:B)</f>
        <v>Finance Costs</v>
      </c>
      <c r="C8" s="4">
        <f>_xlfn.XLOOKUP(A8,'P&amp;L_Standalone'!A:A,'P&amp;L_Standalone'!C:C)</f>
        <v>246</v>
      </c>
    </row>
    <row r="9" spans="1:3" x14ac:dyDescent="0.25">
      <c r="A9" s="4" t="s">
        <v>7</v>
      </c>
      <c r="B9" s="4" t="str">
        <f>_xlfn.XLOOKUP(A9,'P&amp;L_Standalone'!A:A,'P&amp;L_Standalone'!B:B)</f>
        <v>Depreciation, Depletion and Amortisation Expense</v>
      </c>
      <c r="C9" s="4">
        <f>_xlfn.XLOOKUP(A9,'P&amp;L_Standalone'!A:A,'P&amp;L_Standalone'!C:C)</f>
        <v>232</v>
      </c>
    </row>
    <row r="10" spans="1:3" x14ac:dyDescent="0.25">
      <c r="A10" s="4" t="s">
        <v>8</v>
      </c>
      <c r="B10" s="4" t="str">
        <f>_xlfn.XLOOKUP(A10,'P&amp;L_Standalone'!A:A,'P&amp;L_Standalone'!B:B)</f>
        <v>Other Expenses</v>
      </c>
      <c r="C10" s="4">
        <f>_xlfn.XLOOKUP(A10,'P&amp;L_Standalone'!A:A,'P&amp;L_Standalone'!C:C)</f>
        <v>279</v>
      </c>
    </row>
    <row r="11" spans="1:3" x14ac:dyDescent="0.25">
      <c r="A11" s="4" t="s">
        <v>9</v>
      </c>
      <c r="B11" s="4" t="str">
        <f>_xlfn.XLOOKUP(A11,'P&amp;L_Standalone'!A:A,'P&amp;L_Standalone'!B:B)</f>
        <v>Total Expenses</v>
      </c>
      <c r="C11" s="4">
        <f>_xlfn.XLOOKUP(A11,'P&amp;L_Standalone'!A:A,'P&amp;L_Standalone'!C:C)</f>
        <v>320</v>
      </c>
    </row>
    <row r="12" spans="1:3" x14ac:dyDescent="0.25">
      <c r="A12" s="4" t="s">
        <v>10</v>
      </c>
      <c r="B12" s="4" t="str">
        <f>_xlfn.XLOOKUP(A12,'P&amp;L_Standalone'!A:A,'P&amp;L_Standalone'!B:B)</f>
        <v>Profit/(Loss) from Ordinary Activities after Finance Costs but before Exceptional Items</v>
      </c>
      <c r="C12" s="4">
        <f>_xlfn.XLOOKUP(A12,'P&amp;L_Standalone'!A:A,'P&amp;L_Standalone'!C:C)</f>
        <v>294</v>
      </c>
    </row>
    <row r="13" spans="1:3" x14ac:dyDescent="0.25">
      <c r="A13" s="4" t="s">
        <v>11</v>
      </c>
      <c r="B13" s="4" t="str">
        <f>_xlfn.XLOOKUP(A13,'P&amp;L_Standalone'!A:A,'P&amp;L_Standalone'!B:B)</f>
        <v>Other Exceptional Items</v>
      </c>
      <c r="C13" s="4">
        <f>_xlfn.XLOOKUP(A13,'P&amp;L_Standalone'!A:A,'P&amp;L_Standalone'!C:C)</f>
        <v>278</v>
      </c>
    </row>
    <row r="14" spans="1:3" x14ac:dyDescent="0.25">
      <c r="A14" s="5" t="s">
        <v>163</v>
      </c>
      <c r="B14" s="5" t="s">
        <v>163</v>
      </c>
      <c r="C14" s="5">
        <v>319</v>
      </c>
    </row>
    <row r="15" spans="1:3" x14ac:dyDescent="0.25">
      <c r="A15" s="4" t="s">
        <v>12</v>
      </c>
      <c r="B15" s="4" t="str">
        <f>_xlfn.XLOOKUP(A15,'P&amp;L_Standalone'!A:A,'P&amp;L_Standalone'!B:B)</f>
        <v>Profit/(Loss) From Ordinary Activities before Tax</v>
      </c>
      <c r="C15" s="4">
        <f>_xlfn.XLOOKUP(A15,'P&amp;L_Standalone'!A:A,'P&amp;L_Standalone'!C:C)</f>
        <v>296</v>
      </c>
    </row>
    <row r="16" spans="1:3" x14ac:dyDescent="0.25">
      <c r="A16" s="4" t="s">
        <v>13</v>
      </c>
      <c r="B16" s="4" t="str">
        <f>_xlfn.XLOOKUP(A16,'P&amp;L_Standalone'!A:A,'P&amp;L_Standalone'!B:B)</f>
        <v>Lable</v>
      </c>
      <c r="C16" s="4"/>
    </row>
    <row r="17" spans="1:3" x14ac:dyDescent="0.25">
      <c r="A17" s="4" t="s">
        <v>14</v>
      </c>
      <c r="B17" s="4" t="str">
        <f>_xlfn.XLOOKUP(A17,'P&amp;L_Standalone'!A:A,'P&amp;L_Standalone'!B:B)</f>
        <v>Tax Expense</v>
      </c>
      <c r="C17" s="4">
        <f>_xlfn.XLOOKUP(A17,'P&amp;L_Standalone'!A:A,'P&amp;L_Standalone'!C:C)</f>
        <v>318</v>
      </c>
    </row>
    <row r="18" spans="1:3" x14ac:dyDescent="0.25">
      <c r="A18" s="4" t="s">
        <v>15</v>
      </c>
      <c r="B18" s="4" t="str">
        <f>_xlfn.XLOOKUP(A18,'P&amp;L_Standalone'!A:A,'P&amp;L_Standalone'!B:B)</f>
        <v>Deferred Tax</v>
      </c>
      <c r="C18" s="4">
        <f>_xlfn.XLOOKUP(A18,'P&amp;L_Standalone'!A:A,'P&amp;L_Standalone'!C:C)</f>
        <v>231</v>
      </c>
    </row>
    <row r="19" spans="1:3" x14ac:dyDescent="0.25">
      <c r="A19" s="4" t="s">
        <v>16</v>
      </c>
      <c r="B19" s="4" t="s">
        <v>178</v>
      </c>
      <c r="C19" s="4">
        <v>268</v>
      </c>
    </row>
    <row r="20" spans="1:3" x14ac:dyDescent="0.25">
      <c r="A20" s="4" t="s">
        <v>142</v>
      </c>
      <c r="B20" s="4" t="s">
        <v>177</v>
      </c>
      <c r="C20" s="4">
        <v>292</v>
      </c>
    </row>
    <row r="21" spans="1:3" x14ac:dyDescent="0.25">
      <c r="A21" s="5" t="s">
        <v>166</v>
      </c>
      <c r="B21" s="8" t="s">
        <v>166</v>
      </c>
      <c r="C21" s="8">
        <v>269</v>
      </c>
    </row>
    <row r="22" spans="1:3" x14ac:dyDescent="0.25">
      <c r="A22" s="4" t="s">
        <v>17</v>
      </c>
      <c r="B22" s="4" t="str">
        <f>_xlfn.XLOOKUP(A22,'P&amp;L_Standalone'!A:A,'P&amp;L_Standalone'!B:B)</f>
        <v>Lable</v>
      </c>
      <c r="C22" s="4"/>
    </row>
    <row r="23" spans="1:3" x14ac:dyDescent="0.25">
      <c r="A23" s="4" t="s">
        <v>18</v>
      </c>
      <c r="B23" s="4" t="str">
        <f>_xlfn.XLOOKUP(A23,'P&amp;L_Standalone'!A:A,'P&amp;L_Standalone'!B:B)</f>
        <v>Items that will not be reclassified to Profit or Loss</v>
      </c>
      <c r="C23" s="4">
        <f>_xlfn.XLOOKUP(A23,'P&amp;L_Standalone'!A:A,'P&amp;L_Standalone'!C:C)</f>
        <v>22293</v>
      </c>
    </row>
    <row r="24" spans="1:3" x14ac:dyDescent="0.25">
      <c r="A24" s="4" t="s">
        <v>19</v>
      </c>
      <c r="B24" s="4" t="str">
        <f>_xlfn.XLOOKUP(A24,'P&amp;L_Standalone'!A:A,'P&amp;L_Standalone'!B:B)</f>
        <v>Income Tax related to items that will not be reclassified to Profit or Loss</v>
      </c>
      <c r="C24" s="4">
        <f>_xlfn.XLOOKUP(A24,'P&amp;L_Standalone'!A:A,'P&amp;L_Standalone'!C:C)</f>
        <v>22295</v>
      </c>
    </row>
    <row r="25" spans="1:3" x14ac:dyDescent="0.25">
      <c r="A25" s="4" t="s">
        <v>20</v>
      </c>
      <c r="B25" s="4" t="str">
        <f>_xlfn.XLOOKUP(A25,'P&amp;L_Standalone'!A:A,'P&amp;L_Standalone'!B:B)</f>
        <v>Items that will be reclassified to Profit or Loss</v>
      </c>
      <c r="C25" s="4">
        <f>_xlfn.XLOOKUP(A25,'P&amp;L_Standalone'!A:A,'P&amp;L_Standalone'!C:C)</f>
        <v>22294</v>
      </c>
    </row>
    <row r="26" spans="1:3" x14ac:dyDescent="0.25">
      <c r="A26" s="4" t="s">
        <v>21</v>
      </c>
      <c r="B26" s="4" t="str">
        <f>_xlfn.XLOOKUP(A26,'P&amp;L_Standalone'!A:A,'P&amp;L_Standalone'!B:B)</f>
        <v>Income Tax related to items that will be reclassified to Profit or Loss</v>
      </c>
      <c r="C26" s="4">
        <f>_xlfn.XLOOKUP(A26,'P&amp;L_Standalone'!A:A,'P&amp;L_Standalone'!C:C)</f>
        <v>22296</v>
      </c>
    </row>
    <row r="27" spans="1:3" x14ac:dyDescent="0.25">
      <c r="A27" s="4" t="s">
        <v>22</v>
      </c>
      <c r="B27" s="4" t="s">
        <v>17</v>
      </c>
      <c r="C27" s="4">
        <v>16484</v>
      </c>
    </row>
    <row r="28" spans="1:3" x14ac:dyDescent="0.25">
      <c r="A28" s="4" t="s">
        <v>23</v>
      </c>
      <c r="B28" s="4" t="s">
        <v>171</v>
      </c>
      <c r="C28" s="4">
        <v>20019</v>
      </c>
    </row>
    <row r="29" spans="1:3" x14ac:dyDescent="0.25">
      <c r="A29" s="4" t="s">
        <v>24</v>
      </c>
      <c r="B29" s="4" t="str">
        <f>_xlfn.XLOOKUP(A29,'P&amp;L_Standalone'!A:A,'P&amp;L_Standalone'!B:B)</f>
        <v>Paid-Up Equity Share Capital</v>
      </c>
      <c r="C29" s="4">
        <f>_xlfn.XLOOKUP(A29,'P&amp;L_Standalone'!A:A,'P&amp;L_Standalone'!C:C)</f>
        <v>282</v>
      </c>
    </row>
    <row r="30" spans="1:3" x14ac:dyDescent="0.25">
      <c r="A30" s="4" t="s">
        <v>25</v>
      </c>
      <c r="B30" s="4"/>
      <c r="C30" s="4"/>
    </row>
    <row r="31" spans="1:3" x14ac:dyDescent="0.25">
      <c r="A31" s="4" t="s">
        <v>26</v>
      </c>
      <c r="B31" s="4" t="str">
        <f>_xlfn.XLOOKUP(A31,'P&amp;L_Standalone'!A:A,'P&amp;L_Standalone'!B:B)</f>
        <v>Basic EPS</v>
      </c>
      <c r="C31" s="4">
        <f>_xlfn.XLOOKUP(A31,'P&amp;L_Standalone'!A:A,'P&amp;L_Standalone'!C:C)</f>
        <v>222</v>
      </c>
    </row>
    <row r="32" spans="1:3" x14ac:dyDescent="0.25">
      <c r="A32" s="4" t="s">
        <v>27</v>
      </c>
      <c r="B32" s="4" t="str">
        <f>_xlfn.XLOOKUP(A32,'P&amp;L_Standalone'!A:A,'P&amp;L_Standalone'!B:B)</f>
        <v>Diluted EPS</v>
      </c>
      <c r="C32" s="4">
        <f>_xlfn.XLOOKUP(A32,'P&amp;L_Standalone'!A:A,'P&amp;L_Standalone'!C:C)</f>
        <v>234</v>
      </c>
    </row>
    <row r="33" spans="1:3" x14ac:dyDescent="0.25">
      <c r="A33" s="4" t="s">
        <v>28</v>
      </c>
      <c r="B33" s="4" t="s">
        <v>153</v>
      </c>
      <c r="C33" s="4"/>
    </row>
    <row r="34" spans="1:3" x14ac:dyDescent="0.25">
      <c r="A34" s="4" t="s">
        <v>29</v>
      </c>
      <c r="B34" s="4" t="s">
        <v>153</v>
      </c>
      <c r="C34" s="4"/>
    </row>
    <row r="35" spans="1:3" x14ac:dyDescent="0.25">
      <c r="A35" s="4" t="s">
        <v>30</v>
      </c>
      <c r="B35" s="4" t="s">
        <v>153</v>
      </c>
      <c r="C35" s="4"/>
    </row>
    <row r="36" spans="1:3" x14ac:dyDescent="0.25">
      <c r="A36" s="4" t="s">
        <v>31</v>
      </c>
      <c r="B36" s="4" t="s">
        <v>173</v>
      </c>
      <c r="C36" s="6">
        <v>275</v>
      </c>
    </row>
    <row r="37" spans="1:3" x14ac:dyDescent="0.25">
      <c r="A37" s="4" t="s">
        <v>32</v>
      </c>
      <c r="B37" s="4" t="s">
        <v>32</v>
      </c>
      <c r="C37" s="6">
        <v>287</v>
      </c>
    </row>
    <row r="38" spans="1:3" x14ac:dyDescent="0.25">
      <c r="A38" s="4" t="s">
        <v>33</v>
      </c>
      <c r="B38" s="4" t="s">
        <v>153</v>
      </c>
      <c r="C38" s="4"/>
    </row>
    <row r="39" spans="1:3" x14ac:dyDescent="0.25">
      <c r="A39" s="4" t="s">
        <v>34</v>
      </c>
      <c r="B39" s="4" t="s">
        <v>153</v>
      </c>
      <c r="C39" s="4"/>
    </row>
    <row r="40" spans="1:3" x14ac:dyDescent="0.25">
      <c r="A40" s="4" t="s">
        <v>174</v>
      </c>
      <c r="B40" s="4" t="s">
        <v>153</v>
      </c>
      <c r="C40" s="4"/>
    </row>
    <row r="41" spans="1:3" x14ac:dyDescent="0.25">
      <c r="A41" s="4" t="s">
        <v>31</v>
      </c>
      <c r="B41" s="4" t="s">
        <v>173</v>
      </c>
      <c r="C41" s="6">
        <v>274</v>
      </c>
    </row>
    <row r="42" spans="1:3" x14ac:dyDescent="0.25">
      <c r="A42" s="4" t="s">
        <v>35</v>
      </c>
      <c r="B42" s="4" t="s">
        <v>175</v>
      </c>
      <c r="C42" s="6">
        <v>286</v>
      </c>
    </row>
    <row r="43" spans="1:3" x14ac:dyDescent="0.25">
      <c r="A43" s="4" t="s">
        <v>143</v>
      </c>
      <c r="B43" s="4" t="s">
        <v>176</v>
      </c>
      <c r="C43" s="6">
        <v>289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zoomScaleNormal="100" workbookViewId="0">
      <selection activeCell="B1" sqref="B1"/>
    </sheetView>
  </sheetViews>
  <sheetFormatPr defaultColWidth="8.5703125" defaultRowHeight="15" x14ac:dyDescent="0.25"/>
  <cols>
    <col min="1" max="1" width="65.7109375" customWidth="1"/>
    <col min="2" max="2" width="49.5703125" customWidth="1"/>
  </cols>
  <sheetData>
    <row r="1" spans="1:3" x14ac:dyDescent="0.25">
      <c r="A1" s="1" t="s">
        <v>149</v>
      </c>
      <c r="B1" s="2" t="s">
        <v>150</v>
      </c>
      <c r="C1" s="3" t="s">
        <v>151</v>
      </c>
    </row>
    <row r="2" spans="1:3" x14ac:dyDescent="0.25">
      <c r="A2" s="4" t="s">
        <v>37</v>
      </c>
      <c r="B2" s="4" t="s">
        <v>153</v>
      </c>
      <c r="C2" s="4"/>
    </row>
    <row r="3" spans="1:3" x14ac:dyDescent="0.25">
      <c r="A3" s="4" t="s">
        <v>38</v>
      </c>
      <c r="B3" s="4" t="s">
        <v>153</v>
      </c>
      <c r="C3" s="4"/>
    </row>
    <row r="4" spans="1:3" x14ac:dyDescent="0.25">
      <c r="A4" s="4" t="s">
        <v>39</v>
      </c>
      <c r="B4" s="4" t="s">
        <v>179</v>
      </c>
      <c r="C4" s="4">
        <v>20222</v>
      </c>
    </row>
    <row r="5" spans="1:3" x14ac:dyDescent="0.25">
      <c r="A5" s="4" t="s">
        <v>40</v>
      </c>
      <c r="B5" s="4" t="s">
        <v>180</v>
      </c>
      <c r="C5" s="6">
        <v>13720</v>
      </c>
    </row>
    <row r="6" spans="1:3" x14ac:dyDescent="0.25">
      <c r="A6" s="4" t="s">
        <v>41</v>
      </c>
      <c r="B6" s="4" t="s">
        <v>181</v>
      </c>
      <c r="C6" s="6">
        <v>20221</v>
      </c>
    </row>
    <row r="7" spans="1:3" x14ac:dyDescent="0.25">
      <c r="A7" s="4" t="s">
        <v>42</v>
      </c>
      <c r="B7" s="4" t="s">
        <v>182</v>
      </c>
      <c r="C7" s="6">
        <v>13736</v>
      </c>
    </row>
    <row r="8" spans="1:3" x14ac:dyDescent="0.25">
      <c r="A8" s="4" t="s">
        <v>43</v>
      </c>
      <c r="B8" s="4" t="s">
        <v>183</v>
      </c>
      <c r="C8" s="6">
        <v>13748</v>
      </c>
    </row>
    <row r="9" spans="1:3" x14ac:dyDescent="0.25">
      <c r="A9" s="4" t="s">
        <v>44</v>
      </c>
      <c r="B9" s="4" t="s">
        <v>52</v>
      </c>
      <c r="C9" s="6">
        <v>20218</v>
      </c>
    </row>
    <row r="10" spans="1:3" x14ac:dyDescent="0.25">
      <c r="A10" s="4" t="s">
        <v>45</v>
      </c>
      <c r="B10" s="4" t="s">
        <v>184</v>
      </c>
      <c r="C10" s="6">
        <v>20217</v>
      </c>
    </row>
    <row r="11" spans="1:3" x14ac:dyDescent="0.25">
      <c r="A11" s="4" t="s">
        <v>46</v>
      </c>
      <c r="B11" s="4" t="s">
        <v>185</v>
      </c>
      <c r="C11" s="6">
        <v>20216</v>
      </c>
    </row>
    <row r="12" spans="1:3" x14ac:dyDescent="0.25">
      <c r="A12" s="4" t="s">
        <v>47</v>
      </c>
      <c r="B12" s="4" t="s">
        <v>186</v>
      </c>
      <c r="C12" s="6">
        <v>20215</v>
      </c>
    </row>
    <row r="13" spans="1:3" x14ac:dyDescent="0.25">
      <c r="A13" s="4" t="s">
        <v>48</v>
      </c>
      <c r="B13" s="4" t="s">
        <v>187</v>
      </c>
      <c r="C13" s="6">
        <v>13753</v>
      </c>
    </row>
    <row r="14" spans="1:3" x14ac:dyDescent="0.25">
      <c r="A14" s="4" t="s">
        <v>49</v>
      </c>
      <c r="B14" s="2" t="s">
        <v>188</v>
      </c>
      <c r="C14" s="7">
        <v>13777</v>
      </c>
    </row>
    <row r="15" spans="1:3" x14ac:dyDescent="0.25">
      <c r="A15" s="4" t="s">
        <v>50</v>
      </c>
      <c r="B15" s="4" t="s">
        <v>153</v>
      </c>
      <c r="C15" s="4"/>
    </row>
    <row r="16" spans="1:3" x14ac:dyDescent="0.25">
      <c r="A16" s="4" t="s">
        <v>51</v>
      </c>
      <c r="B16" s="4" t="s">
        <v>153</v>
      </c>
      <c r="C16" s="4"/>
    </row>
    <row r="17" spans="1:3" x14ac:dyDescent="0.25">
      <c r="A17" s="4" t="s">
        <v>52</v>
      </c>
      <c r="B17" s="4" t="s">
        <v>52</v>
      </c>
      <c r="C17" s="4">
        <v>13780</v>
      </c>
    </row>
    <row r="18" spans="1:3" x14ac:dyDescent="0.25">
      <c r="A18" s="4" t="s">
        <v>53</v>
      </c>
      <c r="B18" s="4" t="s">
        <v>189</v>
      </c>
      <c r="C18" s="6">
        <v>13722</v>
      </c>
    </row>
    <row r="19" spans="1:3" x14ac:dyDescent="0.25">
      <c r="A19" s="4" t="s">
        <v>54</v>
      </c>
      <c r="B19" s="4" t="s">
        <v>190</v>
      </c>
      <c r="C19" s="6">
        <v>29788</v>
      </c>
    </row>
    <row r="20" spans="1:3" x14ac:dyDescent="0.25">
      <c r="A20" s="4" t="s">
        <v>45</v>
      </c>
      <c r="B20" s="4" t="s">
        <v>191</v>
      </c>
      <c r="C20" s="6">
        <v>20230</v>
      </c>
    </row>
    <row r="21" spans="1:3" x14ac:dyDescent="0.25">
      <c r="A21" s="4" t="s">
        <v>55</v>
      </c>
      <c r="B21" s="4" t="s">
        <v>192</v>
      </c>
      <c r="C21" s="4">
        <v>20231</v>
      </c>
    </row>
    <row r="22" spans="1:3" x14ac:dyDescent="0.25">
      <c r="A22" s="4" t="s">
        <v>56</v>
      </c>
      <c r="B22" s="4" t="s">
        <v>56</v>
      </c>
      <c r="C22" s="6">
        <v>20228</v>
      </c>
    </row>
    <row r="23" spans="1:3" x14ac:dyDescent="0.25">
      <c r="A23" s="4" t="s">
        <v>57</v>
      </c>
      <c r="B23" s="4" t="s">
        <v>57</v>
      </c>
      <c r="C23" s="6">
        <v>13750</v>
      </c>
    </row>
    <row r="24" spans="1:3" x14ac:dyDescent="0.25">
      <c r="A24" s="4" t="s">
        <v>58</v>
      </c>
      <c r="B24" s="9" t="s">
        <v>193</v>
      </c>
      <c r="C24" s="10">
        <v>13774</v>
      </c>
    </row>
    <row r="25" spans="1:3" x14ac:dyDescent="0.25">
      <c r="A25" s="4" t="s">
        <v>59</v>
      </c>
      <c r="B25" s="4" t="s">
        <v>59</v>
      </c>
      <c r="C25" s="4">
        <v>13771</v>
      </c>
    </row>
    <row r="26" spans="1:3" x14ac:dyDescent="0.25">
      <c r="A26" s="4" t="s">
        <v>60</v>
      </c>
      <c r="B26" s="4" t="s">
        <v>153</v>
      </c>
      <c r="C26" s="4"/>
    </row>
    <row r="27" spans="1:3" x14ac:dyDescent="0.25">
      <c r="A27" s="4" t="s">
        <v>61</v>
      </c>
      <c r="B27" s="4" t="s">
        <v>153</v>
      </c>
      <c r="C27" s="4"/>
    </row>
    <row r="28" spans="1:3" x14ac:dyDescent="0.25">
      <c r="A28" s="4" t="s">
        <v>62</v>
      </c>
      <c r="B28" s="4" t="s">
        <v>194</v>
      </c>
      <c r="C28" s="6">
        <v>13765</v>
      </c>
    </row>
    <row r="29" spans="1:3" x14ac:dyDescent="0.25">
      <c r="A29" s="4" t="s">
        <v>63</v>
      </c>
      <c r="B29" s="4" t="s">
        <v>195</v>
      </c>
      <c r="C29" s="6">
        <v>13762</v>
      </c>
    </row>
    <row r="30" spans="1:3" x14ac:dyDescent="0.25">
      <c r="A30" s="4" t="s">
        <v>64</v>
      </c>
      <c r="B30" s="4" t="s">
        <v>196</v>
      </c>
      <c r="C30" s="4">
        <v>13773</v>
      </c>
    </row>
    <row r="31" spans="1:3" x14ac:dyDescent="0.25">
      <c r="A31" s="4" t="s">
        <v>65</v>
      </c>
      <c r="B31" s="4" t="s">
        <v>153</v>
      </c>
      <c r="C31" s="4"/>
    </row>
    <row r="32" spans="1:3" x14ac:dyDescent="0.25">
      <c r="A32" s="4" t="s">
        <v>66</v>
      </c>
      <c r="B32" s="4" t="s">
        <v>153</v>
      </c>
      <c r="C32" s="4"/>
    </row>
    <row r="33" spans="1:3" x14ac:dyDescent="0.25">
      <c r="A33" s="4" t="s">
        <v>67</v>
      </c>
      <c r="B33" s="4" t="s">
        <v>153</v>
      </c>
      <c r="C33" s="4"/>
    </row>
    <row r="34" spans="1:3" x14ac:dyDescent="0.25">
      <c r="A34" s="4" t="s">
        <v>68</v>
      </c>
      <c r="B34" s="4" t="s">
        <v>68</v>
      </c>
      <c r="C34" s="6">
        <v>20223</v>
      </c>
    </row>
    <row r="35" spans="1:3" x14ac:dyDescent="0.25">
      <c r="A35" s="4" t="s">
        <v>69</v>
      </c>
      <c r="B35" s="4" t="s">
        <v>197</v>
      </c>
      <c r="C35" s="6">
        <v>20226</v>
      </c>
    </row>
    <row r="36" spans="1:3" x14ac:dyDescent="0.25">
      <c r="A36" s="4" t="s">
        <v>70</v>
      </c>
      <c r="B36" s="4" t="s">
        <v>198</v>
      </c>
      <c r="C36" s="6">
        <v>13743</v>
      </c>
    </row>
    <row r="37" spans="1:3" x14ac:dyDescent="0.25">
      <c r="A37" s="4" t="s">
        <v>71</v>
      </c>
      <c r="B37" s="4" t="s">
        <v>199</v>
      </c>
      <c r="C37" s="6">
        <v>13727</v>
      </c>
    </row>
    <row r="38" spans="1:3" x14ac:dyDescent="0.25">
      <c r="A38" s="4" t="s">
        <v>72</v>
      </c>
      <c r="B38" s="4" t="s">
        <v>200</v>
      </c>
      <c r="C38" s="6">
        <v>26449</v>
      </c>
    </row>
    <row r="39" spans="1:3" x14ac:dyDescent="0.25">
      <c r="A39" s="4" t="s">
        <v>73</v>
      </c>
      <c r="B39" s="4" t="s">
        <v>201</v>
      </c>
      <c r="C39" s="4">
        <v>13778</v>
      </c>
    </row>
    <row r="40" spans="1:3" x14ac:dyDescent="0.25">
      <c r="A40" s="4" t="s">
        <v>74</v>
      </c>
      <c r="B40" s="4" t="s">
        <v>153</v>
      </c>
      <c r="C40" s="4"/>
    </row>
    <row r="41" spans="1:3" x14ac:dyDescent="0.25">
      <c r="A41" s="4" t="s">
        <v>75</v>
      </c>
      <c r="B41" s="4" t="s">
        <v>153</v>
      </c>
      <c r="C41" s="4"/>
    </row>
    <row r="42" spans="1:3" x14ac:dyDescent="0.25">
      <c r="A42" s="4" t="s">
        <v>68</v>
      </c>
      <c r="B42" s="4" t="s">
        <v>68</v>
      </c>
      <c r="C42" s="6">
        <v>20209</v>
      </c>
    </row>
    <row r="43" spans="1:3" x14ac:dyDescent="0.25">
      <c r="A43" s="5" t="s">
        <v>76</v>
      </c>
      <c r="B43" s="5" t="s">
        <v>76</v>
      </c>
      <c r="C43" s="5">
        <v>13779</v>
      </c>
    </row>
    <row r="44" spans="1:3" x14ac:dyDescent="0.25">
      <c r="A44" s="5" t="s">
        <v>77</v>
      </c>
      <c r="B44" s="5" t="s">
        <v>76</v>
      </c>
      <c r="C44" s="5">
        <v>13779</v>
      </c>
    </row>
    <row r="45" spans="1:3" x14ac:dyDescent="0.25">
      <c r="A45" s="5" t="s">
        <v>78</v>
      </c>
      <c r="B45" s="5" t="s">
        <v>76</v>
      </c>
      <c r="C45" s="5">
        <v>13779</v>
      </c>
    </row>
    <row r="46" spans="1:3" x14ac:dyDescent="0.25">
      <c r="A46" s="4" t="s">
        <v>144</v>
      </c>
      <c r="B46" s="4" t="s">
        <v>202</v>
      </c>
      <c r="C46" s="6">
        <v>20214</v>
      </c>
    </row>
    <row r="47" spans="1:3" x14ac:dyDescent="0.25">
      <c r="A47" s="4" t="s">
        <v>79</v>
      </c>
      <c r="B47" s="4" t="s">
        <v>203</v>
      </c>
      <c r="C47" s="6">
        <v>26450</v>
      </c>
    </row>
    <row r="48" spans="1:3" x14ac:dyDescent="0.25">
      <c r="A48" s="4" t="s">
        <v>70</v>
      </c>
      <c r="B48" s="4" t="s">
        <v>204</v>
      </c>
      <c r="C48" s="6">
        <v>13767</v>
      </c>
    </row>
    <row r="49" spans="1:3" x14ac:dyDescent="0.25">
      <c r="A49" s="4" t="s">
        <v>80</v>
      </c>
      <c r="B49" s="4" t="s">
        <v>80</v>
      </c>
      <c r="C49" s="6">
        <v>20211</v>
      </c>
    </row>
    <row r="50" spans="1:3" x14ac:dyDescent="0.25">
      <c r="A50" s="4" t="s">
        <v>81</v>
      </c>
      <c r="B50" s="2" t="s">
        <v>205</v>
      </c>
      <c r="C50" s="7">
        <v>13775</v>
      </c>
    </row>
    <row r="51" spans="1:3" x14ac:dyDescent="0.25">
      <c r="A51" s="4" t="s">
        <v>82</v>
      </c>
      <c r="B51" s="4" t="s">
        <v>206</v>
      </c>
      <c r="C51" s="4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"/>
  <sheetViews>
    <sheetView zoomScaleNormal="100" workbookViewId="0">
      <selection activeCell="C2" sqref="C2"/>
    </sheetView>
  </sheetViews>
  <sheetFormatPr defaultColWidth="8.5703125" defaultRowHeight="15" x14ac:dyDescent="0.25"/>
  <cols>
    <col min="1" max="1" width="50.28515625" customWidth="1"/>
    <col min="2" max="2" width="35.42578125" bestFit="1" customWidth="1"/>
  </cols>
  <sheetData>
    <row r="1" spans="1:3" x14ac:dyDescent="0.25">
      <c r="A1" s="1" t="s">
        <v>149</v>
      </c>
      <c r="B1" s="2" t="s">
        <v>150</v>
      </c>
      <c r="C1" s="3" t="s">
        <v>151</v>
      </c>
    </row>
    <row r="2" spans="1:3" x14ac:dyDescent="0.25">
      <c r="A2" s="4" t="s">
        <v>37</v>
      </c>
      <c r="B2" s="4" t="s">
        <v>153</v>
      </c>
      <c r="C2" s="4"/>
    </row>
    <row r="3" spans="1:3" x14ac:dyDescent="0.25">
      <c r="A3" s="4" t="s">
        <v>38</v>
      </c>
      <c r="B3" s="4" t="s">
        <v>153</v>
      </c>
      <c r="C3" s="4"/>
    </row>
    <row r="4" spans="1:3" x14ac:dyDescent="0.25">
      <c r="A4" s="4" t="s">
        <v>39</v>
      </c>
      <c r="B4" s="4" t="s">
        <v>179</v>
      </c>
      <c r="C4" s="4">
        <v>20222</v>
      </c>
    </row>
    <row r="5" spans="1:3" x14ac:dyDescent="0.25">
      <c r="A5" s="4" t="s">
        <v>40</v>
      </c>
      <c r="B5" s="4" t="s">
        <v>180</v>
      </c>
      <c r="C5" s="4">
        <v>13720</v>
      </c>
    </row>
    <row r="6" spans="1:3" x14ac:dyDescent="0.25">
      <c r="A6" s="4" t="s">
        <v>41</v>
      </c>
      <c r="B6" s="4" t="s">
        <v>181</v>
      </c>
      <c r="C6" s="4">
        <v>20221</v>
      </c>
    </row>
    <row r="7" spans="1:3" x14ac:dyDescent="0.25">
      <c r="A7" s="4" t="s">
        <v>42</v>
      </c>
      <c r="B7" s="4" t="s">
        <v>182</v>
      </c>
      <c r="C7" s="4">
        <v>13736</v>
      </c>
    </row>
    <row r="8" spans="1:3" x14ac:dyDescent="0.25">
      <c r="A8" s="4" t="s">
        <v>51</v>
      </c>
      <c r="B8" s="4" t="s">
        <v>153</v>
      </c>
      <c r="C8" s="4"/>
    </row>
    <row r="9" spans="1:3" x14ac:dyDescent="0.25">
      <c r="A9" s="4" t="s">
        <v>43</v>
      </c>
      <c r="B9" s="4" t="s">
        <v>183</v>
      </c>
      <c r="C9" s="4">
        <v>13748</v>
      </c>
    </row>
    <row r="10" spans="1:3" x14ac:dyDescent="0.25">
      <c r="A10" s="4" t="s">
        <v>44</v>
      </c>
      <c r="B10" s="4" t="s">
        <v>52</v>
      </c>
      <c r="C10" s="4">
        <v>20218</v>
      </c>
    </row>
    <row r="11" spans="1:3" x14ac:dyDescent="0.25">
      <c r="A11" s="4" t="s">
        <v>45</v>
      </c>
      <c r="B11" s="4" t="s">
        <v>184</v>
      </c>
      <c r="C11" s="4">
        <v>20217</v>
      </c>
    </row>
    <row r="12" spans="1:3" x14ac:dyDescent="0.25">
      <c r="A12" s="4" t="s">
        <v>46</v>
      </c>
      <c r="B12" s="4" t="s">
        <v>185</v>
      </c>
      <c r="C12" s="4">
        <v>20216</v>
      </c>
    </row>
    <row r="13" spans="1:3" x14ac:dyDescent="0.25">
      <c r="A13" s="4" t="s">
        <v>47</v>
      </c>
      <c r="B13" s="4" t="s">
        <v>186</v>
      </c>
      <c r="C13" s="4">
        <v>20215</v>
      </c>
    </row>
    <row r="14" spans="1:3" x14ac:dyDescent="0.25">
      <c r="A14" s="4" t="s">
        <v>48</v>
      </c>
      <c r="B14" s="4" t="s">
        <v>187</v>
      </c>
      <c r="C14" s="4">
        <v>13753</v>
      </c>
    </row>
    <row r="15" spans="1:3" x14ac:dyDescent="0.25">
      <c r="A15" s="4" t="s">
        <v>49</v>
      </c>
      <c r="B15" s="4" t="s">
        <v>188</v>
      </c>
      <c r="C15" s="4">
        <v>13777</v>
      </c>
    </row>
    <row r="16" spans="1:3" x14ac:dyDescent="0.25">
      <c r="A16" s="4" t="s">
        <v>50</v>
      </c>
      <c r="B16" s="4" t="s">
        <v>153</v>
      </c>
      <c r="C16" s="4"/>
    </row>
    <row r="17" spans="1:3" x14ac:dyDescent="0.25">
      <c r="A17" s="4" t="s">
        <v>51</v>
      </c>
      <c r="B17" s="4" t="s">
        <v>153</v>
      </c>
      <c r="C17" s="4"/>
    </row>
    <row r="18" spans="1:3" x14ac:dyDescent="0.25">
      <c r="A18" s="4" t="s">
        <v>52</v>
      </c>
      <c r="B18" s="4" t="s">
        <v>52</v>
      </c>
      <c r="C18" s="4">
        <v>13780</v>
      </c>
    </row>
    <row r="19" spans="1:3" x14ac:dyDescent="0.25">
      <c r="A19" s="4" t="s">
        <v>53</v>
      </c>
      <c r="B19" s="4" t="s">
        <v>189</v>
      </c>
      <c r="C19" s="4">
        <v>13722</v>
      </c>
    </row>
    <row r="20" spans="1:3" x14ac:dyDescent="0.25">
      <c r="A20" s="4" t="s">
        <v>54</v>
      </c>
      <c r="B20" s="4" t="s">
        <v>190</v>
      </c>
      <c r="C20" s="4">
        <v>29788</v>
      </c>
    </row>
    <row r="21" spans="1:3" x14ac:dyDescent="0.25">
      <c r="A21" s="4" t="s">
        <v>45</v>
      </c>
      <c r="B21" s="4" t="s">
        <v>191</v>
      </c>
      <c r="C21" s="4">
        <v>20230</v>
      </c>
    </row>
    <row r="22" spans="1:3" x14ac:dyDescent="0.25">
      <c r="A22" s="4" t="s">
        <v>55</v>
      </c>
      <c r="B22" s="4" t="s">
        <v>192</v>
      </c>
      <c r="C22" s="4">
        <v>20231</v>
      </c>
    </row>
    <row r="23" spans="1:3" x14ac:dyDescent="0.25">
      <c r="A23" s="4" t="s">
        <v>56</v>
      </c>
      <c r="B23" s="4" t="s">
        <v>56</v>
      </c>
      <c r="C23" s="4">
        <v>20228</v>
      </c>
    </row>
    <row r="24" spans="1:3" x14ac:dyDescent="0.25">
      <c r="A24" s="4" t="s">
        <v>57</v>
      </c>
      <c r="B24" s="4" t="s">
        <v>57</v>
      </c>
      <c r="C24" s="4">
        <v>13750</v>
      </c>
    </row>
    <row r="25" spans="1:3" x14ac:dyDescent="0.25">
      <c r="A25" s="4" t="s">
        <v>58</v>
      </c>
      <c r="B25" s="4" t="s">
        <v>193</v>
      </c>
      <c r="C25" s="4">
        <v>13774</v>
      </c>
    </row>
    <row r="26" spans="1:3" x14ac:dyDescent="0.25">
      <c r="A26" s="4" t="s">
        <v>59</v>
      </c>
      <c r="B26" s="4" t="s">
        <v>59</v>
      </c>
      <c r="C26" s="4">
        <v>13771</v>
      </c>
    </row>
    <row r="27" spans="1:3" x14ac:dyDescent="0.25">
      <c r="A27" s="4" t="s">
        <v>60</v>
      </c>
      <c r="B27" s="4" t="s">
        <v>153</v>
      </c>
      <c r="C27" s="4"/>
    </row>
    <row r="28" spans="1:3" x14ac:dyDescent="0.25">
      <c r="A28" s="4" t="s">
        <v>61</v>
      </c>
      <c r="B28" s="4" t="s">
        <v>153</v>
      </c>
      <c r="C28" s="4"/>
    </row>
    <row r="29" spans="1:3" x14ac:dyDescent="0.25">
      <c r="A29" s="4" t="s">
        <v>62</v>
      </c>
      <c r="B29" s="4" t="s">
        <v>194</v>
      </c>
      <c r="C29" s="4">
        <v>13765</v>
      </c>
    </row>
    <row r="30" spans="1:3" x14ac:dyDescent="0.25">
      <c r="A30" s="4" t="s">
        <v>63</v>
      </c>
      <c r="B30" s="4" t="s">
        <v>195</v>
      </c>
      <c r="C30" s="4">
        <v>13762</v>
      </c>
    </row>
    <row r="31" spans="1:3" x14ac:dyDescent="0.25">
      <c r="A31" s="4" t="s">
        <v>64</v>
      </c>
      <c r="B31" s="4" t="s">
        <v>196</v>
      </c>
      <c r="C31" s="4">
        <v>13773</v>
      </c>
    </row>
    <row r="32" spans="1:3" x14ac:dyDescent="0.25">
      <c r="A32" s="4" t="s">
        <v>65</v>
      </c>
      <c r="B32" s="4" t="s">
        <v>153</v>
      </c>
      <c r="C32" s="4"/>
    </row>
    <row r="33" spans="1:3" x14ac:dyDescent="0.25">
      <c r="A33" s="4" t="s">
        <v>66</v>
      </c>
      <c r="B33" s="4" t="s">
        <v>153</v>
      </c>
      <c r="C33" s="4"/>
    </row>
    <row r="34" spans="1:3" x14ac:dyDescent="0.25">
      <c r="A34" s="4" t="s">
        <v>67</v>
      </c>
      <c r="B34" s="4" t="s">
        <v>153</v>
      </c>
      <c r="C34" s="4"/>
    </row>
    <row r="35" spans="1:3" x14ac:dyDescent="0.25">
      <c r="A35" s="4" t="s">
        <v>68</v>
      </c>
      <c r="B35" s="4" t="s">
        <v>68</v>
      </c>
      <c r="C35" s="4">
        <v>20223</v>
      </c>
    </row>
    <row r="36" spans="1:3" x14ac:dyDescent="0.25">
      <c r="A36" s="4" t="s">
        <v>69</v>
      </c>
      <c r="B36" s="4" t="s">
        <v>197</v>
      </c>
      <c r="C36" s="4">
        <v>20226</v>
      </c>
    </row>
    <row r="37" spans="1:3" x14ac:dyDescent="0.25">
      <c r="A37" s="4" t="s">
        <v>70</v>
      </c>
      <c r="B37" s="4" t="s">
        <v>198</v>
      </c>
      <c r="C37" s="4">
        <v>13743</v>
      </c>
    </row>
    <row r="38" spans="1:3" x14ac:dyDescent="0.25">
      <c r="A38" s="4" t="s">
        <v>71</v>
      </c>
      <c r="B38" s="4" t="s">
        <v>199</v>
      </c>
      <c r="C38" s="4">
        <v>13727</v>
      </c>
    </row>
    <row r="39" spans="1:3" x14ac:dyDescent="0.25">
      <c r="A39" s="4" t="s">
        <v>72</v>
      </c>
      <c r="B39" s="4" t="s">
        <v>200</v>
      </c>
      <c r="C39" s="4">
        <v>26449</v>
      </c>
    </row>
    <row r="40" spans="1:3" x14ac:dyDescent="0.25">
      <c r="A40" s="4" t="s">
        <v>73</v>
      </c>
      <c r="B40" s="4" t="s">
        <v>201</v>
      </c>
      <c r="C40" s="4">
        <v>13778</v>
      </c>
    </row>
    <row r="41" spans="1:3" x14ac:dyDescent="0.25">
      <c r="A41" s="4" t="s">
        <v>74</v>
      </c>
      <c r="B41" s="4" t="s">
        <v>153</v>
      </c>
      <c r="C41" s="4"/>
    </row>
    <row r="42" spans="1:3" x14ac:dyDescent="0.25">
      <c r="A42" s="4" t="s">
        <v>75</v>
      </c>
      <c r="B42" s="4" t="s">
        <v>153</v>
      </c>
      <c r="C42" s="4"/>
    </row>
    <row r="43" spans="1:3" x14ac:dyDescent="0.25">
      <c r="A43" s="4" t="s">
        <v>68</v>
      </c>
      <c r="B43" s="4" t="s">
        <v>68</v>
      </c>
      <c r="C43" s="4">
        <v>20209</v>
      </c>
    </row>
    <row r="44" spans="1:3" x14ac:dyDescent="0.25">
      <c r="A44" s="5" t="s">
        <v>76</v>
      </c>
      <c r="B44" s="5" t="s">
        <v>76</v>
      </c>
      <c r="C44" s="5">
        <v>13779</v>
      </c>
    </row>
    <row r="45" spans="1:3" x14ac:dyDescent="0.25">
      <c r="A45" s="5" t="s">
        <v>77</v>
      </c>
      <c r="B45" s="5" t="s">
        <v>76</v>
      </c>
      <c r="C45" s="5">
        <v>13779</v>
      </c>
    </row>
    <row r="46" spans="1:3" x14ac:dyDescent="0.25">
      <c r="A46" s="5" t="s">
        <v>78</v>
      </c>
      <c r="B46" s="5" t="s">
        <v>76</v>
      </c>
      <c r="C46" s="5">
        <v>13779</v>
      </c>
    </row>
    <row r="47" spans="1:3" x14ac:dyDescent="0.25">
      <c r="A47" s="4" t="s">
        <v>144</v>
      </c>
      <c r="B47" s="4" t="s">
        <v>202</v>
      </c>
      <c r="C47" s="4">
        <v>20214</v>
      </c>
    </row>
    <row r="48" spans="1:3" x14ac:dyDescent="0.25">
      <c r="A48" s="4" t="s">
        <v>79</v>
      </c>
      <c r="B48" s="4" t="s">
        <v>203</v>
      </c>
      <c r="C48" s="4">
        <v>26450</v>
      </c>
    </row>
    <row r="49" spans="1:3" x14ac:dyDescent="0.25">
      <c r="A49" s="4" t="s">
        <v>70</v>
      </c>
      <c r="B49" s="4" t="s">
        <v>204</v>
      </c>
      <c r="C49" s="4">
        <v>13767</v>
      </c>
    </row>
    <row r="50" spans="1:3" x14ac:dyDescent="0.25">
      <c r="A50" s="4" t="s">
        <v>80</v>
      </c>
      <c r="B50" s="4" t="s">
        <v>80</v>
      </c>
      <c r="C50" s="4">
        <v>20211</v>
      </c>
    </row>
    <row r="51" spans="1:3" x14ac:dyDescent="0.25">
      <c r="A51" s="4" t="s">
        <v>81</v>
      </c>
      <c r="B51" s="4" t="s">
        <v>205</v>
      </c>
      <c r="C51" s="4">
        <v>13775</v>
      </c>
    </row>
    <row r="52" spans="1:3" x14ac:dyDescent="0.25">
      <c r="A52" s="4" t="s">
        <v>82</v>
      </c>
      <c r="B52" s="4" t="s">
        <v>206</v>
      </c>
      <c r="C52" s="4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6"/>
  <sheetViews>
    <sheetView zoomScaleNormal="100" workbookViewId="0">
      <selection activeCell="D1" sqref="D1"/>
    </sheetView>
  </sheetViews>
  <sheetFormatPr defaultColWidth="8.5703125" defaultRowHeight="15" x14ac:dyDescent="0.25"/>
  <cols>
    <col min="1" max="2" width="46.42578125" customWidth="1"/>
    <col min="3" max="3" width="7.5703125" bestFit="1" customWidth="1"/>
  </cols>
  <sheetData>
    <row r="1" spans="1:3" x14ac:dyDescent="0.25">
      <c r="A1" s="1" t="s">
        <v>149</v>
      </c>
      <c r="B1" s="2" t="s">
        <v>150</v>
      </c>
      <c r="C1" s="3" t="s">
        <v>151</v>
      </c>
    </row>
    <row r="2" spans="1:3" x14ac:dyDescent="0.25">
      <c r="A2" s="4" t="s">
        <v>83</v>
      </c>
      <c r="B2" s="4" t="s">
        <v>153</v>
      </c>
      <c r="C2" s="4"/>
    </row>
    <row r="3" spans="1:3" x14ac:dyDescent="0.25">
      <c r="A3" s="4" t="s">
        <v>12</v>
      </c>
      <c r="B3" s="4" t="s">
        <v>207</v>
      </c>
      <c r="C3" s="4">
        <v>17539</v>
      </c>
    </row>
    <row r="4" spans="1:3" x14ac:dyDescent="0.25">
      <c r="A4" s="4" t="s">
        <v>84</v>
      </c>
      <c r="B4" s="4" t="s">
        <v>153</v>
      </c>
      <c r="C4" s="4"/>
    </row>
    <row r="5" spans="1:3" x14ac:dyDescent="0.25">
      <c r="A5" s="4" t="s">
        <v>85</v>
      </c>
      <c r="B5" s="4" t="s">
        <v>153</v>
      </c>
      <c r="C5" s="4"/>
    </row>
    <row r="6" spans="1:3" x14ac:dyDescent="0.25">
      <c r="A6" s="4" t="s">
        <v>86</v>
      </c>
      <c r="B6" s="4" t="s">
        <v>208</v>
      </c>
      <c r="C6" s="6">
        <v>30399</v>
      </c>
    </row>
    <row r="7" spans="1:3" x14ac:dyDescent="0.25">
      <c r="A7" s="4" t="s">
        <v>87</v>
      </c>
      <c r="B7" s="4" t="s">
        <v>209</v>
      </c>
      <c r="C7" s="6">
        <v>30479</v>
      </c>
    </row>
    <row r="8" spans="1:3" x14ac:dyDescent="0.25">
      <c r="A8" s="4" t="s">
        <v>88</v>
      </c>
      <c r="B8" s="4" t="s">
        <v>210</v>
      </c>
      <c r="C8" s="6">
        <v>30502</v>
      </c>
    </row>
    <row r="9" spans="1:3" x14ac:dyDescent="0.25">
      <c r="A9" s="4" t="s">
        <v>89</v>
      </c>
      <c r="B9" s="4" t="s">
        <v>211</v>
      </c>
      <c r="C9" s="6">
        <v>30503</v>
      </c>
    </row>
    <row r="10" spans="1:3" x14ac:dyDescent="0.25">
      <c r="A10" s="4" t="s">
        <v>90</v>
      </c>
      <c r="B10" s="4" t="s">
        <v>212</v>
      </c>
      <c r="C10" s="4">
        <v>30505</v>
      </c>
    </row>
    <row r="11" spans="1:3" x14ac:dyDescent="0.25">
      <c r="A11" s="5" t="s">
        <v>91</v>
      </c>
      <c r="B11" s="5" t="s">
        <v>213</v>
      </c>
      <c r="C11" s="5">
        <v>30630</v>
      </c>
    </row>
    <row r="12" spans="1:3" x14ac:dyDescent="0.25">
      <c r="A12" s="4" t="s">
        <v>92</v>
      </c>
      <c r="B12" s="4" t="s">
        <v>153</v>
      </c>
      <c r="C12" s="4"/>
    </row>
    <row r="13" spans="1:3" x14ac:dyDescent="0.25">
      <c r="A13" s="4" t="s">
        <v>93</v>
      </c>
      <c r="B13" s="4" t="s">
        <v>214</v>
      </c>
      <c r="C13" s="4">
        <v>30404</v>
      </c>
    </row>
    <row r="14" spans="1:3" x14ac:dyDescent="0.25">
      <c r="A14" s="4" t="s">
        <v>94</v>
      </c>
      <c r="B14" s="4" t="s">
        <v>215</v>
      </c>
      <c r="C14" s="6">
        <v>30481</v>
      </c>
    </row>
    <row r="15" spans="1:3" x14ac:dyDescent="0.25">
      <c r="A15" s="4" t="s">
        <v>95</v>
      </c>
      <c r="B15" s="4" t="s">
        <v>216</v>
      </c>
      <c r="C15" s="6">
        <v>30577</v>
      </c>
    </row>
    <row r="16" spans="1:3" x14ac:dyDescent="0.25">
      <c r="A16" s="4" t="s">
        <v>96</v>
      </c>
      <c r="B16" s="4" t="s">
        <v>217</v>
      </c>
      <c r="C16" s="6">
        <v>30576</v>
      </c>
    </row>
    <row r="17" spans="1:3" x14ac:dyDescent="0.25">
      <c r="A17" s="5" t="s">
        <v>97</v>
      </c>
      <c r="B17" s="5" t="s">
        <v>213</v>
      </c>
      <c r="C17" s="5">
        <v>30630</v>
      </c>
    </row>
    <row r="18" spans="1:3" x14ac:dyDescent="0.25">
      <c r="A18" s="4" t="s">
        <v>98</v>
      </c>
      <c r="B18" s="2" t="s">
        <v>218</v>
      </c>
      <c r="C18" s="7">
        <v>30511</v>
      </c>
    </row>
    <row r="19" spans="1:3" x14ac:dyDescent="0.25">
      <c r="A19" s="4" t="s">
        <v>84</v>
      </c>
      <c r="B19" s="4" t="s">
        <v>153</v>
      </c>
      <c r="C19" s="4"/>
    </row>
    <row r="20" spans="1:3" x14ac:dyDescent="0.25">
      <c r="A20" s="4" t="s">
        <v>99</v>
      </c>
      <c r="B20" s="4" t="s">
        <v>219</v>
      </c>
      <c r="C20" s="6">
        <v>30487</v>
      </c>
    </row>
    <row r="21" spans="1:3" x14ac:dyDescent="0.25">
      <c r="A21" s="5" t="s">
        <v>100</v>
      </c>
      <c r="B21" s="5" t="s">
        <v>220</v>
      </c>
      <c r="C21" s="5">
        <v>30674</v>
      </c>
    </row>
    <row r="22" spans="1:3" x14ac:dyDescent="0.25">
      <c r="A22" s="4" t="s">
        <v>101</v>
      </c>
      <c r="B22" s="4" t="s">
        <v>221</v>
      </c>
      <c r="C22" s="6">
        <v>30452</v>
      </c>
    </row>
    <row r="23" spans="1:3" x14ac:dyDescent="0.25">
      <c r="A23" s="5" t="s">
        <v>102</v>
      </c>
      <c r="B23" s="5" t="s">
        <v>222</v>
      </c>
      <c r="C23" s="5">
        <v>30518</v>
      </c>
    </row>
    <row r="24" spans="1:3" x14ac:dyDescent="0.25">
      <c r="A24" s="4" t="s">
        <v>103</v>
      </c>
      <c r="B24" s="4" t="s">
        <v>223</v>
      </c>
      <c r="C24" s="6">
        <v>30497</v>
      </c>
    </row>
    <row r="25" spans="1:3" x14ac:dyDescent="0.25">
      <c r="A25" s="5" t="s">
        <v>104</v>
      </c>
      <c r="B25" s="5" t="s">
        <v>222</v>
      </c>
      <c r="C25" s="5">
        <v>30518</v>
      </c>
    </row>
    <row r="26" spans="1:3" x14ac:dyDescent="0.25">
      <c r="A26" s="5" t="s">
        <v>105</v>
      </c>
      <c r="B26" s="5" t="s">
        <v>220</v>
      </c>
      <c r="C26" s="5">
        <v>30674</v>
      </c>
    </row>
    <row r="27" spans="1:3" x14ac:dyDescent="0.25">
      <c r="A27" s="5" t="s">
        <v>106</v>
      </c>
      <c r="B27" s="5" t="s">
        <v>224</v>
      </c>
      <c r="C27" s="5">
        <v>30451</v>
      </c>
    </row>
    <row r="28" spans="1:3" x14ac:dyDescent="0.25">
      <c r="A28" s="5" t="s">
        <v>107</v>
      </c>
      <c r="B28" s="5" t="s">
        <v>222</v>
      </c>
      <c r="C28" s="5">
        <v>30518</v>
      </c>
    </row>
    <row r="29" spans="1:3" x14ac:dyDescent="0.25">
      <c r="A29" s="5" t="s">
        <v>108</v>
      </c>
      <c r="B29" s="5" t="s">
        <v>222</v>
      </c>
      <c r="C29" s="5">
        <v>30518</v>
      </c>
    </row>
    <row r="30" spans="1:3" x14ac:dyDescent="0.25">
      <c r="A30" s="5" t="s">
        <v>109</v>
      </c>
      <c r="B30" s="5" t="s">
        <v>225</v>
      </c>
      <c r="C30" s="5">
        <v>30519</v>
      </c>
    </row>
    <row r="31" spans="1:3" x14ac:dyDescent="0.25">
      <c r="A31" s="4" t="s">
        <v>110</v>
      </c>
      <c r="B31" s="4" t="s">
        <v>226</v>
      </c>
      <c r="C31" s="4">
        <v>17546</v>
      </c>
    </row>
    <row r="32" spans="1:3" x14ac:dyDescent="0.25">
      <c r="A32" s="5" t="s">
        <v>111</v>
      </c>
      <c r="B32" s="5" t="s">
        <v>225</v>
      </c>
      <c r="C32" s="5">
        <v>30519</v>
      </c>
    </row>
    <row r="33" spans="1:3" x14ac:dyDescent="0.25">
      <c r="A33" s="4" t="s">
        <v>112</v>
      </c>
      <c r="B33" s="4" t="s">
        <v>227</v>
      </c>
      <c r="C33" s="6">
        <v>30675</v>
      </c>
    </row>
    <row r="34" spans="1:3" x14ac:dyDescent="0.25">
      <c r="A34" s="5" t="s">
        <v>113</v>
      </c>
      <c r="B34" s="5" t="s">
        <v>224</v>
      </c>
      <c r="C34" s="5">
        <v>30451</v>
      </c>
    </row>
    <row r="35" spans="1:3" x14ac:dyDescent="0.25">
      <c r="A35" s="5" t="s">
        <v>114</v>
      </c>
      <c r="B35" s="5" t="s">
        <v>222</v>
      </c>
      <c r="C35" s="5">
        <v>30518</v>
      </c>
    </row>
    <row r="36" spans="1:3" x14ac:dyDescent="0.25">
      <c r="A36" s="5" t="s">
        <v>115</v>
      </c>
      <c r="B36" s="5" t="s">
        <v>225</v>
      </c>
      <c r="C36" s="5">
        <v>30519</v>
      </c>
    </row>
    <row r="37" spans="1:3" x14ac:dyDescent="0.25">
      <c r="A37" s="4" t="s">
        <v>116</v>
      </c>
      <c r="B37" s="4" t="s">
        <v>228</v>
      </c>
      <c r="C37" s="4">
        <v>30372</v>
      </c>
    </row>
    <row r="38" spans="1:3" x14ac:dyDescent="0.25">
      <c r="A38" s="4" t="s">
        <v>92</v>
      </c>
      <c r="B38" s="4" t="s">
        <v>153</v>
      </c>
      <c r="C38" s="4"/>
    </row>
    <row r="39" spans="1:3" x14ac:dyDescent="0.25">
      <c r="A39" s="4" t="s">
        <v>117</v>
      </c>
      <c r="B39" s="4" t="s">
        <v>229</v>
      </c>
      <c r="C39" s="6">
        <v>30422</v>
      </c>
    </row>
    <row r="40" spans="1:3" x14ac:dyDescent="0.25">
      <c r="A40" s="4" t="s">
        <v>118</v>
      </c>
      <c r="B40" s="4" t="s">
        <v>247</v>
      </c>
      <c r="C40" s="4">
        <v>17538</v>
      </c>
    </row>
    <row r="41" spans="1:3" x14ac:dyDescent="0.25">
      <c r="A41" s="4" t="s">
        <v>119</v>
      </c>
      <c r="B41" s="4" t="s">
        <v>153</v>
      </c>
      <c r="C41" s="4"/>
    </row>
    <row r="42" spans="1:3" x14ac:dyDescent="0.25">
      <c r="A42" s="4" t="s">
        <v>120</v>
      </c>
      <c r="B42" s="4" t="s">
        <v>230</v>
      </c>
      <c r="C42" s="6">
        <v>17556</v>
      </c>
    </row>
    <row r="43" spans="1:3" x14ac:dyDescent="0.25">
      <c r="A43" s="5" t="s">
        <v>121</v>
      </c>
      <c r="B43" s="5" t="s">
        <v>231</v>
      </c>
      <c r="C43" s="5">
        <v>17563</v>
      </c>
    </row>
    <row r="44" spans="1:3" x14ac:dyDescent="0.25">
      <c r="A44" s="5" t="s">
        <v>122</v>
      </c>
      <c r="B44" s="5" t="s">
        <v>231</v>
      </c>
      <c r="C44" s="5">
        <v>17563</v>
      </c>
    </row>
    <row r="45" spans="1:3" x14ac:dyDescent="0.25">
      <c r="A45" s="4" t="s">
        <v>123</v>
      </c>
      <c r="B45" s="4" t="s">
        <v>232</v>
      </c>
      <c r="C45" s="6">
        <v>17557</v>
      </c>
    </row>
    <row r="46" spans="1:3" x14ac:dyDescent="0.25">
      <c r="A46" s="5" t="s">
        <v>124</v>
      </c>
      <c r="B46" s="5" t="s">
        <v>231</v>
      </c>
      <c r="C46" s="5">
        <v>17563</v>
      </c>
    </row>
    <row r="47" spans="1:3" x14ac:dyDescent="0.25">
      <c r="A47" s="5" t="s">
        <v>125</v>
      </c>
      <c r="B47" s="5" t="s">
        <v>233</v>
      </c>
      <c r="C47" s="5">
        <v>30662</v>
      </c>
    </row>
    <row r="48" spans="1:3" x14ac:dyDescent="0.25">
      <c r="A48" s="4" t="s">
        <v>126</v>
      </c>
      <c r="B48" s="4" t="s">
        <v>234</v>
      </c>
      <c r="C48" s="4">
        <v>30375</v>
      </c>
    </row>
    <row r="49" spans="1:3" x14ac:dyDescent="0.25">
      <c r="A49" s="5" t="s">
        <v>127</v>
      </c>
      <c r="B49" s="5" t="s">
        <v>233</v>
      </c>
      <c r="C49" s="5">
        <v>30662</v>
      </c>
    </row>
    <row r="50" spans="1:3" x14ac:dyDescent="0.25">
      <c r="A50" s="4" t="s">
        <v>128</v>
      </c>
      <c r="B50" s="4" t="s">
        <v>235</v>
      </c>
      <c r="C50" s="4">
        <v>30412</v>
      </c>
    </row>
    <row r="51" spans="1:3" x14ac:dyDescent="0.25">
      <c r="A51" s="4" t="s">
        <v>129</v>
      </c>
      <c r="B51" s="4" t="s">
        <v>236</v>
      </c>
      <c r="C51" s="6">
        <v>30485</v>
      </c>
    </row>
    <row r="52" spans="1:3" x14ac:dyDescent="0.25">
      <c r="A52" s="4" t="s">
        <v>93</v>
      </c>
      <c r="B52" s="4" t="s">
        <v>214</v>
      </c>
      <c r="C52" s="6">
        <v>30402</v>
      </c>
    </row>
    <row r="53" spans="1:3" x14ac:dyDescent="0.25">
      <c r="A53" s="4" t="s">
        <v>119</v>
      </c>
      <c r="B53" s="4" t="s">
        <v>237</v>
      </c>
      <c r="C53" s="4">
        <v>17537</v>
      </c>
    </row>
    <row r="54" spans="1:3" x14ac:dyDescent="0.25">
      <c r="A54" s="4" t="s">
        <v>130</v>
      </c>
      <c r="B54" s="4" t="s">
        <v>153</v>
      </c>
      <c r="C54" s="4"/>
    </row>
    <row r="55" spans="1:3" x14ac:dyDescent="0.25">
      <c r="A55" s="4" t="s">
        <v>131</v>
      </c>
      <c r="B55" s="4" t="s">
        <v>238</v>
      </c>
      <c r="C55" s="6">
        <v>30658</v>
      </c>
    </row>
    <row r="56" spans="1:3" x14ac:dyDescent="0.25">
      <c r="A56" s="4" t="s">
        <v>132</v>
      </c>
      <c r="B56" s="4" t="s">
        <v>239</v>
      </c>
      <c r="C56" s="4">
        <v>30659</v>
      </c>
    </row>
    <row r="57" spans="1:3" x14ac:dyDescent="0.25">
      <c r="A57" s="4" t="s">
        <v>133</v>
      </c>
      <c r="B57" s="4" t="s">
        <v>153</v>
      </c>
      <c r="C57" s="4"/>
    </row>
    <row r="58" spans="1:3" x14ac:dyDescent="0.25">
      <c r="A58" s="4" t="s">
        <v>134</v>
      </c>
      <c r="B58" s="4" t="s">
        <v>240</v>
      </c>
      <c r="C58" s="6">
        <v>30484</v>
      </c>
    </row>
    <row r="59" spans="1:3" x14ac:dyDescent="0.25">
      <c r="A59" s="4" t="s">
        <v>135</v>
      </c>
      <c r="B59" s="4" t="s">
        <v>241</v>
      </c>
      <c r="C59" s="6">
        <v>17528</v>
      </c>
    </row>
    <row r="60" spans="1:3" x14ac:dyDescent="0.25">
      <c r="A60" s="5" t="s">
        <v>136</v>
      </c>
      <c r="B60" s="5" t="s">
        <v>242</v>
      </c>
      <c r="C60" s="5">
        <v>17543</v>
      </c>
    </row>
    <row r="61" spans="1:3" x14ac:dyDescent="0.25">
      <c r="A61" s="5" t="s">
        <v>137</v>
      </c>
      <c r="B61" s="5" t="s">
        <v>242</v>
      </c>
      <c r="C61" s="5">
        <v>17543</v>
      </c>
    </row>
    <row r="62" spans="1:3" x14ac:dyDescent="0.25">
      <c r="A62" s="4" t="s">
        <v>130</v>
      </c>
      <c r="B62" s="4" t="s">
        <v>243</v>
      </c>
      <c r="C62" s="4">
        <v>17536</v>
      </c>
    </row>
    <row r="63" spans="1:3" x14ac:dyDescent="0.25">
      <c r="A63" s="4" t="s">
        <v>138</v>
      </c>
      <c r="B63" s="4" t="s">
        <v>244</v>
      </c>
      <c r="C63" s="4">
        <v>30458</v>
      </c>
    </row>
    <row r="64" spans="1:3" x14ac:dyDescent="0.25">
      <c r="A64" s="4" t="s">
        <v>139</v>
      </c>
      <c r="B64" s="4" t="s">
        <v>245</v>
      </c>
      <c r="C64" s="6">
        <v>17519</v>
      </c>
    </row>
    <row r="65" spans="1:3" x14ac:dyDescent="0.25">
      <c r="A65" s="4" t="s">
        <v>140</v>
      </c>
      <c r="B65" s="9" t="s">
        <v>246</v>
      </c>
      <c r="C65" s="10">
        <v>30371</v>
      </c>
    </row>
    <row r="66" spans="1:3" x14ac:dyDescent="0.25">
      <c r="A66" s="4" t="s">
        <v>141</v>
      </c>
      <c r="B66" s="4"/>
      <c r="C66" s="4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6"/>
  <sheetViews>
    <sheetView zoomScaleNormal="100" workbookViewId="0">
      <selection activeCell="B1" sqref="B1:C1048576"/>
    </sheetView>
  </sheetViews>
  <sheetFormatPr defaultColWidth="8.5703125" defaultRowHeight="15" x14ac:dyDescent="0.25"/>
  <cols>
    <col min="1" max="2" width="51" customWidth="1"/>
  </cols>
  <sheetData>
    <row r="1" spans="1:3" x14ac:dyDescent="0.25">
      <c r="A1" s="1" t="s">
        <v>149</v>
      </c>
      <c r="B1" s="2" t="s">
        <v>150</v>
      </c>
      <c r="C1" s="3" t="s">
        <v>151</v>
      </c>
    </row>
    <row r="2" spans="1:3" x14ac:dyDescent="0.25">
      <c r="A2" s="4" t="s">
        <v>83</v>
      </c>
      <c r="B2" s="4" t="str">
        <f>_xlfn.XLOOKUP(A2,CFS_Standalone!A:A,CFS_Standalone!B:B)</f>
        <v>Lable</v>
      </c>
      <c r="C2" s="4"/>
    </row>
    <row r="3" spans="1:3" x14ac:dyDescent="0.25">
      <c r="A3" s="4" t="s">
        <v>12</v>
      </c>
      <c r="B3" s="4" t="str">
        <f>_xlfn.XLOOKUP(A3,CFS_Standalone!A:A,CFS_Standalone!B:B)</f>
        <v>Net Profit Before Tax And Exceptional Item</v>
      </c>
      <c r="C3" s="4">
        <f>_xlfn.XLOOKUP(A3,CFS_Standalone!A:A,CFS_Standalone!C:C)</f>
        <v>17539</v>
      </c>
    </row>
    <row r="4" spans="1:3" x14ac:dyDescent="0.25">
      <c r="A4" s="4" t="s">
        <v>84</v>
      </c>
      <c r="B4" s="4" t="str">
        <f>_xlfn.XLOOKUP(A4,CFS_Standalone!A:A,CFS_Standalone!B:B)</f>
        <v>Lable</v>
      </c>
      <c r="C4" s="4"/>
    </row>
    <row r="5" spans="1:3" x14ac:dyDescent="0.25">
      <c r="A5" s="4" t="s">
        <v>85</v>
      </c>
      <c r="B5" s="4" t="str">
        <f>_xlfn.XLOOKUP(A5,CFS_Standalone!A:A,CFS_Standalone!B:B)</f>
        <v>Lable</v>
      </c>
      <c r="C5" s="4"/>
    </row>
    <row r="6" spans="1:3" x14ac:dyDescent="0.25">
      <c r="A6" s="4" t="s">
        <v>86</v>
      </c>
      <c r="B6" s="4" t="str">
        <f>_xlfn.XLOOKUP(A6,CFS_Standalone!A:A,CFS_Standalone!B:B)</f>
        <v>Depreciation and Amortisation Expense</v>
      </c>
      <c r="C6" s="4">
        <f>_xlfn.XLOOKUP(A6,CFS_Standalone!A:A,CFS_Standalone!C:C)</f>
        <v>30399</v>
      </c>
    </row>
    <row r="7" spans="1:3" x14ac:dyDescent="0.25">
      <c r="A7" s="4" t="s">
        <v>87</v>
      </c>
      <c r="B7" s="4" t="str">
        <f>_xlfn.XLOOKUP(A7,CFS_Standalone!A:A,CFS_Standalone!B:B)</f>
        <v>Interest Expense</v>
      </c>
      <c r="C7" s="4">
        <f>_xlfn.XLOOKUP(A7,CFS_Standalone!A:A,CFS_Standalone!C:C)</f>
        <v>30479</v>
      </c>
    </row>
    <row r="8" spans="1:3" x14ac:dyDescent="0.25">
      <c r="A8" s="4" t="s">
        <v>88</v>
      </c>
      <c r="B8" s="4" t="str">
        <f>_xlfn.XLOOKUP(A8,CFS_Standalone!A:A,CFS_Standalone!B:B)</f>
        <v>Loss On Sale Of Fixed Assets</v>
      </c>
      <c r="C8" s="4">
        <f>_xlfn.XLOOKUP(A8,CFS_Standalone!A:A,CFS_Standalone!C:C)</f>
        <v>30502</v>
      </c>
    </row>
    <row r="9" spans="1:3" x14ac:dyDescent="0.25">
      <c r="A9" s="4" t="s">
        <v>89</v>
      </c>
      <c r="B9" s="4" t="str">
        <f>_xlfn.XLOOKUP(A9,CFS_Standalone!A:A,CFS_Standalone!B:B)</f>
        <v>Loss On Sale Of Investments</v>
      </c>
      <c r="C9" s="4">
        <f>_xlfn.XLOOKUP(A9,CFS_Standalone!A:A,CFS_Standalone!C:C)</f>
        <v>30503</v>
      </c>
    </row>
    <row r="10" spans="1:3" x14ac:dyDescent="0.25">
      <c r="A10" s="4" t="s">
        <v>90</v>
      </c>
      <c r="B10" s="4" t="str">
        <f>_xlfn.XLOOKUP(A10,CFS_Standalone!A:A,CFS_Standalone!B:B)</f>
        <v>Miscellaneous Expenditure Written Off</v>
      </c>
      <c r="C10" s="4">
        <f>_xlfn.XLOOKUP(A10,CFS_Standalone!A:A,CFS_Standalone!C:C)</f>
        <v>30505</v>
      </c>
    </row>
    <row r="11" spans="1:3" x14ac:dyDescent="0.25">
      <c r="A11" s="5" t="s">
        <v>91</v>
      </c>
      <c r="B11" s="5" t="str">
        <f>_xlfn.XLOOKUP(A11,CFS_Standalone!A:A,CFS_Standalone!B:B)</f>
        <v>Provision For Dimunition In Investments</v>
      </c>
      <c r="C11" s="5">
        <f>_xlfn.XLOOKUP(A11,CFS_Standalone!A:A,CFS_Standalone!C:C)</f>
        <v>30630</v>
      </c>
    </row>
    <row r="12" spans="1:3" x14ac:dyDescent="0.25">
      <c r="A12" s="4" t="s">
        <v>92</v>
      </c>
      <c r="B12" s="4" t="str">
        <f>_xlfn.XLOOKUP(A12,CFS_Standalone!A:A,CFS_Standalone!B:B)</f>
        <v>Lable</v>
      </c>
      <c r="C12" s="4"/>
    </row>
    <row r="13" spans="1:3" x14ac:dyDescent="0.25">
      <c r="A13" s="4" t="s">
        <v>93</v>
      </c>
      <c r="B13" s="4" t="str">
        <f>_xlfn.XLOOKUP(A13,CFS_Standalone!A:A,CFS_Standalone!B:B)</f>
        <v>Dividend Received</v>
      </c>
      <c r="C13" s="4">
        <f>_xlfn.XLOOKUP(A13,CFS_Standalone!A:A,CFS_Standalone!C:C)</f>
        <v>30404</v>
      </c>
    </row>
    <row r="14" spans="1:3" x14ac:dyDescent="0.25">
      <c r="A14" s="4" t="s">
        <v>94</v>
      </c>
      <c r="B14" s="4" t="str">
        <f>_xlfn.XLOOKUP(A14,CFS_Standalone!A:A,CFS_Standalone!B:B)</f>
        <v>Interest Income</v>
      </c>
      <c r="C14" s="4">
        <f>_xlfn.XLOOKUP(A14,CFS_Standalone!A:A,CFS_Standalone!C:C)</f>
        <v>30481</v>
      </c>
    </row>
    <row r="15" spans="1:3" x14ac:dyDescent="0.25">
      <c r="A15" s="4" t="s">
        <v>95</v>
      </c>
      <c r="B15" s="4" t="str">
        <f>_xlfn.XLOOKUP(A15,CFS_Standalone!A:A,CFS_Standalone!B:B)</f>
        <v>Profit On Sale Of Investments</v>
      </c>
      <c r="C15" s="4">
        <f>_xlfn.XLOOKUP(A15,CFS_Standalone!A:A,CFS_Standalone!C:C)</f>
        <v>30577</v>
      </c>
    </row>
    <row r="16" spans="1:3" x14ac:dyDescent="0.25">
      <c r="A16" s="4" t="s">
        <v>96</v>
      </c>
      <c r="B16" s="4" t="str">
        <f>_xlfn.XLOOKUP(A16,CFS_Standalone!A:A,CFS_Standalone!B:B)</f>
        <v>Profit On Sale Of Fixed Assets</v>
      </c>
      <c r="C16" s="4">
        <f>_xlfn.XLOOKUP(A16,CFS_Standalone!A:A,CFS_Standalone!C:C)</f>
        <v>30576</v>
      </c>
    </row>
    <row r="17" spans="1:3" x14ac:dyDescent="0.25">
      <c r="A17" s="5" t="s">
        <v>145</v>
      </c>
      <c r="B17" s="5" t="s">
        <v>213</v>
      </c>
      <c r="C17" s="5">
        <v>30630</v>
      </c>
    </row>
    <row r="18" spans="1:3" x14ac:dyDescent="0.25">
      <c r="A18" s="4" t="s">
        <v>98</v>
      </c>
      <c r="B18" s="4" t="str">
        <f>_xlfn.XLOOKUP(A18,CFS_Standalone!A:A,CFS_Standalone!B:B)</f>
        <v>Operating Profit Before Working Capital Changes</v>
      </c>
      <c r="C18" s="4">
        <f>_xlfn.XLOOKUP(A18,CFS_Standalone!A:A,CFS_Standalone!C:C)</f>
        <v>30511</v>
      </c>
    </row>
    <row r="19" spans="1:3" x14ac:dyDescent="0.25">
      <c r="A19" s="4" t="s">
        <v>84</v>
      </c>
      <c r="B19" s="4" t="str">
        <f>_xlfn.XLOOKUP(A19,CFS_Standalone!A:A,CFS_Standalone!B:B)</f>
        <v>Lable</v>
      </c>
      <c r="C19" s="4"/>
    </row>
    <row r="20" spans="1:3" x14ac:dyDescent="0.25">
      <c r="A20" s="4" t="s">
        <v>99</v>
      </c>
      <c r="B20" s="4" t="str">
        <f>_xlfn.XLOOKUP(A20,CFS_Standalone!A:A,CFS_Standalone!B:B)</f>
        <v>Inventories</v>
      </c>
      <c r="C20" s="4">
        <f>_xlfn.XLOOKUP(A20,CFS_Standalone!A:A,CFS_Standalone!C:C)</f>
        <v>30487</v>
      </c>
    </row>
    <row r="21" spans="1:3" x14ac:dyDescent="0.25">
      <c r="A21" s="5" t="s">
        <v>100</v>
      </c>
      <c r="B21" s="5" t="str">
        <f>_xlfn.XLOOKUP(A21,CFS_Standalone!A:A,CFS_Standalone!B:B)</f>
        <v>Trade And Other Receivables</v>
      </c>
      <c r="C21" s="5">
        <f>_xlfn.XLOOKUP(A21,CFS_Standalone!A:A,CFS_Standalone!C:C)</f>
        <v>30674</v>
      </c>
    </row>
    <row r="22" spans="1:3" x14ac:dyDescent="0.25">
      <c r="A22" s="4" t="s">
        <v>101</v>
      </c>
      <c r="B22" s="4" t="str">
        <f>_xlfn.XLOOKUP(A22,CFS_Standalone!A:A,CFS_Standalone!B:B)</f>
        <v>Adjustments for other financial assets, non-current</v>
      </c>
      <c r="C22" s="4">
        <f>_xlfn.XLOOKUP(A22,CFS_Standalone!A:A,CFS_Standalone!C:C)</f>
        <v>30452</v>
      </c>
    </row>
    <row r="23" spans="1:3" x14ac:dyDescent="0.25">
      <c r="A23" s="5" t="s">
        <v>102</v>
      </c>
      <c r="B23" s="5" t="str">
        <f>_xlfn.XLOOKUP(A23,CFS_Standalone!A:A,CFS_Standalone!B:B)</f>
        <v>Other Current and Non Current Assets</v>
      </c>
      <c r="C23" s="5">
        <f>_xlfn.XLOOKUP(A23,CFS_Standalone!A:A,CFS_Standalone!C:C)</f>
        <v>30518</v>
      </c>
    </row>
    <row r="24" spans="1:3" x14ac:dyDescent="0.25">
      <c r="A24" s="4" t="s">
        <v>146</v>
      </c>
      <c r="B24" s="4" t="s">
        <v>223</v>
      </c>
      <c r="C24" s="6">
        <v>30497</v>
      </c>
    </row>
    <row r="25" spans="1:3" x14ac:dyDescent="0.25">
      <c r="A25" s="5" t="s">
        <v>147</v>
      </c>
      <c r="B25" s="5" t="s">
        <v>222</v>
      </c>
      <c r="C25" s="5">
        <v>30518</v>
      </c>
    </row>
    <row r="26" spans="1:3" x14ac:dyDescent="0.25">
      <c r="A26" s="5" t="s">
        <v>105</v>
      </c>
      <c r="B26" s="5" t="str">
        <f>_xlfn.XLOOKUP(A26,CFS_Standalone!A:A,CFS_Standalone!B:B)</f>
        <v>Trade And Other Receivables</v>
      </c>
      <c r="C26" s="5">
        <f>_xlfn.XLOOKUP(A26,CFS_Standalone!A:A,CFS_Standalone!C:C)</f>
        <v>30674</v>
      </c>
    </row>
    <row r="27" spans="1:3" x14ac:dyDescent="0.25">
      <c r="A27" s="5" t="s">
        <v>106</v>
      </c>
      <c r="B27" s="5" t="str">
        <f>_xlfn.XLOOKUP(A27,CFS_Standalone!A:A,CFS_Standalone!B:B)</f>
        <v>Adjustments for other financial assets, current</v>
      </c>
      <c r="C27" s="5">
        <f>_xlfn.XLOOKUP(A27,CFS_Standalone!A:A,CFS_Standalone!C:C)</f>
        <v>30451</v>
      </c>
    </row>
    <row r="28" spans="1:3" x14ac:dyDescent="0.25">
      <c r="A28" s="5" t="s">
        <v>107</v>
      </c>
      <c r="B28" s="5" t="str">
        <f>_xlfn.XLOOKUP(A28,CFS_Standalone!A:A,CFS_Standalone!B:B)</f>
        <v>Other Current and Non Current Assets</v>
      </c>
      <c r="C28" s="5">
        <f>_xlfn.XLOOKUP(A28,CFS_Standalone!A:A,CFS_Standalone!C:C)</f>
        <v>30518</v>
      </c>
    </row>
    <row r="29" spans="1:3" x14ac:dyDescent="0.25">
      <c r="A29" s="5" t="s">
        <v>108</v>
      </c>
      <c r="B29" s="5" t="str">
        <f>_xlfn.XLOOKUP(A29,CFS_Standalone!A:A,CFS_Standalone!B:B)</f>
        <v>Other Current and Non Current Assets</v>
      </c>
      <c r="C29" s="5">
        <f>_xlfn.XLOOKUP(A29,CFS_Standalone!A:A,CFS_Standalone!C:C)</f>
        <v>30518</v>
      </c>
    </row>
    <row r="30" spans="1:3" x14ac:dyDescent="0.25">
      <c r="A30" s="5" t="s">
        <v>148</v>
      </c>
      <c r="B30" s="5" t="s">
        <v>225</v>
      </c>
      <c r="C30" s="5">
        <v>30519</v>
      </c>
    </row>
    <row r="31" spans="1:3" x14ac:dyDescent="0.25">
      <c r="A31" s="4" t="s">
        <v>110</v>
      </c>
      <c r="B31" s="4" t="str">
        <f>_xlfn.XLOOKUP(A31,CFS_Standalone!A:A,CFS_Standalone!B:B)</f>
        <v>Others-From Operations</v>
      </c>
      <c r="C31" s="4">
        <f>_xlfn.XLOOKUP(A31,CFS_Standalone!A:A,CFS_Standalone!C:C)</f>
        <v>17546</v>
      </c>
    </row>
    <row r="32" spans="1:3" x14ac:dyDescent="0.25">
      <c r="A32" s="5" t="s">
        <v>111</v>
      </c>
      <c r="B32" s="5" t="str">
        <f>_xlfn.XLOOKUP(A32,CFS_Standalone!A:A,CFS_Standalone!B:B)</f>
        <v>Other Current and Non Current Liabilities</v>
      </c>
      <c r="C32" s="5">
        <f>_xlfn.XLOOKUP(A32,CFS_Standalone!A:A,CFS_Standalone!C:C)</f>
        <v>30519</v>
      </c>
    </row>
    <row r="33" spans="1:3" x14ac:dyDescent="0.25">
      <c r="A33" s="4" t="s">
        <v>112</v>
      </c>
      <c r="B33" s="4" t="str">
        <f>_xlfn.XLOOKUP(A33,CFS_Standalone!A:A,CFS_Standalone!B:B)</f>
        <v>Trade Payables And Others</v>
      </c>
      <c r="C33" s="4">
        <f>_xlfn.XLOOKUP(A33,CFS_Standalone!A:A,CFS_Standalone!C:C)</f>
        <v>30675</v>
      </c>
    </row>
    <row r="34" spans="1:3" x14ac:dyDescent="0.25">
      <c r="A34" s="5" t="s">
        <v>113</v>
      </c>
      <c r="B34" s="5" t="str">
        <f>_xlfn.XLOOKUP(A34,CFS_Standalone!A:A,CFS_Standalone!B:B)</f>
        <v>Adjustments for other financial assets, current</v>
      </c>
      <c r="C34" s="5">
        <f>_xlfn.XLOOKUP(A34,CFS_Standalone!A:A,CFS_Standalone!C:C)</f>
        <v>30451</v>
      </c>
    </row>
    <row r="35" spans="1:3" x14ac:dyDescent="0.25">
      <c r="A35" s="5" t="s">
        <v>114</v>
      </c>
      <c r="B35" s="5" t="str">
        <f>_xlfn.XLOOKUP(A35,CFS_Standalone!A:A,CFS_Standalone!B:B)</f>
        <v>Other Current and Non Current Assets</v>
      </c>
      <c r="C35" s="5">
        <f>_xlfn.XLOOKUP(A35,CFS_Standalone!A:A,CFS_Standalone!C:C)</f>
        <v>30518</v>
      </c>
    </row>
    <row r="36" spans="1:3" x14ac:dyDescent="0.25">
      <c r="A36" s="5" t="s">
        <v>115</v>
      </c>
      <c r="B36" s="5" t="str">
        <f>_xlfn.XLOOKUP(A36,CFS_Standalone!A:A,CFS_Standalone!B:B)</f>
        <v>Other Current and Non Current Liabilities</v>
      </c>
      <c r="C36" s="5">
        <f>_xlfn.XLOOKUP(A36,CFS_Standalone!A:A,CFS_Standalone!C:C)</f>
        <v>30519</v>
      </c>
    </row>
    <row r="37" spans="1:3" x14ac:dyDescent="0.25">
      <c r="A37" s="4" t="s">
        <v>116</v>
      </c>
      <c r="B37" s="4" t="str">
        <f>_xlfn.XLOOKUP(A37,CFS_Standalone!A:A,CFS_Standalone!B:B)</f>
        <v>Cash Generated From Operations</v>
      </c>
      <c r="C37" s="4">
        <f>_xlfn.XLOOKUP(A37,CFS_Standalone!A:A,CFS_Standalone!C:C)</f>
        <v>30372</v>
      </c>
    </row>
    <row r="38" spans="1:3" x14ac:dyDescent="0.25">
      <c r="A38" s="4" t="s">
        <v>92</v>
      </c>
      <c r="B38" s="4" t="str">
        <f>_xlfn.XLOOKUP(A38,CFS_Standalone!A:A,CFS_Standalone!B:B)</f>
        <v>Lable</v>
      </c>
      <c r="C38" s="4"/>
    </row>
    <row r="39" spans="1:3" x14ac:dyDescent="0.25">
      <c r="A39" s="4" t="s">
        <v>117</v>
      </c>
      <c r="B39" s="4" t="str">
        <f>_xlfn.XLOOKUP(A39,CFS_Standalone!A:A,CFS_Standalone!B:B)</f>
        <v>Income Tax Paid</v>
      </c>
      <c r="C39" s="4">
        <f>_xlfn.XLOOKUP(A39,CFS_Standalone!A:A,CFS_Standalone!C:C)</f>
        <v>30422</v>
      </c>
    </row>
    <row r="40" spans="1:3" x14ac:dyDescent="0.25">
      <c r="A40" s="4" t="s">
        <v>118</v>
      </c>
      <c r="B40" s="4" t="str">
        <f>_xlfn.XLOOKUP(A40,CFS_Standalone!A:A,CFS_Standalone!B:B)</f>
        <v>Net Cash Flow From Operating Activities</v>
      </c>
      <c r="C40" s="4"/>
    </row>
    <row r="41" spans="1:3" x14ac:dyDescent="0.25">
      <c r="A41" s="4" t="s">
        <v>119</v>
      </c>
      <c r="B41" s="4" t="str">
        <f>_xlfn.XLOOKUP(A41,CFS_Standalone!A:A,CFS_Standalone!B:B)</f>
        <v>Lable</v>
      </c>
      <c r="C41" s="4"/>
    </row>
    <row r="42" spans="1:3" x14ac:dyDescent="0.25">
      <c r="A42" s="4" t="s">
        <v>120</v>
      </c>
      <c r="B42" s="4" t="str">
        <f>_xlfn.XLOOKUP(A42,CFS_Standalone!A:A,CFS_Standalone!B:B)</f>
        <v>Purchase Of Fixed Assets (Tangible / Intangible)</v>
      </c>
      <c r="C42" s="4">
        <f>_xlfn.XLOOKUP(A42,CFS_Standalone!A:A,CFS_Standalone!C:C)</f>
        <v>17556</v>
      </c>
    </row>
    <row r="43" spans="1:3" x14ac:dyDescent="0.25">
      <c r="A43" s="5" t="s">
        <v>121</v>
      </c>
      <c r="B43" s="5" t="str">
        <f>_xlfn.XLOOKUP(A43,CFS_Standalone!A:A,CFS_Standalone!B:B)</f>
        <v>Sale Of Investments</v>
      </c>
      <c r="C43" s="5">
        <f>_xlfn.XLOOKUP(A43,CFS_Standalone!A:A,CFS_Standalone!C:C)</f>
        <v>17563</v>
      </c>
    </row>
    <row r="44" spans="1:3" x14ac:dyDescent="0.25">
      <c r="A44" s="5" t="s">
        <v>122</v>
      </c>
      <c r="B44" s="5" t="str">
        <f>_xlfn.XLOOKUP(A44,CFS_Standalone!A:A,CFS_Standalone!B:B)</f>
        <v>Sale Of Investments</v>
      </c>
      <c r="C44" s="5">
        <f>_xlfn.XLOOKUP(A44,CFS_Standalone!A:A,CFS_Standalone!C:C)</f>
        <v>17563</v>
      </c>
    </row>
    <row r="45" spans="1:3" x14ac:dyDescent="0.25">
      <c r="A45" s="4" t="s">
        <v>123</v>
      </c>
      <c r="B45" s="4" t="str">
        <f>_xlfn.XLOOKUP(A45,CFS_Standalone!A:A,CFS_Standalone!B:B)</f>
        <v>Purchase Of Investments</v>
      </c>
      <c r="C45" s="4">
        <f>_xlfn.XLOOKUP(A45,CFS_Standalone!A:A,CFS_Standalone!C:C)</f>
        <v>17557</v>
      </c>
    </row>
    <row r="46" spans="1:3" x14ac:dyDescent="0.25">
      <c r="A46" s="5" t="s">
        <v>124</v>
      </c>
      <c r="B46" s="5" t="str">
        <f>_xlfn.XLOOKUP(A46,CFS_Standalone!A:A,CFS_Standalone!B:B)</f>
        <v>Sale Of Investments</v>
      </c>
      <c r="C46" s="5">
        <f>_xlfn.XLOOKUP(A46,CFS_Standalone!A:A,CFS_Standalone!C:C)</f>
        <v>17563</v>
      </c>
    </row>
    <row r="47" spans="1:3" x14ac:dyDescent="0.25">
      <c r="A47" s="5" t="s">
        <v>125</v>
      </c>
      <c r="B47" s="5" t="str">
        <f>_xlfn.XLOOKUP(A47,CFS_Standalone!A:A,CFS_Standalone!B:B)</f>
        <v>Sale Of Fixed Assets (Tangible / Intangible)</v>
      </c>
      <c r="C47" s="5">
        <f>_xlfn.XLOOKUP(A47,CFS_Standalone!A:A,CFS_Standalone!C:C)</f>
        <v>30662</v>
      </c>
    </row>
    <row r="48" spans="1:3" x14ac:dyDescent="0.25">
      <c r="A48" s="4" t="s">
        <v>126</v>
      </c>
      <c r="B48" s="4" t="str">
        <f>_xlfn.XLOOKUP(A48,CFS_Standalone!A:A,CFS_Standalone!B:B)</f>
        <v>Cash Receipts from Repayment of Advances and Loans Made to Other Parties</v>
      </c>
      <c r="C48" s="4">
        <f>_xlfn.XLOOKUP(A48,CFS_Standalone!A:A,CFS_Standalone!C:C)</f>
        <v>30375</v>
      </c>
    </row>
    <row r="49" spans="1:3" x14ac:dyDescent="0.25">
      <c r="A49" s="5" t="s">
        <v>127</v>
      </c>
      <c r="B49" s="5" t="str">
        <f>_xlfn.XLOOKUP(A49,CFS_Standalone!A:A,CFS_Standalone!B:B)</f>
        <v>Sale Of Fixed Assets (Tangible / Intangible)</v>
      </c>
      <c r="C49" s="5">
        <f>_xlfn.XLOOKUP(A49,CFS_Standalone!A:A,CFS_Standalone!C:C)</f>
        <v>30662</v>
      </c>
    </row>
    <row r="50" spans="1:3" x14ac:dyDescent="0.25">
      <c r="A50" s="4" t="s">
        <v>128</v>
      </c>
      <c r="B50" s="4" t="str">
        <f>_xlfn.XLOOKUP(A50,CFS_Standalone!A:A,CFS_Standalone!B:B)</f>
        <v>Fixed Deposits</v>
      </c>
      <c r="C50" s="4">
        <f>_xlfn.XLOOKUP(A50,CFS_Standalone!A:A,CFS_Standalone!C:C)</f>
        <v>30412</v>
      </c>
    </row>
    <row r="51" spans="1:3" x14ac:dyDescent="0.25">
      <c r="A51" s="4" t="s">
        <v>129</v>
      </c>
      <c r="B51" s="4" t="str">
        <f>_xlfn.XLOOKUP(A51,CFS_Standalone!A:A,CFS_Standalone!B:B)</f>
        <v>Interest Received</v>
      </c>
      <c r="C51" s="4">
        <f>_xlfn.XLOOKUP(A51,CFS_Standalone!A:A,CFS_Standalone!C:C)</f>
        <v>30485</v>
      </c>
    </row>
    <row r="52" spans="1:3" x14ac:dyDescent="0.25">
      <c r="A52" s="4" t="s">
        <v>93</v>
      </c>
      <c r="B52" s="4" t="s">
        <v>214</v>
      </c>
      <c r="C52" s="4">
        <v>30402</v>
      </c>
    </row>
    <row r="53" spans="1:3" x14ac:dyDescent="0.25">
      <c r="A53" s="4" t="s">
        <v>119</v>
      </c>
      <c r="B53" s="4" t="s">
        <v>237</v>
      </c>
      <c r="C53" s="4">
        <v>17537</v>
      </c>
    </row>
    <row r="54" spans="1:3" x14ac:dyDescent="0.25">
      <c r="A54" s="4" t="s">
        <v>130</v>
      </c>
      <c r="B54" s="4" t="str">
        <f>_xlfn.XLOOKUP(A54,CFS_Standalone!A:A,CFS_Standalone!B:B)</f>
        <v>Lable</v>
      </c>
      <c r="C54" s="4"/>
    </row>
    <row r="55" spans="1:3" x14ac:dyDescent="0.25">
      <c r="A55" s="4" t="s">
        <v>131</v>
      </c>
      <c r="B55" s="4" t="str">
        <f>_xlfn.XLOOKUP(A55,CFS_Standalone!A:A,CFS_Standalone!B:B)</f>
        <v>Repayment Of Long Term Borrowings</v>
      </c>
      <c r="C55" s="4">
        <f>_xlfn.XLOOKUP(A55,CFS_Standalone!A:A,CFS_Standalone!C:C)</f>
        <v>30658</v>
      </c>
    </row>
    <row r="56" spans="1:3" x14ac:dyDescent="0.25">
      <c r="A56" s="4" t="s">
        <v>132</v>
      </c>
      <c r="B56" s="4" t="str">
        <f>_xlfn.XLOOKUP(A56,CFS_Standalone!A:A,CFS_Standalone!B:B)</f>
        <v>Repayment Of Short Term Borrowings</v>
      </c>
      <c r="C56" s="4">
        <f>_xlfn.XLOOKUP(A56,CFS_Standalone!A:A,CFS_Standalone!C:C)</f>
        <v>30659</v>
      </c>
    </row>
    <row r="57" spans="1:3" x14ac:dyDescent="0.25">
      <c r="A57" s="4" t="s">
        <v>133</v>
      </c>
      <c r="B57" s="4" t="str">
        <f>_xlfn.XLOOKUP(A57,CFS_Standalone!A:A,CFS_Standalone!B:B)</f>
        <v>Lable</v>
      </c>
      <c r="C57" s="4"/>
    </row>
    <row r="58" spans="1:3" x14ac:dyDescent="0.25">
      <c r="A58" s="4" t="s">
        <v>134</v>
      </c>
      <c r="B58" s="4" t="str">
        <f>_xlfn.XLOOKUP(A58,CFS_Standalone!A:A,CFS_Standalone!B:B)</f>
        <v>Interest Paid</v>
      </c>
      <c r="C58" s="4">
        <f>_xlfn.XLOOKUP(A58,CFS_Standalone!A:A,CFS_Standalone!C:C)</f>
        <v>30484</v>
      </c>
    </row>
    <row r="59" spans="1:3" x14ac:dyDescent="0.25">
      <c r="A59" s="4" t="s">
        <v>135</v>
      </c>
      <c r="B59" s="4" t="str">
        <f>_xlfn.XLOOKUP(A59,CFS_Standalone!A:A,CFS_Standalone!B:B)</f>
        <v>Dividend Paid</v>
      </c>
      <c r="C59" s="4">
        <f>_xlfn.XLOOKUP(A59,CFS_Standalone!A:A,CFS_Standalone!C:C)</f>
        <v>17528</v>
      </c>
    </row>
    <row r="60" spans="1:3" x14ac:dyDescent="0.25">
      <c r="A60" s="5" t="s">
        <v>136</v>
      </c>
      <c r="B60" s="5" t="str">
        <f>_xlfn.XLOOKUP(A60,CFS_Standalone!A:A,CFS_Standalone!B:B)</f>
        <v>Others-Financing Activities</v>
      </c>
      <c r="C60" s="5">
        <f>_xlfn.XLOOKUP(A60,CFS_Standalone!A:A,CFS_Standalone!C:C)</f>
        <v>17543</v>
      </c>
    </row>
    <row r="61" spans="1:3" x14ac:dyDescent="0.25">
      <c r="A61" s="5" t="s">
        <v>137</v>
      </c>
      <c r="B61" s="5" t="str">
        <f>_xlfn.XLOOKUP(A61,CFS_Standalone!A:A,CFS_Standalone!B:B)</f>
        <v>Others-Financing Activities</v>
      </c>
      <c r="C61" s="5">
        <f>_xlfn.XLOOKUP(A61,CFS_Standalone!A:A,CFS_Standalone!C:C)</f>
        <v>17543</v>
      </c>
    </row>
    <row r="62" spans="1:3" x14ac:dyDescent="0.25">
      <c r="A62" s="4" t="s">
        <v>130</v>
      </c>
      <c r="B62" s="4" t="s">
        <v>243</v>
      </c>
      <c r="C62" s="4">
        <v>17536</v>
      </c>
    </row>
    <row r="63" spans="1:3" x14ac:dyDescent="0.25">
      <c r="A63" s="4" t="s">
        <v>138</v>
      </c>
      <c r="B63" s="4" t="str">
        <f>_xlfn.XLOOKUP(A63,CFS_Standalone!A:A,CFS_Standalone!B:B)</f>
        <v>Net increase (decrease) in cash and cash equivalents before effect of exchange rate changes</v>
      </c>
      <c r="C63" s="4">
        <f>_xlfn.XLOOKUP(A63,CFS_Standalone!A:A,CFS_Standalone!C:C)</f>
        <v>30458</v>
      </c>
    </row>
    <row r="64" spans="1:3" x14ac:dyDescent="0.25">
      <c r="A64" s="4" t="s">
        <v>139</v>
      </c>
      <c r="B64" s="4" t="str">
        <f>_xlfn.XLOOKUP(A64,CFS_Standalone!A:A,CFS_Standalone!B:B)</f>
        <v>Cash and Cash Equivalents at the Beginning of the Year</v>
      </c>
      <c r="C64" s="4">
        <f>_xlfn.XLOOKUP(A64,CFS_Standalone!A:A,CFS_Standalone!C:C)</f>
        <v>17519</v>
      </c>
    </row>
    <row r="65" spans="1:3" x14ac:dyDescent="0.25">
      <c r="A65" s="4" t="s">
        <v>140</v>
      </c>
      <c r="B65" s="4" t="str">
        <f>_xlfn.XLOOKUP(A65,CFS_Standalone!A:A,CFS_Standalone!B:B)</f>
        <v>Cash and Cash Equivalents at the End of the Year</v>
      </c>
      <c r="C65" s="4">
        <f>_xlfn.XLOOKUP(A65,CFS_Standalone!A:A,CFS_Standalone!C:C)</f>
        <v>30371</v>
      </c>
    </row>
    <row r="66" spans="1:3" x14ac:dyDescent="0.25">
      <c r="A66" s="4" t="s">
        <v>141</v>
      </c>
      <c r="B66" s="4"/>
      <c r="C66" s="4"/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135F-8355-4F1E-BDEF-4DF29624CC31}">
  <dimension ref="A1:C1"/>
  <sheetViews>
    <sheetView workbookViewId="0"/>
  </sheetViews>
  <sheetFormatPr defaultRowHeight="15" x14ac:dyDescent="0.25"/>
  <sheetData>
    <row r="1" spans="1:3" x14ac:dyDescent="0.25">
      <c r="A1" s="1" t="s">
        <v>149</v>
      </c>
      <c r="B1" s="2" t="s">
        <v>150</v>
      </c>
      <c r="C1" s="3" t="s">
        <v>151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5ADD-D61B-42B6-9ECE-787720DE84EE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149</v>
      </c>
      <c r="B1" s="2" t="s">
        <v>150</v>
      </c>
      <c r="C1" s="3" t="s">
        <v>151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3</cp:revision>
  <dcterms:created xsi:type="dcterms:W3CDTF">2025-12-31T05:51:39Z</dcterms:created>
  <dcterms:modified xsi:type="dcterms:W3CDTF">2026-01-21T05:30:44Z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2026-01-01T12:23:51Z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ca2efed2-11b2-4dbd-90c3-dfeb3f30c430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