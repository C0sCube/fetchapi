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592DF9CC-DD28-4AA5-B151-F74B96050C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2" r:id="rId1"/>
    <sheet name="P&amp;L_Consolidated" sheetId="5" r:id="rId2"/>
    <sheet name="BS_Standalone" sheetId="1" r:id="rId3"/>
    <sheet name="BS_Consolidated" sheetId="4" r:id="rId4"/>
    <sheet name="CFS_Standalone" sheetId="3" r:id="rId5"/>
    <sheet name="CFS_Consolidated" sheetId="6" r:id="rId6"/>
    <sheet name="SR_Standalone" sheetId="8" r:id="rId7"/>
    <sheet name="SR_Consolidated" sheetId="7" r:id="rId8"/>
  </sheets>
  <externalReferences>
    <externalReference r:id="rId9"/>
  </externalReferences>
  <definedNames>
    <definedName name="_xlnm._FilterDatabase" localSheetId="2" hidden="1">BS_Standalone!$A$1:$C$27</definedName>
    <definedName name="_xlnm._FilterDatabase" localSheetId="4" hidden="1">CFS_Standalone!$A$1:$C$31</definedName>
    <definedName name="_xlnm._FilterDatabase" localSheetId="0" hidden="1">'P&amp;L_Standalone'!$A$1:$C$36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5" i="2"/>
  <c r="C8" i="2"/>
  <c r="C10" i="2"/>
  <c r="C11" i="2"/>
  <c r="C12" i="2"/>
  <c r="C14" i="2"/>
  <c r="C15" i="2"/>
  <c r="C18" i="2"/>
  <c r="C26" i="2"/>
  <c r="C29" i="2"/>
  <c r="C33" i="2"/>
</calcChain>
</file>

<file path=xl/sharedStrings.xml><?xml version="1.0" encoding="utf-8"?>
<sst xmlns="http://schemas.openxmlformats.org/spreadsheetml/2006/main" count="186" uniqueCount="145">
  <si>
    <t>ASSETS</t>
  </si>
  <si>
    <t>Non Current Assets :</t>
  </si>
  <si>
    <t>Property Plant and Equipment</t>
  </si>
  <si>
    <t>Capital Work In Progress</t>
  </si>
  <si>
    <t>Intangible Assets</t>
  </si>
  <si>
    <t>Non-Current Investments</t>
  </si>
  <si>
    <t>Deferred Tax Asset</t>
  </si>
  <si>
    <t>Current Assets:</t>
  </si>
  <si>
    <t>Financial Assets :</t>
  </si>
  <si>
    <t>Trade Receivables</t>
  </si>
  <si>
    <t>Current Investments</t>
  </si>
  <si>
    <t>Cash and Cash Equivalents</t>
  </si>
  <si>
    <t>Other Current Assets</t>
  </si>
  <si>
    <t>TOTAL</t>
  </si>
  <si>
    <t>EQUITY AND LIABILITIES</t>
  </si>
  <si>
    <t>EQUITY :</t>
  </si>
  <si>
    <t>Equity Share Capital</t>
  </si>
  <si>
    <t>Other Equity</t>
  </si>
  <si>
    <t>LIABILITIES :</t>
  </si>
  <si>
    <t>Non Current Liabilities :</t>
  </si>
  <si>
    <t>Long Term Borrowings</t>
  </si>
  <si>
    <t>Current Liabilities :</t>
  </si>
  <si>
    <t>Trade Payables</t>
  </si>
  <si>
    <t>Other Current Liabilities</t>
  </si>
  <si>
    <t>Short Term Provisions</t>
  </si>
  <si>
    <t>REVENUE :</t>
  </si>
  <si>
    <t>Revenue from Operations</t>
  </si>
  <si>
    <t>Other Income :</t>
  </si>
  <si>
    <t>Other Income</t>
  </si>
  <si>
    <t>Changes in Value of Investments</t>
  </si>
  <si>
    <t>Total Other Income</t>
  </si>
  <si>
    <t>Employee Benefits Expense</t>
  </si>
  <si>
    <t>Finance Cost</t>
  </si>
  <si>
    <t>Depreciation and Amortisation Expense</t>
  </si>
  <si>
    <t>Any Item exceeding 10% of the total expenditure - Listing Fee</t>
  </si>
  <si>
    <t>Other Administrative Expenses</t>
  </si>
  <si>
    <t>Total Other Expenses</t>
  </si>
  <si>
    <t>Total Expenses</t>
  </si>
  <si>
    <t>Exceptional Items - Prior Period expenses</t>
  </si>
  <si>
    <t>Extraordinary Items : Profit on sale of Developed Software</t>
  </si>
  <si>
    <t>Tax Expense:</t>
  </si>
  <si>
    <t>CurrentTax</t>
  </si>
  <si>
    <t>Income Tax - Earlier Years</t>
  </si>
  <si>
    <t>Deferred Tax</t>
  </si>
  <si>
    <t>Other Comprehensive Income</t>
  </si>
  <si>
    <t>Paid-up Share Capital</t>
  </si>
  <si>
    <t>Face Value of the Shares</t>
  </si>
  <si>
    <t>Other Equity :</t>
  </si>
  <si>
    <t>Total Reserves</t>
  </si>
  <si>
    <t>Basic</t>
  </si>
  <si>
    <t>Diluted</t>
  </si>
  <si>
    <t>Cash Flow from Operating Activities</t>
  </si>
  <si>
    <t>Net Profit / (Loss) before Tax</t>
  </si>
  <si>
    <t>Adjustments for:</t>
  </si>
  <si>
    <t>Depreciation</t>
  </si>
  <si>
    <t>Profit on Sale of Asset</t>
  </si>
  <si>
    <t>Operating Profit before Working Capital Changes</t>
  </si>
  <si>
    <t>Decrease / (Increase) in Trade Receivables</t>
  </si>
  <si>
    <t>Decrease / (Increase) in Short Term Loans And Advances</t>
  </si>
  <si>
    <t>Decrease / (Increase) in Other Current Assets</t>
  </si>
  <si>
    <t>Increase / (Decrease) in Trade Payables</t>
  </si>
  <si>
    <t>Increase / (Decrease) in Short Term Provisions</t>
  </si>
  <si>
    <t>Cash generated from Operating Activities</t>
  </si>
  <si>
    <t>Income Tax Paid</t>
  </si>
  <si>
    <t>Net Cash Flow from Operating Activities</t>
  </si>
  <si>
    <t>Cash Flow from Investing Activities :</t>
  </si>
  <si>
    <t>(Increase) / Decrease in Intangible Assets</t>
  </si>
  <si>
    <t>Changes in Investments</t>
  </si>
  <si>
    <t>Net Cash Flow from Investing Activities</t>
  </si>
  <si>
    <t>Cash Flow from Financing Activities :</t>
  </si>
  <si>
    <t>Increase / (Decrease) in Long Term Borrowings</t>
  </si>
  <si>
    <t>Equity Shares Issued</t>
  </si>
  <si>
    <t>Premium received on issued equity shares</t>
  </si>
  <si>
    <t>Decrease in Capital Work-in-Progress</t>
  </si>
  <si>
    <t>Finance Costs</t>
  </si>
  <si>
    <t>Net Cash Flow from Financing Activities</t>
  </si>
  <si>
    <t>Opening Cash and Cash Equivalents</t>
  </si>
  <si>
    <t>Closing Cash and Cash Equivalents</t>
  </si>
  <si>
    <t>Total Revenue</t>
  </si>
  <si>
    <t>EXPENSES</t>
  </si>
  <si>
    <t>Other Expenses</t>
  </si>
  <si>
    <t>Profit/ (Loss) before Exceptional and Extraordinary items</t>
  </si>
  <si>
    <t>Profit / (Loss) Before Tax</t>
  </si>
  <si>
    <t>Profit/(Loss) After Tax (Continuing operations)</t>
  </si>
  <si>
    <t>Total Comprehensive Income</t>
  </si>
  <si>
    <t>Earnings Per Share (before extraordinary items) (of Rs. 10/- each) Not Annualised :</t>
  </si>
  <si>
    <t>Increase / (Decrease) in Other Current Liabilities</t>
  </si>
  <si>
    <t>Net Increase/(decrease) in Cash and Cash Equivalents</t>
  </si>
  <si>
    <t>Particulars</t>
  </si>
  <si>
    <t>Cogencis Field</t>
  </si>
  <si>
    <t>Field id</t>
  </si>
  <si>
    <t>Miscellaneous Income</t>
  </si>
  <si>
    <t>Profit/(Loss) from Ordinary Activities after Finance Costs but before Exceptional Items</t>
  </si>
  <si>
    <t>Prior Year Income/(Expenditure)</t>
  </si>
  <si>
    <t>Other Exceptional Items</t>
  </si>
  <si>
    <t>Profit/(Loss) From Ordinary Activities before Tax</t>
  </si>
  <si>
    <t>Tax Expense</t>
  </si>
  <si>
    <t>Net Profit From Discontinuing Operations (After Tax)</t>
  </si>
  <si>
    <t>Paid-Up Equity Share Capital</t>
  </si>
  <si>
    <t>Face Value</t>
  </si>
  <si>
    <t>Basic EPS</t>
  </si>
  <si>
    <t>Diluted EPS</t>
  </si>
  <si>
    <t>Property, Plant &amp; Equipment</t>
  </si>
  <si>
    <t>Capital Work-In-Progress</t>
  </si>
  <si>
    <t>Other Intangible Assets</t>
  </si>
  <si>
    <t>Deferred Tax Assets (Net)</t>
  </si>
  <si>
    <t>Cash And Cash Equivalents</t>
  </si>
  <si>
    <t>Total Equity And Liabilities</t>
  </si>
  <si>
    <t>Share Capital</t>
  </si>
  <si>
    <t>Reserves And Surplus/Other Equity</t>
  </si>
  <si>
    <t>Borrowings</t>
  </si>
  <si>
    <t>Other liabilities</t>
  </si>
  <si>
    <t>Short-Term Provisions</t>
  </si>
  <si>
    <t>Interest Expense</t>
  </si>
  <si>
    <t>Operating Profit Before Working Capital Changes</t>
  </si>
  <si>
    <t>Trade And Other Receivables</t>
  </si>
  <si>
    <t>Trade Payables And Others</t>
  </si>
  <si>
    <t>Cash Generated From Operations</t>
  </si>
  <si>
    <t>Net Cash Flow From Operating Activities</t>
  </si>
  <si>
    <t>Net Cash Flow From Investing Activities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</si>
  <si>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</si>
  <si>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</si>
  <si>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</si>
  <si>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</si>
  <si>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</si>
  <si>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Profit On Sale Of Fixed Assets</t>
  </si>
  <si>
    <t>Short Term Loans And Advances</t>
  </si>
  <si>
    <t>Provisions</t>
  </si>
  <si>
    <t>Total Assets</t>
  </si>
  <si>
    <t>Other Current and Non Current Assets</t>
  </si>
  <si>
    <t>Others-From Operations</t>
  </si>
  <si>
    <t>Proceeds From Long Term Borrowings</t>
  </si>
  <si>
    <t>Proceeds From Issue Of Equity Shares (Inclu Share Premium)</t>
  </si>
  <si>
    <t>Others-Financing Activities</t>
  </si>
  <si>
    <t>Interest Paid</t>
  </si>
  <si>
    <t>Gross Sales/Income from Operations</t>
  </si>
  <si>
    <t>Total Income</t>
  </si>
  <si>
    <t>Employee Benefit Expense</t>
  </si>
  <si>
    <t>Depreciation, Depletion and Amortisation Expense</t>
  </si>
  <si>
    <t>Administration Expenses</t>
  </si>
  <si>
    <t>Total Comprehensive Gain (Loss) For the Year</t>
  </si>
  <si>
    <t>Reserve excluding Revaluation Reserves (as per Balance Sheet of Previous Accounting Year)</t>
  </si>
  <si>
    <t>Other Current and Non Current Liabilities</t>
  </si>
  <si>
    <t>Proceeds from sales of intangible assets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</si>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</sst>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" TargetMode="External"/><Relationship Id="rId1" Type="http://schemas.openxmlformats.org/officeDocument/2006/relationships/externalLinkPath" Target="/CFD-Finance/Finstinct%20Output%20Processed%20File/Field%20Mapping%20Combined%20File.xlsx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  <sheetName val="Field Mapping Combined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zoomScaleNormal="100" workbookViewId="0"/>
  </sheetViews>
  <sheetFormatPr defaultRowHeight="15" x14ac:dyDescent="0.25"/>
  <cols>
    <col min="1" max="2" width="45" customWidth="1"/>
    <col min="3" max="3" width="7.5703125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25</v>
      </c>
      <c r="B2" s="3"/>
      <c r="C2" s="3"/>
    </row>
    <row r="3" spans="1:3" x14ac:dyDescent="0.25">
      <c r="A3" s="3" t="s">
        <v>26</v>
      </c>
      <c r="B3" s="3" t="s">
        <v>135</v>
      </c>
      <c r="C3" s="3">
        <f>VLOOKUP(A3,[1]!Standalone_P_L[[#All],[Particulars]:[Field id]],3,0)</f>
        <v>256</v>
      </c>
    </row>
    <row r="4" spans="1:3" x14ac:dyDescent="0.25">
      <c r="A4" s="3" t="s">
        <v>27</v>
      </c>
      <c r="B4" s="3"/>
      <c r="C4" s="3"/>
    </row>
    <row r="5" spans="1:3" x14ac:dyDescent="0.25">
      <c r="A5" s="4" t="s">
        <v>28</v>
      </c>
      <c r="B5" s="4" t="s">
        <v>91</v>
      </c>
      <c r="C5" s="3">
        <f>VLOOKUP(A5,[1]!Standalone_P_L[[#All],[Particulars]:[Field id]],3,0)</f>
        <v>265</v>
      </c>
    </row>
    <row r="6" spans="1:3" x14ac:dyDescent="0.25">
      <c r="A6" s="4" t="s">
        <v>29</v>
      </c>
      <c r="B6" s="4" t="s">
        <v>91</v>
      </c>
      <c r="C6" s="3">
        <v>265</v>
      </c>
    </row>
    <row r="7" spans="1:3" x14ac:dyDescent="0.25">
      <c r="A7" s="3" t="s">
        <v>30</v>
      </c>
      <c r="B7" s="3" t="s">
        <v>30</v>
      </c>
      <c r="C7" s="3">
        <v>321</v>
      </c>
    </row>
    <row r="8" spans="1:3" x14ac:dyDescent="0.25">
      <c r="A8" s="3" t="s">
        <v>78</v>
      </c>
      <c r="B8" s="3" t="s">
        <v>136</v>
      </c>
      <c r="C8" s="3">
        <f>VLOOKUP(A8,[1]!Standalone_P_L[[#All],[Particulars]:[Field id]],3,0)</f>
        <v>25238</v>
      </c>
    </row>
    <row r="9" spans="1:3" x14ac:dyDescent="0.25">
      <c r="A9" s="3" t="s">
        <v>79</v>
      </c>
      <c r="B9" s="3"/>
      <c r="C9" s="3"/>
    </row>
    <row r="10" spans="1:3" x14ac:dyDescent="0.25">
      <c r="A10" s="3" t="s">
        <v>31</v>
      </c>
      <c r="B10" s="3" t="s">
        <v>137</v>
      </c>
      <c r="C10" s="3">
        <f>VLOOKUP(A10,[1]!Standalone_P_L[[#All],[Particulars]:[Field id]],3,0)</f>
        <v>238</v>
      </c>
    </row>
    <row r="11" spans="1:3" x14ac:dyDescent="0.25">
      <c r="A11" s="3" t="s">
        <v>32</v>
      </c>
      <c r="B11" s="3" t="s">
        <v>74</v>
      </c>
      <c r="C11" s="3">
        <f>VLOOKUP(A11,[1]!Standalone_P_L[[#All],[Particulars]:[Field id]],3,0)</f>
        <v>246</v>
      </c>
    </row>
    <row r="12" spans="1:3" x14ac:dyDescent="0.25">
      <c r="A12" s="3" t="s">
        <v>33</v>
      </c>
      <c r="B12" s="3" t="s">
        <v>138</v>
      </c>
      <c r="C12" s="3">
        <f>VLOOKUP(A12,[1]!Standalone_P_L[[#All],[Particulars]:[Field id]],3,0)</f>
        <v>232</v>
      </c>
    </row>
    <row r="13" spans="1:3" x14ac:dyDescent="0.25">
      <c r="A13" s="4" t="s">
        <v>34</v>
      </c>
      <c r="B13" s="4" t="s">
        <v>80</v>
      </c>
      <c r="C13" s="4">
        <v>279</v>
      </c>
    </row>
    <row r="14" spans="1:3" x14ac:dyDescent="0.25">
      <c r="A14" s="4" t="s">
        <v>80</v>
      </c>
      <c r="B14" s="4" t="s">
        <v>80</v>
      </c>
      <c r="C14" s="4">
        <f>VLOOKUP(A14,[1]!Standalone_P_L[[#All],[Particulars]:[Field id]],3,0)</f>
        <v>279</v>
      </c>
    </row>
    <row r="15" spans="1:3" x14ac:dyDescent="0.25">
      <c r="A15" s="3" t="s">
        <v>35</v>
      </c>
      <c r="B15" s="3" t="s">
        <v>139</v>
      </c>
      <c r="C15" s="3">
        <f>VLOOKUP(A15,[1]!Standalone_P_L[[#All],[Particulars]:[Field id]],3,0)</f>
        <v>14861</v>
      </c>
    </row>
    <row r="16" spans="1:3" x14ac:dyDescent="0.25">
      <c r="A16" s="4" t="s">
        <v>29</v>
      </c>
      <c r="B16" s="4" t="s">
        <v>80</v>
      </c>
      <c r="C16" s="4">
        <v>279</v>
      </c>
    </row>
    <row r="17" spans="1:3" x14ac:dyDescent="0.25">
      <c r="A17" s="3" t="s">
        <v>36</v>
      </c>
      <c r="B17" s="3"/>
      <c r="C17" s="3"/>
    </row>
    <row r="18" spans="1:3" x14ac:dyDescent="0.25">
      <c r="A18" s="3" t="s">
        <v>37</v>
      </c>
      <c r="B18" s="3" t="s">
        <v>37</v>
      </c>
      <c r="C18" s="3">
        <f>VLOOKUP(A18,[1]!Standalone_P_L[[#All],[Particulars]:[Field id]],3,0)</f>
        <v>320</v>
      </c>
    </row>
    <row r="19" spans="1:3" x14ac:dyDescent="0.25">
      <c r="A19" s="3" t="s">
        <v>81</v>
      </c>
      <c r="B19" s="3" t="s">
        <v>92</v>
      </c>
      <c r="C19" s="3">
        <v>294</v>
      </c>
    </row>
    <row r="20" spans="1:3" x14ac:dyDescent="0.25">
      <c r="A20" s="3" t="s">
        <v>38</v>
      </c>
      <c r="B20" s="3" t="s">
        <v>93</v>
      </c>
      <c r="C20" s="3">
        <v>301</v>
      </c>
    </row>
    <row r="21" spans="1:3" x14ac:dyDescent="0.25">
      <c r="A21" s="3" t="s">
        <v>39</v>
      </c>
      <c r="B21" s="3" t="s">
        <v>94</v>
      </c>
      <c r="C21" s="3">
        <v>278</v>
      </c>
    </row>
    <row r="22" spans="1:3" x14ac:dyDescent="0.25">
      <c r="A22" s="3" t="s">
        <v>82</v>
      </c>
      <c r="B22" s="3" t="s">
        <v>95</v>
      </c>
      <c r="C22" s="3">
        <v>296</v>
      </c>
    </row>
    <row r="23" spans="1:3" x14ac:dyDescent="0.25">
      <c r="A23" s="3" t="s">
        <v>40</v>
      </c>
      <c r="B23" s="3"/>
      <c r="C23" s="3"/>
    </row>
    <row r="24" spans="1:3" x14ac:dyDescent="0.25">
      <c r="A24" s="4" t="s">
        <v>41</v>
      </c>
      <c r="B24" s="4" t="s">
        <v>96</v>
      </c>
      <c r="C24" s="4">
        <v>318</v>
      </c>
    </row>
    <row r="25" spans="1:3" x14ac:dyDescent="0.25">
      <c r="A25" s="4" t="s">
        <v>42</v>
      </c>
      <c r="B25" s="4" t="s">
        <v>96</v>
      </c>
      <c r="C25" s="4">
        <v>318</v>
      </c>
    </row>
    <row r="26" spans="1:3" x14ac:dyDescent="0.25">
      <c r="A26" s="3" t="s">
        <v>43</v>
      </c>
      <c r="B26" s="3" t="s">
        <v>43</v>
      </c>
      <c r="C26" s="3">
        <f>VLOOKUP(A26,[1]!Standalone_P_L[[#All],[Particulars]:[Field id]],3,0)</f>
        <v>231</v>
      </c>
    </row>
    <row r="27" spans="1:3" x14ac:dyDescent="0.25">
      <c r="A27" s="3" t="s">
        <v>83</v>
      </c>
      <c r="B27" s="3" t="s">
        <v>97</v>
      </c>
      <c r="C27" s="3">
        <v>20015</v>
      </c>
    </row>
    <row r="28" spans="1:3" x14ac:dyDescent="0.25">
      <c r="A28" s="3" t="s">
        <v>44</v>
      </c>
      <c r="B28" s="3" t="s">
        <v>144</v>
      </c>
      <c r="C28" s="5">
        <v>22293</v>
      </c>
    </row>
    <row r="29" spans="1:3" x14ac:dyDescent="0.25">
      <c r="A29" s="3" t="s">
        <v>84</v>
      </c>
      <c r="B29" s="3" t="s">
        <v>140</v>
      </c>
      <c r="C29" s="3">
        <f>VLOOKUP(A29,[1]!Standalone_P_L[[#All],[Particulars]:[Field id]],3,0)</f>
        <v>20019</v>
      </c>
    </row>
    <row r="30" spans="1:3" x14ac:dyDescent="0.25">
      <c r="A30" s="3" t="s">
        <v>45</v>
      </c>
      <c r="B30" s="3" t="s">
        <v>98</v>
      </c>
      <c r="C30" s="3">
        <v>282</v>
      </c>
    </row>
    <row r="31" spans="1:3" x14ac:dyDescent="0.25">
      <c r="A31" s="3" t="s">
        <v>46</v>
      </c>
      <c r="B31" s="3" t="s">
        <v>99</v>
      </c>
      <c r="C31" s="3">
        <v>245</v>
      </c>
    </row>
    <row r="32" spans="1:3" x14ac:dyDescent="0.25">
      <c r="A32" s="3" t="s">
        <v>47</v>
      </c>
      <c r="B32" s="3"/>
      <c r="C32" s="3"/>
    </row>
    <row r="33" spans="1:3" x14ac:dyDescent="0.25">
      <c r="A33" s="3" t="s">
        <v>48</v>
      </c>
      <c r="B33" s="3" t="s">
        <v>141</v>
      </c>
      <c r="C33" s="3">
        <f>VLOOKUP(A33,[1]!Standalone_P_L[[#All],[Particulars]:[Field id]],3,0)</f>
        <v>309</v>
      </c>
    </row>
    <row r="34" spans="1:3" x14ac:dyDescent="0.25">
      <c r="A34" s="3" t="s">
        <v>85</v>
      </c>
      <c r="B34" s="3"/>
      <c r="C34" s="3"/>
    </row>
    <row r="35" spans="1:3" x14ac:dyDescent="0.25">
      <c r="A35" s="3" t="s">
        <v>49</v>
      </c>
      <c r="B35" s="3" t="s">
        <v>100</v>
      </c>
      <c r="C35" s="3">
        <v>222</v>
      </c>
    </row>
    <row r="36" spans="1:3" x14ac:dyDescent="0.25">
      <c r="A36" s="3" t="s">
        <v>50</v>
      </c>
      <c r="B36" s="3" t="s">
        <v>101</v>
      </c>
      <c r="C36" s="3">
        <v>234</v>
      </c>
    </row>
  </sheetData>
  <conditionalFormatting sqref="C1:C1048576">
    <cfRule type="duplicateValues" dxfId="4" priority="1"/>
  </conditionalFormatting>
  <pageMargins left="0.75" right="0.75" top="1" bottom="1" header="0.5" footer="0.5"/>
  <pageSetup paperSize="9" orientation="portrait" verticalDpi="0" r:id="rId1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FEC0-BB53-4A41-A2C3-819EEBF6FAB4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1" max="1" width="28.140625" bestFit="1" customWidth="1"/>
    <col min="2" max="2" width="32.7109375" bestFit="1" customWidth="1"/>
    <col min="3" max="3" width="7.5703125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/>
      <c r="C3" s="3"/>
    </row>
    <row r="4" spans="1:3" x14ac:dyDescent="0.25">
      <c r="A4" s="3" t="s">
        <v>2</v>
      </c>
      <c r="B4" s="3" t="s">
        <v>102</v>
      </c>
      <c r="C4" s="3">
        <v>20222</v>
      </c>
    </row>
    <row r="5" spans="1:3" x14ac:dyDescent="0.25">
      <c r="A5" s="3" t="s">
        <v>3</v>
      </c>
      <c r="B5" s="3" t="s">
        <v>103</v>
      </c>
      <c r="C5" s="3">
        <v>13720</v>
      </c>
    </row>
    <row r="6" spans="1:3" x14ac:dyDescent="0.25">
      <c r="A6" s="3" t="s">
        <v>4</v>
      </c>
      <c r="B6" s="3" t="s">
        <v>104</v>
      </c>
      <c r="C6" s="3">
        <v>20221</v>
      </c>
    </row>
    <row r="7" spans="1:3" x14ac:dyDescent="0.25">
      <c r="A7" s="3" t="s">
        <v>5</v>
      </c>
      <c r="B7" s="3" t="s">
        <v>5</v>
      </c>
      <c r="C7" s="3">
        <v>13748</v>
      </c>
    </row>
    <row r="8" spans="1:3" x14ac:dyDescent="0.25">
      <c r="A8" s="3" t="s">
        <v>6</v>
      </c>
      <c r="B8" s="3" t="s">
        <v>105</v>
      </c>
      <c r="C8" s="3">
        <v>13726</v>
      </c>
    </row>
    <row r="9" spans="1:3" x14ac:dyDescent="0.25">
      <c r="A9" s="3" t="s">
        <v>7</v>
      </c>
      <c r="B9" s="3"/>
      <c r="C9" s="3"/>
    </row>
    <row r="10" spans="1:3" x14ac:dyDescent="0.25">
      <c r="A10" s="3" t="s">
        <v>8</v>
      </c>
      <c r="B10" s="3"/>
      <c r="C10" s="3"/>
    </row>
    <row r="11" spans="1:3" x14ac:dyDescent="0.25">
      <c r="A11" s="3" t="s">
        <v>9</v>
      </c>
      <c r="B11" s="3" t="s">
        <v>9</v>
      </c>
      <c r="C11" s="3">
        <v>13780</v>
      </c>
    </row>
    <row r="12" spans="1:3" x14ac:dyDescent="0.25">
      <c r="A12" s="3" t="s">
        <v>10</v>
      </c>
      <c r="B12" s="3" t="s">
        <v>10</v>
      </c>
      <c r="C12" s="3">
        <v>13724</v>
      </c>
    </row>
    <row r="13" spans="1:3" x14ac:dyDescent="0.25">
      <c r="A13" s="3" t="s">
        <v>11</v>
      </c>
      <c r="B13" s="3" t="s">
        <v>106</v>
      </c>
      <c r="C13" s="3">
        <v>13722</v>
      </c>
    </row>
    <row r="14" spans="1:3" x14ac:dyDescent="0.25">
      <c r="A14" s="3" t="s">
        <v>12</v>
      </c>
      <c r="B14" s="3" t="s">
        <v>12</v>
      </c>
      <c r="C14" s="3">
        <v>13750</v>
      </c>
    </row>
    <row r="15" spans="1:3" x14ac:dyDescent="0.25">
      <c r="A15" s="3" t="s">
        <v>13</v>
      </c>
      <c r="B15" s="3" t="s">
        <v>128</v>
      </c>
      <c r="C15" s="3">
        <v>13771</v>
      </c>
    </row>
    <row r="16" spans="1:3" x14ac:dyDescent="0.25">
      <c r="A16" s="3" t="s">
        <v>14</v>
      </c>
      <c r="B16" s="3"/>
      <c r="C16" s="3"/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108</v>
      </c>
      <c r="C18" s="3">
        <v>13765</v>
      </c>
    </row>
    <row r="19" spans="1:3" x14ac:dyDescent="0.25">
      <c r="A19" s="3" t="s">
        <v>17</v>
      </c>
      <c r="B19" s="3" t="s">
        <v>109</v>
      </c>
      <c r="C19" s="3">
        <v>13762</v>
      </c>
    </row>
    <row r="20" spans="1:3" x14ac:dyDescent="0.25">
      <c r="A20" s="3" t="s">
        <v>18</v>
      </c>
      <c r="B20" s="3"/>
      <c r="C20" s="3"/>
    </row>
    <row r="21" spans="1:3" x14ac:dyDescent="0.25">
      <c r="A21" s="3" t="s">
        <v>19</v>
      </c>
      <c r="B21" s="3"/>
      <c r="C21" s="3"/>
    </row>
    <row r="22" spans="1:3" x14ac:dyDescent="0.25">
      <c r="A22" s="3" t="s">
        <v>20</v>
      </c>
      <c r="B22" s="3" t="s">
        <v>110</v>
      </c>
      <c r="C22" s="3">
        <v>20223</v>
      </c>
    </row>
    <row r="23" spans="1:3" x14ac:dyDescent="0.25">
      <c r="A23" s="3" t="s">
        <v>21</v>
      </c>
      <c r="B23" s="3"/>
      <c r="C23" s="3"/>
    </row>
    <row r="24" spans="1:3" x14ac:dyDescent="0.25">
      <c r="A24" s="3" t="s">
        <v>22</v>
      </c>
      <c r="B24" s="3" t="s">
        <v>22</v>
      </c>
      <c r="C24" s="3">
        <v>13779</v>
      </c>
    </row>
    <row r="25" spans="1:3" x14ac:dyDescent="0.25">
      <c r="A25" s="3" t="s">
        <v>23</v>
      </c>
      <c r="B25" s="3" t="s">
        <v>111</v>
      </c>
      <c r="C25" s="3">
        <v>26450</v>
      </c>
    </row>
    <row r="26" spans="1:3" x14ac:dyDescent="0.25">
      <c r="A26" s="3" t="s">
        <v>24</v>
      </c>
      <c r="B26" s="3" t="s">
        <v>112</v>
      </c>
      <c r="C26" s="3">
        <v>13767</v>
      </c>
    </row>
    <row r="27" spans="1:3" x14ac:dyDescent="0.25">
      <c r="A27" s="3" t="s">
        <v>13</v>
      </c>
      <c r="B27" s="3" t="s">
        <v>107</v>
      </c>
      <c r="C27" s="3">
        <v>13776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CA68-1627-4D99-8DC7-C086D183C44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workbookViewId="0"/>
  </sheetViews>
  <sheetFormatPr defaultRowHeight="15" x14ac:dyDescent="0.25"/>
  <cols>
    <col min="1" max="1" width="51.7109375" bestFit="1" customWidth="1"/>
    <col min="2" max="2" width="50.42578125" bestFit="1" customWidth="1"/>
    <col min="3" max="3" width="7.5703125" bestFit="1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51</v>
      </c>
      <c r="B2" s="3"/>
      <c r="C2" s="3"/>
    </row>
    <row r="3" spans="1:3" x14ac:dyDescent="0.25">
      <c r="A3" s="3" t="s">
        <v>52</v>
      </c>
      <c r="B3" s="3" t="s">
        <v>124</v>
      </c>
      <c r="C3" s="3">
        <v>17539</v>
      </c>
    </row>
    <row r="4" spans="1:3" x14ac:dyDescent="0.25">
      <c r="A4" s="3" t="s">
        <v>53</v>
      </c>
      <c r="B4" s="3"/>
      <c r="C4" s="3"/>
    </row>
    <row r="5" spans="1:3" x14ac:dyDescent="0.25">
      <c r="A5" s="3" t="s">
        <v>54</v>
      </c>
      <c r="B5" s="3" t="s">
        <v>33</v>
      </c>
      <c r="C5" s="3">
        <v>30399</v>
      </c>
    </row>
    <row r="6" spans="1:3" x14ac:dyDescent="0.25">
      <c r="A6" s="3" t="s">
        <v>55</v>
      </c>
      <c r="B6" s="3" t="s">
        <v>125</v>
      </c>
      <c r="C6" s="3">
        <v>30576</v>
      </c>
    </row>
    <row r="7" spans="1:3" x14ac:dyDescent="0.25">
      <c r="A7" s="3" t="s">
        <v>32</v>
      </c>
      <c r="B7" s="3" t="s">
        <v>113</v>
      </c>
      <c r="C7" s="3">
        <v>30479</v>
      </c>
    </row>
    <row r="8" spans="1:3" x14ac:dyDescent="0.25">
      <c r="A8" s="3" t="s">
        <v>56</v>
      </c>
      <c r="B8" s="3" t="s">
        <v>114</v>
      </c>
      <c r="C8" s="3">
        <v>30511</v>
      </c>
    </row>
    <row r="9" spans="1:3" x14ac:dyDescent="0.25">
      <c r="A9" s="3" t="s">
        <v>57</v>
      </c>
      <c r="B9" s="3" t="s">
        <v>115</v>
      </c>
      <c r="C9" s="3">
        <v>30674</v>
      </c>
    </row>
    <row r="10" spans="1:3" x14ac:dyDescent="0.25">
      <c r="A10" s="3" t="s">
        <v>58</v>
      </c>
      <c r="B10" s="3" t="s">
        <v>126</v>
      </c>
      <c r="C10" s="3">
        <v>30667</v>
      </c>
    </row>
    <row r="11" spans="1:3" x14ac:dyDescent="0.25">
      <c r="A11" s="3" t="s">
        <v>59</v>
      </c>
      <c r="B11" s="3" t="s">
        <v>129</v>
      </c>
      <c r="C11" s="3">
        <v>30518</v>
      </c>
    </row>
    <row r="12" spans="1:3" x14ac:dyDescent="0.25">
      <c r="A12" s="3" t="s">
        <v>60</v>
      </c>
      <c r="B12" s="3" t="s">
        <v>116</v>
      </c>
      <c r="C12" s="3">
        <v>30675</v>
      </c>
    </row>
    <row r="13" spans="1:3" x14ac:dyDescent="0.25">
      <c r="A13" s="3" t="s">
        <v>86</v>
      </c>
      <c r="B13" s="3" t="s">
        <v>142</v>
      </c>
      <c r="C13" s="3">
        <v>30519</v>
      </c>
    </row>
    <row r="14" spans="1:3" x14ac:dyDescent="0.25">
      <c r="A14" s="3" t="s">
        <v>61</v>
      </c>
      <c r="B14" s="3" t="s">
        <v>127</v>
      </c>
      <c r="C14" s="3">
        <v>30627</v>
      </c>
    </row>
    <row r="15" spans="1:3" x14ac:dyDescent="0.25">
      <c r="A15" s="3" t="s">
        <v>62</v>
      </c>
      <c r="B15" s="3" t="s">
        <v>117</v>
      </c>
      <c r="C15" s="3">
        <v>30372</v>
      </c>
    </row>
    <row r="16" spans="1:3" x14ac:dyDescent="0.25">
      <c r="A16" s="3" t="s">
        <v>63</v>
      </c>
      <c r="B16" s="3" t="s">
        <v>63</v>
      </c>
      <c r="C16" s="3">
        <v>30422</v>
      </c>
    </row>
    <row r="17" spans="1:3" x14ac:dyDescent="0.25">
      <c r="A17" s="3" t="s">
        <v>64</v>
      </c>
      <c r="B17" s="3" t="s">
        <v>118</v>
      </c>
      <c r="C17" s="3">
        <v>17538</v>
      </c>
    </row>
    <row r="18" spans="1:3" x14ac:dyDescent="0.25">
      <c r="A18" s="3" t="s">
        <v>65</v>
      </c>
      <c r="B18" s="3"/>
      <c r="C18" s="3"/>
    </row>
    <row r="19" spans="1:3" x14ac:dyDescent="0.25">
      <c r="A19" s="3" t="s">
        <v>66</v>
      </c>
      <c r="B19" s="3" t="s">
        <v>143</v>
      </c>
      <c r="C19" s="3">
        <v>30470</v>
      </c>
    </row>
    <row r="20" spans="1:3" x14ac:dyDescent="0.25">
      <c r="A20" s="3" t="s">
        <v>67</v>
      </c>
      <c r="B20" s="3" t="s">
        <v>130</v>
      </c>
      <c r="C20" s="3">
        <v>17546</v>
      </c>
    </row>
    <row r="21" spans="1:3" x14ac:dyDescent="0.25">
      <c r="A21" s="3" t="s">
        <v>68</v>
      </c>
      <c r="B21" s="3" t="s">
        <v>119</v>
      </c>
      <c r="C21" s="3">
        <v>17537</v>
      </c>
    </row>
    <row r="22" spans="1:3" x14ac:dyDescent="0.25">
      <c r="A22" s="3" t="s">
        <v>69</v>
      </c>
      <c r="B22" s="3"/>
      <c r="C22" s="3"/>
    </row>
    <row r="23" spans="1:3" x14ac:dyDescent="0.25">
      <c r="A23" s="3" t="s">
        <v>70</v>
      </c>
      <c r="B23" s="3" t="s">
        <v>131</v>
      </c>
      <c r="C23" s="3">
        <v>17554</v>
      </c>
    </row>
    <row r="24" spans="1:3" x14ac:dyDescent="0.25">
      <c r="A24" s="4" t="s">
        <v>71</v>
      </c>
      <c r="B24" s="4" t="s">
        <v>132</v>
      </c>
      <c r="C24" s="4">
        <v>17553</v>
      </c>
    </row>
    <row r="25" spans="1:3" x14ac:dyDescent="0.25">
      <c r="A25" s="4" t="s">
        <v>72</v>
      </c>
      <c r="B25" s="4" t="s">
        <v>132</v>
      </c>
      <c r="C25" s="4">
        <v>17553</v>
      </c>
    </row>
    <row r="26" spans="1:3" x14ac:dyDescent="0.25">
      <c r="A26" s="3" t="s">
        <v>73</v>
      </c>
      <c r="B26" s="3" t="s">
        <v>133</v>
      </c>
      <c r="C26" s="3">
        <v>17543</v>
      </c>
    </row>
    <row r="27" spans="1:3" x14ac:dyDescent="0.25">
      <c r="A27" s="3" t="s">
        <v>74</v>
      </c>
      <c r="B27" s="3" t="s">
        <v>134</v>
      </c>
      <c r="C27" s="3">
        <v>30484</v>
      </c>
    </row>
    <row r="28" spans="1:3" x14ac:dyDescent="0.25">
      <c r="A28" s="3" t="s">
        <v>75</v>
      </c>
      <c r="B28" s="3" t="s">
        <v>120</v>
      </c>
      <c r="C28" s="3">
        <v>17536</v>
      </c>
    </row>
    <row r="29" spans="1:3" x14ac:dyDescent="0.25">
      <c r="A29" s="3" t="s">
        <v>87</v>
      </c>
      <c r="B29" s="3" t="s">
        <v>121</v>
      </c>
      <c r="C29" s="3">
        <v>17541</v>
      </c>
    </row>
    <row r="30" spans="1:3" x14ac:dyDescent="0.25">
      <c r="A30" s="3" t="s">
        <v>76</v>
      </c>
      <c r="B30" s="3" t="s">
        <v>122</v>
      </c>
      <c r="C30" s="3">
        <v>17519</v>
      </c>
    </row>
    <row r="31" spans="1:3" x14ac:dyDescent="0.25">
      <c r="A31" s="3" t="s">
        <v>77</v>
      </c>
      <c r="B31" s="3" t="s">
        <v>123</v>
      </c>
      <c r="C31" s="3">
        <v>30371</v>
      </c>
    </row>
  </sheetData>
  <conditionalFormatting sqref="C1:C31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1C32-27EA-4F5C-95CC-B8512635EC05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D511-DB7E-4731-836F-02D9C0BF96D8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6DFD-B583-4D5A-885E-D1E9CD5424A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88</v>
      </c>
      <c r="B1" s="1" t="s">
        <v>89</v>
      </c>
      <c r="C1" s="1" t="s">
        <v>90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2026-01-01T12:25:40Z</dcterms:created>
  <dcterms:modified xsi:type="dcterms:W3CDTF">2026-01-20T09:15:17Z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2026-01-05T04:18:45Z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da3db16e-f143-4812-9182-e68503a1a5e7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