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1387F507-A29B-4FA7-B44A-B6E833D39D23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6" r:id="rId1"/>
    <sheet name="P&amp;L_Consolidated" sheetId="3" r:id="rId2"/>
    <sheet name="BS_Standalone" sheetId="7" r:id="rId3"/>
    <sheet name="BS_Consolidated" sheetId="4" r:id="rId4"/>
    <sheet name="CFS_Standalone" sheetId="8" r:id="rId5"/>
    <sheet name="CFS_Consolidated" sheetId="5" r:id="rId6"/>
    <sheet name="SR_Standalone" sheetId="9" r:id="rId7"/>
    <sheet name="SR_Consolidated" sheetId="10" r:id="rId8"/>
  </sheets>
  <definedNames>
    <definedName name="_xlnm._FilterDatabase" localSheetId="3" hidden="1">BS_Consolidated!$A$1:$C$45</definedName>
    <definedName name="_xlnm._FilterDatabase" localSheetId="2" hidden="1">BS_Standalone!$A$1:$C$41</definedName>
    <definedName name="_xlnm._FilterDatabase" localSheetId="5" hidden="1">CFS_Consolidated!$A$1:$C$41</definedName>
    <definedName name="_xlnm._FilterDatabase" localSheetId="4" hidden="1">CFS_Standalone!$A$1:$C$44</definedName>
    <definedName name="_xlnm._FilterDatabase" localSheetId="1" hidden="1">'P&amp;L_Consolidated'!$A$1:$C$35</definedName>
    <definedName name="_xlnm._FilterDatabase" localSheetId="0" hidden="1">'P&amp;L_Standalone'!$A$1:$C$35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5" l="1"/>
  <c r="B41" i="5"/>
  <c r="C40" i="5"/>
  <c r="B40" i="5"/>
  <c r="C36" i="5"/>
  <c r="B36" i="5"/>
  <c r="C35" i="5"/>
  <c r="B35" i="5"/>
  <c r="C34" i="5"/>
  <c r="B34" i="5"/>
  <c r="C31" i="5"/>
  <c r="B31" i="5"/>
  <c r="C28" i="5"/>
  <c r="B28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5" i="5"/>
  <c r="B15" i="5"/>
  <c r="C14" i="5"/>
  <c r="B14" i="5"/>
  <c r="C13" i="5"/>
  <c r="B13" i="5"/>
  <c r="C11" i="5"/>
  <c r="B11" i="5"/>
  <c r="C10" i="5"/>
  <c r="B10" i="5"/>
  <c r="C9" i="5"/>
  <c r="B9" i="5"/>
  <c r="C8" i="5"/>
  <c r="B8" i="5"/>
  <c r="C6" i="5"/>
  <c r="B6" i="5"/>
  <c r="C5" i="5"/>
  <c r="B5" i="5"/>
</calcChain>
</file>

<file path=xl/sharedStrings.xml><?xml version="1.0" encoding="utf-8"?>
<sst xmlns="http://schemas.openxmlformats.org/spreadsheetml/2006/main" count="419" uniqueCount="233">
  <si>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</si>
  <si>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</si>
  <si>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</si>
  <si>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</si>
  <si>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</si>
  <si>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</si>
  <si>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</si>
  <si>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amortization expense</t>
  </si>
  <si>
    <t>Impairment allowance for trade receivables</t>
  </si>
  <si>
    <t>Other expenses</t>
  </si>
  <si>
    <t>Total expenses</t>
  </si>
  <si>
    <t>Exceptional items</t>
  </si>
  <si>
    <t>Total exceptional items</t>
  </si>
  <si>
    <t>Tax expense net</t>
  </si>
  <si>
    <t>Current tax charge</t>
  </si>
  <si>
    <t>Provision - foreign income taxes</t>
  </si>
  <si>
    <t>Deferred tax charge/(credit)</t>
  </si>
  <si>
    <t>Total tax expense</t>
  </si>
  <si>
    <t>Other comprehensive income/ (loss) net of tax expense</t>
  </si>
  <si>
    <t>Items that will be reclassified subsequently to profit or loss:</t>
  </si>
  <si>
    <t>Items that will not be reclassified subsequently to profit or loss:</t>
  </si>
  <si>
    <t>Re-measurement loss on defined benefit plan</t>
  </si>
  <si>
    <t>Total other comprehensive income</t>
  </si>
  <si>
    <t>Other equity</t>
  </si>
  <si>
    <t>Non-current assets</t>
  </si>
  <si>
    <t>Right-of-use assets</t>
  </si>
  <si>
    <t>Goodwill on consolidation</t>
  </si>
  <si>
    <t>Other intangible assets</t>
  </si>
  <si>
    <t>Financial assets</t>
  </si>
  <si>
    <t>Investments</t>
  </si>
  <si>
    <t>Other financial assets</t>
  </si>
  <si>
    <t>Income tax assets (net)</t>
  </si>
  <si>
    <t>Other non-current assets</t>
  </si>
  <si>
    <t>Current assets</t>
  </si>
  <si>
    <t>Loans</t>
  </si>
  <si>
    <t>Trade receivables</t>
  </si>
  <si>
    <t>Cash and cash equivalents</t>
  </si>
  <si>
    <t>Other balances with banks</t>
  </si>
  <si>
    <t>Other current assets</t>
  </si>
  <si>
    <t>Total assets</t>
  </si>
  <si>
    <t>EQUITY AND LIABILITIES</t>
  </si>
  <si>
    <t>Equity</t>
  </si>
  <si>
    <t>Equity share capital</t>
  </si>
  <si>
    <t>T otal equity</t>
  </si>
  <si>
    <t>Liabilities</t>
  </si>
  <si>
    <t>Non-current liabilities</t>
  </si>
  <si>
    <t>Financial liabilities</t>
  </si>
  <si>
    <t>Lease liabilities</t>
  </si>
  <si>
    <t>Provisions</t>
  </si>
  <si>
    <t>Deferred tax liabilities (net)</t>
  </si>
  <si>
    <t>Current liabilities</t>
  </si>
  <si>
    <t>Other financial liabilities</t>
  </si>
  <si>
    <t>Other current liabilities</t>
  </si>
  <si>
    <t>Income tax liabilities (net)</t>
  </si>
  <si>
    <t>Total liabilities</t>
  </si>
  <si>
    <t>T otal equity and liabilities</t>
  </si>
  <si>
    <t>Cash flow from operating activities</t>
  </si>
  <si>
    <t>Amortization of intangible assets</t>
  </si>
  <si>
    <t>Interest income (including fair value changes)</t>
  </si>
  <si>
    <t>Net gain on sale of investment (including fair value changes)</t>
  </si>
  <si>
    <t>Finance costs (including fair value changes)</t>
  </si>
  <si>
    <t>Employee share based payments expense</t>
  </si>
  <si>
    <t>Gain on termination/ modification of lease agreement</t>
  </si>
  <si>
    <t>Profit on sale of business unit</t>
  </si>
  <si>
    <t>Net foreign exchange differences</t>
  </si>
  <si>
    <t>Operating profit/ (loss) before working capital changes</t>
  </si>
  <si>
    <t>Working capital adjustments:</t>
  </si>
  <si>
    <t>(Increase)/ decrease in loans</t>
  </si>
  <si>
    <t>(Increase)/ decrease in trade receivables</t>
  </si>
  <si>
    <t>(Increase)/ decrease in other financial assets and other assets</t>
  </si>
  <si>
    <t>Increase/ (decrease) in trade payables</t>
  </si>
  <si>
    <t>Increase/ (decrease) in other financial liabilities</t>
  </si>
  <si>
    <t>Increase/ (decrease) in other current liabilities</t>
  </si>
  <si>
    <t>Increase/ (decrease) in provisions</t>
  </si>
  <si>
    <t>Income tax refund (net)</t>
  </si>
  <si>
    <t>Net cash flows generated from/ (used in) operating activities</t>
  </si>
  <si>
    <t>Cash flow from investing activities</t>
  </si>
  <si>
    <t>Proceeds from sale of investments in mutual fund (net of purchase)</t>
  </si>
  <si>
    <t>Net withdrawal / (investment) in deposit account</t>
  </si>
  <si>
    <t>Interest received</t>
  </si>
  <si>
    <t>Net cash flows generated from/ (used in) investing activities</t>
  </si>
  <si>
    <t>Proceeds from sale of treasury shares</t>
  </si>
  <si>
    <t>Interest paid on lease liabilities</t>
  </si>
  <si>
    <t>Repayment of principal portion of lease liabilities</t>
  </si>
  <si>
    <t>Net cash flows used in financing activities</t>
  </si>
  <si>
    <t>Net foreign exchange difference on cash and cash equivalents</t>
  </si>
  <si>
    <t>Cash and cash equivalents at the beginning of the period</t>
  </si>
  <si>
    <t>Cash and cash equivalents at the end of the period</t>
  </si>
  <si>
    <t>Current tax</t>
  </si>
  <si>
    <t>Deferred tax charge</t>
  </si>
  <si>
    <t>Items that will not be reclassified subsequently to profit or loss</t>
  </si>
  <si>
    <t>Re-measurement loss on defined benefits plan</t>
  </si>
  <si>
    <t>Total other comprehensive loss</t>
  </si>
  <si>
    <t>Intangible assets</t>
  </si>
  <si>
    <t>Income tax asset (net)</t>
  </si>
  <si>
    <t>Total equity</t>
  </si>
  <si>
    <t>Total equity and liabilities</t>
  </si>
  <si>
    <t>Profit /(loss) before tax</t>
  </si>
  <si>
    <t>Share of loss from Limited Liability Partnerships (net)</t>
  </si>
  <si>
    <t>Operating loss before working capital changes</t>
  </si>
  <si>
    <t>Drawings from Limited Liability Partnerships</t>
  </si>
  <si>
    <t>Share of loss paid to Limited Liability Partnerships</t>
  </si>
  <si>
    <t>Sale of mutual funds (net of purchases)</t>
  </si>
  <si>
    <t>Proceeds from liquidation of subsidiary (Subex Account Aggregator Services Pvt Ltd)</t>
  </si>
  <si>
    <t>Net (investment in)/ withdrawal from deposit account</t>
  </si>
  <si>
    <t>Net cash flows (used in) / generated from investing activities</t>
  </si>
  <si>
    <t>Cash flow from financing activities</t>
  </si>
  <si>
    <t>Net cash flows used infinancing activities</t>
  </si>
  <si>
    <t>Profit/(loss) before exceptional items and tax expense</t>
  </si>
  <si>
    <t>Profit on sales of business unit</t>
  </si>
  <si>
    <t>Profit /(loss) before tax expense</t>
  </si>
  <si>
    <t>Net Profit /(loss) for the period/ year</t>
  </si>
  <si>
    <t>Net exchange differences gain/(loss) on translation of foreign operations</t>
  </si>
  <si>
    <t>Total comprehensive income/(loss) for the period year</t>
  </si>
  <si>
    <t>Paid up equity share capital [face value of ₹ 5 per share]</t>
  </si>
  <si>
    <t>Earnings per share (of ₹ 5/- each) (not annualised in case of the interim periods)</t>
  </si>
  <si>
    <t>Basic (₹)</t>
  </si>
  <si>
    <t>Diluted {₹)</t>
  </si>
  <si>
    <t>ASSETS</t>
  </si>
  <si>
    <t>Property, plant and equipment</t>
  </si>
  <si>
    <t>Trade payables</t>
  </si>
  <si>
    <t>total outstanding dues of micro enterprises and small enterprises</t>
  </si>
  <si>
    <t>total outstanding dues of creditors other than micro enterprises and small enterprises</t>
  </si>
  <si>
    <t>Profit/ (loss) before tax</t>
  </si>
  <si>
    <t>Adjustments to reconcile profit/(loss) before tax to net cash flows:</t>
  </si>
  <si>
    <t>Depreciation of property, plant and equipment and right-of-use assets</t>
  </si>
  <si>
    <t>Loss on disposal of property, plant and equipment (net)</t>
  </si>
  <si>
    <t>Purchase of property, plant and equipment, other intangible assets and capital advances</t>
  </si>
  <si>
    <t>Net increase/ (decrease) in cash and cash equivalents</t>
  </si>
  <si>
    <t>Share of loss from Limited Liability Partnerships before exceptional items (net)</t>
  </si>
  <si>
    <t>Profit /(loss) before exceptional items and tax expense</t>
  </si>
  <si>
    <t>Share of profit from Limited Liability Partnerships</t>
  </si>
  <si>
    <t>Tax expense, net</t>
  </si>
  <si>
    <t>Other comprehensive (loss)/ income, net of tax expense</t>
  </si>
  <si>
    <t>Total comprehensive income /(loss) for the period/ year</t>
  </si>
  <si>
    <t>Paid up equity share capital [face value of  ₹ 5 per share]</t>
  </si>
  <si>
    <t>Diluted (₹)</t>
  </si>
  <si>
    <t xml:space="preserve">Trade payables </t>
  </si>
  <si>
    <t>Adjustments to reconcile Profit /(loss) before tax to net cash flows:</t>
  </si>
  <si>
    <t>Loss/ (gain) on disposal of property, plant and equipment</t>
  </si>
  <si>
    <t>Net increase in cash and cash equivalents</t>
  </si>
  <si>
    <t>Particulars</t>
  </si>
  <si>
    <t>Cogencis Field</t>
  </si>
  <si>
    <t>Field id</t>
  </si>
  <si>
    <t>Provision/Written Off/for Contingencies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</si>
  <si>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</si>
  <si>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</si>
  <si>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</si>
  <si>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</si>
  <si>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</si>
  <si>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</si>
  <si>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</si>
  <si>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</si>
  <si>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Other Exceptional Items</t>
  </si>
  <si>
    <t>Tax Expense</t>
  </si>
  <si>
    <t>Deferred Tax</t>
  </si>
  <si>
    <t>Reserve excluding Revaluation Reserves (as per Balance Sheet of Previous Accounting Year)</t>
  </si>
  <si>
    <t>Basic EPS</t>
  </si>
  <si>
    <t>Diluted EPS</t>
  </si>
  <si>
    <t>Profit/(Loss) from Ordinary Activities after Finance Costs but before Exceptional Items</t>
  </si>
  <si>
    <t>Total Exceptional Items</t>
  </si>
  <si>
    <t>Profit/(Loss) From Ordinary Activities before Tax</t>
  </si>
  <si>
    <t>Net Profit/(Loss) for the Period</t>
  </si>
  <si>
    <t>Other Comprehensive Income</t>
  </si>
  <si>
    <t>Items that will not be reclassified to Profit or Loss</t>
  </si>
  <si>
    <t>Total Comprehensive Gain (Loss) For the Year</t>
  </si>
  <si>
    <t>Paid-Up Equity Share Capital</t>
  </si>
  <si>
    <t>Items that will be reclassified to Profit or Loss</t>
  </si>
  <si>
    <t>Property, Plant &amp; Equipment</t>
  </si>
  <si>
    <t>Right-of-use asset</t>
  </si>
  <si>
    <t>Other Intangible Assets</t>
  </si>
  <si>
    <t>Non-Current Investments</t>
  </si>
  <si>
    <t>Other Non-Current Financial Assets</t>
  </si>
  <si>
    <t>Other Non-Current Assets</t>
  </si>
  <si>
    <t>Cash And Cash Equivalents</t>
  </si>
  <si>
    <t>Bank balance other than cash and cash equivalents</t>
  </si>
  <si>
    <t>Other Current Assets</t>
  </si>
  <si>
    <t>Total Assets</t>
  </si>
  <si>
    <t>Share Capital</t>
  </si>
  <si>
    <t>Reserves And Surplus/Other Equity</t>
  </si>
  <si>
    <t>Total Share Holder's Funds</t>
  </si>
  <si>
    <t>Trade Payables</t>
  </si>
  <si>
    <t>Other Current Financial Liabilities</t>
  </si>
  <si>
    <t>Other liabilities</t>
  </si>
  <si>
    <t>Long-Term Provisions</t>
  </si>
  <si>
    <t>TOTAL EQUITY AND LIABILITIES</t>
  </si>
  <si>
    <t>Income Tax assets (net)</t>
  </si>
  <si>
    <t>Current Investments</t>
  </si>
  <si>
    <t>Loans, Current</t>
  </si>
  <si>
    <t>Trade Receivables</t>
  </si>
  <si>
    <t>Other Current Financial Assets</t>
  </si>
  <si>
    <t>Short-Term Provisions</t>
  </si>
  <si>
    <t>Goodwill On Consolidation</t>
  </si>
  <si>
    <t>Deferred Tax Liability (Net)</t>
  </si>
  <si>
    <t>Current Tax Liabilities (Net)</t>
  </si>
  <si>
    <t>Total Equity And Liabilities</t>
  </si>
  <si>
    <t>Interest Received</t>
  </si>
  <si>
    <t>Interest Paid</t>
  </si>
  <si>
    <t>Payments of lease liabilities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</si>
  <si>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</si>
  <si>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</si>
  <si>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</si>
  <si>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</si>
  <si>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Depreciation and Amortisation Expense</t>
  </si>
  <si>
    <t>Others-Before Working Capital Changes</t>
  </si>
  <si>
    <t>Interest Income</t>
  </si>
  <si>
    <t>Profit On Sale Of Fixed Assets</t>
  </si>
  <si>
    <t>Profit On Sale Of Investments</t>
  </si>
  <si>
    <t>Interest Expense</t>
  </si>
  <si>
    <t>Provision For Doubtful Debts</t>
  </si>
  <si>
    <t>Foreign Exchange Gain / Loss</t>
  </si>
  <si>
    <t>Net Cash Flow From Operating Activities</t>
  </si>
  <si>
    <t>Operating Profit Before Working Capital Changes</t>
  </si>
  <si>
    <t>Loans And Advances</t>
  </si>
  <si>
    <t>Trade And Other Receivables</t>
  </si>
  <si>
    <t>Adjustments for other financial assets, non-current</t>
  </si>
  <si>
    <t>Trade Payables And Others</t>
  </si>
  <si>
    <t>Adjustments for other financial liabilities, non-current</t>
  </si>
  <si>
    <t>Other Current and Non Current Liabilities</t>
  </si>
  <si>
    <t>Income Tax Paid</t>
  </si>
  <si>
    <t>Purchase Of Fixed Assets (Tangible / Intangible)</t>
  </si>
  <si>
    <t>Others-Investing Activities</t>
  </si>
  <si>
    <t>Investments in Mutual Funds</t>
  </si>
  <si>
    <t>Fixed Deposits</t>
  </si>
  <si>
    <t>Net Cash Flows from (Used in) Investing Activities before Extraordinary Items</t>
  </si>
  <si>
    <t>Others-Financing Activities</t>
  </si>
  <si>
    <t>Net Cash Flow From Financing Activities</t>
  </si>
  <si>
    <t>Sale Of Investments</t>
  </si>
  <si>
    <t>Net Cash Flow From Investing Activities</t>
  </si>
  <si>
    <t>Net increase (decrease) in cash and cash equivalents before effect of exchange rate changes</t>
  </si>
  <si>
    <t>Heading</t>
  </si>
  <si>
    <t>Employees Stock Options Grants</t>
  </si>
  <si>
    <t>Sub-head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</si>
</sst>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topLeftCell="A22" workbookViewId="0">
      <selection activeCell="D29" sqref="D29"/>
    </sheetView>
  </sheetViews>
  <sheetFormatPr defaultRowHeight="15" x14ac:dyDescent="0.25"/>
  <cols>
    <col min="1" max="2" width="53.5703125" customWidth="1"/>
    <col min="3" max="3" width="7.5703125" bestFit="1" customWidth="1"/>
  </cols>
  <sheetData>
    <row r="1" spans="1:4" x14ac:dyDescent="0.25">
      <c r="A1" s="1" t="s">
        <v>141</v>
      </c>
      <c r="B1" s="1" t="s">
        <v>142</v>
      </c>
      <c r="C1" s="2" t="s">
        <v>143</v>
      </c>
    </row>
    <row r="2" spans="1:4" x14ac:dyDescent="0.25">
      <c r="A2" t="s">
        <v>0</v>
      </c>
    </row>
    <row r="3" spans="1:4" x14ac:dyDescent="0.25">
      <c r="A3" t="s">
        <v>1</v>
      </c>
      <c r="B3" t="s">
        <v>145</v>
      </c>
      <c r="C3">
        <v>256</v>
      </c>
    </row>
    <row r="4" spans="1:4" x14ac:dyDescent="0.25">
      <c r="A4" t="s">
        <v>2</v>
      </c>
      <c r="B4" t="s">
        <v>146</v>
      </c>
      <c r="C4">
        <v>265</v>
      </c>
    </row>
    <row r="5" spans="1:4" x14ac:dyDescent="0.25">
      <c r="A5" t="s">
        <v>3</v>
      </c>
      <c r="B5" t="s">
        <v>147</v>
      </c>
      <c r="C5">
        <v>25238</v>
      </c>
    </row>
    <row r="6" spans="1:4" x14ac:dyDescent="0.25">
      <c r="A6" t="s">
        <v>4</v>
      </c>
    </row>
    <row r="7" spans="1:4" x14ac:dyDescent="0.25">
      <c r="A7" t="s">
        <v>5</v>
      </c>
      <c r="B7" t="s">
        <v>148</v>
      </c>
      <c r="C7">
        <v>238</v>
      </c>
    </row>
    <row r="8" spans="1:4" x14ac:dyDescent="0.25">
      <c r="A8" t="s">
        <v>6</v>
      </c>
      <c r="B8" t="s">
        <v>149</v>
      </c>
      <c r="C8">
        <v>246</v>
      </c>
    </row>
    <row r="9" spans="1:4" x14ac:dyDescent="0.25">
      <c r="A9" t="s">
        <v>7</v>
      </c>
      <c r="B9" t="s">
        <v>150</v>
      </c>
      <c r="C9">
        <v>232</v>
      </c>
    </row>
    <row r="10" spans="1:4" x14ac:dyDescent="0.25">
      <c r="A10" t="s">
        <v>8</v>
      </c>
      <c r="B10" t="s">
        <v>144</v>
      </c>
      <c r="C10">
        <v>305</v>
      </c>
    </row>
    <row r="11" spans="1:4" x14ac:dyDescent="0.25">
      <c r="A11" s="4" t="s">
        <v>129</v>
      </c>
      <c r="B11" s="3" t="s">
        <v>151</v>
      </c>
      <c r="C11" s="3">
        <v>279</v>
      </c>
    </row>
    <row r="12" spans="1:4" x14ac:dyDescent="0.25">
      <c r="A12" s="3" t="s">
        <v>9</v>
      </c>
      <c r="B12" s="3" t="s">
        <v>151</v>
      </c>
      <c r="C12" s="3">
        <v>279</v>
      </c>
    </row>
    <row r="13" spans="1:4" x14ac:dyDescent="0.25">
      <c r="A13" t="s">
        <v>10</v>
      </c>
      <c r="B13" t="s">
        <v>152</v>
      </c>
      <c r="C13">
        <v>320</v>
      </c>
    </row>
    <row r="14" spans="1:4" x14ac:dyDescent="0.25">
      <c r="A14" t="s">
        <v>130</v>
      </c>
      <c r="B14" t="s">
        <v>159</v>
      </c>
      <c r="C14">
        <v>294</v>
      </c>
    </row>
    <row r="15" spans="1:4" x14ac:dyDescent="0.25">
      <c r="A15" t="s">
        <v>11</v>
      </c>
      <c r="D15" t="s">
        <v>230</v>
      </c>
    </row>
    <row r="16" spans="1:4" x14ac:dyDescent="0.25">
      <c r="A16" t="s">
        <v>131</v>
      </c>
    </row>
    <row r="17" spans="1:4" x14ac:dyDescent="0.25">
      <c r="A17" t="s">
        <v>63</v>
      </c>
      <c r="B17" t="s">
        <v>153</v>
      </c>
      <c r="C17">
        <v>278</v>
      </c>
    </row>
    <row r="18" spans="1:4" x14ac:dyDescent="0.25">
      <c r="A18" t="s">
        <v>12</v>
      </c>
      <c r="B18" t="s">
        <v>160</v>
      </c>
      <c r="C18">
        <v>319</v>
      </c>
    </row>
    <row r="19" spans="1:4" x14ac:dyDescent="0.25">
      <c r="A19" t="s">
        <v>110</v>
      </c>
      <c r="B19" t="s">
        <v>161</v>
      </c>
      <c r="C19">
        <v>296</v>
      </c>
    </row>
    <row r="20" spans="1:4" x14ac:dyDescent="0.25">
      <c r="A20" t="s">
        <v>132</v>
      </c>
    </row>
    <row r="21" spans="1:4" x14ac:dyDescent="0.25">
      <c r="A21" s="3" t="s">
        <v>88</v>
      </c>
      <c r="B21" s="3" t="s">
        <v>154</v>
      </c>
      <c r="C21" s="3">
        <v>318</v>
      </c>
    </row>
    <row r="22" spans="1:4" x14ac:dyDescent="0.25">
      <c r="A22" s="3" t="s">
        <v>15</v>
      </c>
      <c r="B22" s="3" t="s">
        <v>154</v>
      </c>
      <c r="C22" s="3">
        <v>318</v>
      </c>
    </row>
    <row r="23" spans="1:4" x14ac:dyDescent="0.25">
      <c r="A23" t="s">
        <v>89</v>
      </c>
      <c r="B23" t="s">
        <v>155</v>
      </c>
      <c r="C23">
        <v>231</v>
      </c>
    </row>
    <row r="24" spans="1:4" x14ac:dyDescent="0.25">
      <c r="A24" t="s">
        <v>17</v>
      </c>
    </row>
    <row r="25" spans="1:4" x14ac:dyDescent="0.25">
      <c r="A25" t="s">
        <v>111</v>
      </c>
      <c r="B25" t="s">
        <v>162</v>
      </c>
      <c r="C25">
        <v>269</v>
      </c>
    </row>
    <row r="26" spans="1:4" x14ac:dyDescent="0.25">
      <c r="A26" t="s">
        <v>133</v>
      </c>
      <c r="D26" t="s">
        <v>230</v>
      </c>
    </row>
    <row r="27" spans="1:4" x14ac:dyDescent="0.25">
      <c r="A27" t="s">
        <v>90</v>
      </c>
      <c r="D27" t="s">
        <v>232</v>
      </c>
    </row>
    <row r="28" spans="1:4" x14ac:dyDescent="0.25">
      <c r="A28" t="s">
        <v>91</v>
      </c>
      <c r="B28" t="s">
        <v>164</v>
      </c>
      <c r="C28">
        <v>22293</v>
      </c>
    </row>
    <row r="29" spans="1:4" x14ac:dyDescent="0.25">
      <c r="A29" t="s">
        <v>92</v>
      </c>
      <c r="B29" t="s">
        <v>163</v>
      </c>
      <c r="C29">
        <v>16484</v>
      </c>
    </row>
    <row r="30" spans="1:4" x14ac:dyDescent="0.25">
      <c r="A30" t="s">
        <v>134</v>
      </c>
      <c r="B30" t="s">
        <v>165</v>
      </c>
      <c r="C30">
        <v>20019</v>
      </c>
    </row>
    <row r="31" spans="1:4" x14ac:dyDescent="0.25">
      <c r="A31" t="s">
        <v>135</v>
      </c>
      <c r="B31" t="s">
        <v>166</v>
      </c>
      <c r="C31">
        <v>282</v>
      </c>
    </row>
    <row r="32" spans="1:4" x14ac:dyDescent="0.25">
      <c r="A32" t="s">
        <v>23</v>
      </c>
      <c r="B32" t="s">
        <v>156</v>
      </c>
      <c r="C32">
        <v>309</v>
      </c>
    </row>
    <row r="33" spans="1:3" x14ac:dyDescent="0.25">
      <c r="A33" t="s">
        <v>115</v>
      </c>
    </row>
    <row r="34" spans="1:3" x14ac:dyDescent="0.25">
      <c r="A34" t="s">
        <v>116</v>
      </c>
      <c r="B34" t="s">
        <v>157</v>
      </c>
      <c r="C34">
        <v>222</v>
      </c>
    </row>
    <row r="35" spans="1:3" x14ac:dyDescent="0.25">
      <c r="A35" t="s">
        <v>136</v>
      </c>
      <c r="B35" t="s">
        <v>158</v>
      </c>
      <c r="C3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>
      <selection activeCell="B1" sqref="B1"/>
    </sheetView>
  </sheetViews>
  <sheetFormatPr defaultRowHeight="15" x14ac:dyDescent="0.25"/>
  <cols>
    <col min="1" max="2" width="49.140625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  <row r="2" spans="1:3" x14ac:dyDescent="0.25">
      <c r="A2" t="s">
        <v>0</v>
      </c>
    </row>
    <row r="3" spans="1:3" x14ac:dyDescent="0.25">
      <c r="A3" t="s">
        <v>1</v>
      </c>
      <c r="B3" t="s">
        <v>145</v>
      </c>
      <c r="C3">
        <v>256</v>
      </c>
    </row>
    <row r="4" spans="1:3" x14ac:dyDescent="0.25">
      <c r="A4" t="s">
        <v>2</v>
      </c>
      <c r="B4" t="s">
        <v>146</v>
      </c>
      <c r="C4">
        <v>265</v>
      </c>
    </row>
    <row r="5" spans="1:3" x14ac:dyDescent="0.25">
      <c r="A5" t="s">
        <v>3</v>
      </c>
      <c r="B5" t="s">
        <v>147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148</v>
      </c>
      <c r="C7">
        <v>238</v>
      </c>
    </row>
    <row r="8" spans="1:3" x14ac:dyDescent="0.25">
      <c r="A8" t="s">
        <v>6</v>
      </c>
      <c r="B8" t="s">
        <v>149</v>
      </c>
      <c r="C8">
        <v>246</v>
      </c>
    </row>
    <row r="9" spans="1:3" x14ac:dyDescent="0.25">
      <c r="A9" t="s">
        <v>7</v>
      </c>
      <c r="B9" t="s">
        <v>150</v>
      </c>
      <c r="C9">
        <v>232</v>
      </c>
    </row>
    <row r="10" spans="1:3" x14ac:dyDescent="0.25">
      <c r="A10" t="s">
        <v>8</v>
      </c>
      <c r="B10" t="s">
        <v>144</v>
      </c>
      <c r="C10">
        <v>305</v>
      </c>
    </row>
    <row r="11" spans="1:3" x14ac:dyDescent="0.25">
      <c r="A11" t="s">
        <v>9</v>
      </c>
      <c r="B11" t="s">
        <v>151</v>
      </c>
      <c r="C11">
        <v>279</v>
      </c>
    </row>
    <row r="12" spans="1:3" x14ac:dyDescent="0.25">
      <c r="A12" t="s">
        <v>10</v>
      </c>
      <c r="B12" t="s">
        <v>152</v>
      </c>
      <c r="C12">
        <v>320</v>
      </c>
    </row>
    <row r="13" spans="1:3" x14ac:dyDescent="0.25">
      <c r="A13" t="s">
        <v>108</v>
      </c>
      <c r="B13" t="s">
        <v>159</v>
      </c>
      <c r="C13">
        <v>294</v>
      </c>
    </row>
    <row r="14" spans="1:3" x14ac:dyDescent="0.25">
      <c r="A14" t="s">
        <v>11</v>
      </c>
    </row>
    <row r="15" spans="1:3" x14ac:dyDescent="0.25">
      <c r="A15" t="s">
        <v>109</v>
      </c>
      <c r="B15" t="s">
        <v>153</v>
      </c>
      <c r="C15">
        <v>278</v>
      </c>
    </row>
    <row r="16" spans="1:3" x14ac:dyDescent="0.25">
      <c r="A16" t="s">
        <v>12</v>
      </c>
      <c r="B16" t="s">
        <v>160</v>
      </c>
      <c r="C16">
        <v>319</v>
      </c>
    </row>
    <row r="17" spans="1:4" x14ac:dyDescent="0.25">
      <c r="A17" t="s">
        <v>110</v>
      </c>
      <c r="B17" t="s">
        <v>161</v>
      </c>
      <c r="C17">
        <v>296</v>
      </c>
    </row>
    <row r="18" spans="1:4" x14ac:dyDescent="0.25">
      <c r="A18" t="s">
        <v>13</v>
      </c>
    </row>
    <row r="19" spans="1:4" x14ac:dyDescent="0.25">
      <c r="A19" s="3" t="s">
        <v>14</v>
      </c>
      <c r="B19" s="3" t="s">
        <v>154</v>
      </c>
      <c r="C19" s="3">
        <v>318</v>
      </c>
    </row>
    <row r="20" spans="1:4" x14ac:dyDescent="0.25">
      <c r="A20" s="3" t="s">
        <v>15</v>
      </c>
      <c r="B20" s="3" t="s">
        <v>154</v>
      </c>
      <c r="C20" s="3">
        <v>318</v>
      </c>
    </row>
    <row r="21" spans="1:4" x14ac:dyDescent="0.25">
      <c r="A21" t="s">
        <v>16</v>
      </c>
      <c r="B21" t="s">
        <v>155</v>
      </c>
      <c r="C21">
        <v>231</v>
      </c>
    </row>
    <row r="22" spans="1:4" x14ac:dyDescent="0.25">
      <c r="A22" t="s">
        <v>17</v>
      </c>
    </row>
    <row r="23" spans="1:4" x14ac:dyDescent="0.25">
      <c r="A23" t="s">
        <v>111</v>
      </c>
      <c r="B23" t="s">
        <v>162</v>
      </c>
      <c r="C23">
        <v>269</v>
      </c>
    </row>
    <row r="24" spans="1:4" x14ac:dyDescent="0.25">
      <c r="A24" t="s">
        <v>18</v>
      </c>
      <c r="D24" t="s">
        <v>230</v>
      </c>
    </row>
    <row r="25" spans="1:4" x14ac:dyDescent="0.25">
      <c r="A25" t="s">
        <v>19</v>
      </c>
      <c r="D25" t="s">
        <v>232</v>
      </c>
    </row>
    <row r="26" spans="1:4" x14ac:dyDescent="0.25">
      <c r="A26" t="s">
        <v>112</v>
      </c>
      <c r="B26" t="s">
        <v>167</v>
      </c>
      <c r="C26">
        <v>22294</v>
      </c>
    </row>
    <row r="27" spans="1:4" x14ac:dyDescent="0.25">
      <c r="A27" t="s">
        <v>20</v>
      </c>
      <c r="D27" t="s">
        <v>232</v>
      </c>
    </row>
    <row r="28" spans="1:4" x14ac:dyDescent="0.25">
      <c r="A28" t="s">
        <v>21</v>
      </c>
      <c r="B28" t="s">
        <v>164</v>
      </c>
      <c r="C28">
        <v>22293</v>
      </c>
    </row>
    <row r="29" spans="1:4" x14ac:dyDescent="0.25">
      <c r="A29" t="s">
        <v>22</v>
      </c>
      <c r="B29" t="s">
        <v>163</v>
      </c>
      <c r="C29">
        <v>16484</v>
      </c>
    </row>
    <row r="30" spans="1:4" x14ac:dyDescent="0.25">
      <c r="A30" t="s">
        <v>113</v>
      </c>
      <c r="B30" t="s">
        <v>165</v>
      </c>
      <c r="C30">
        <v>20019</v>
      </c>
    </row>
    <row r="31" spans="1:4" x14ac:dyDescent="0.25">
      <c r="A31" t="s">
        <v>114</v>
      </c>
      <c r="B31" t="s">
        <v>166</v>
      </c>
      <c r="C31">
        <v>282</v>
      </c>
    </row>
    <row r="32" spans="1:4" x14ac:dyDescent="0.25">
      <c r="A32" t="s">
        <v>23</v>
      </c>
      <c r="B32" t="s">
        <v>156</v>
      </c>
      <c r="C32">
        <v>309</v>
      </c>
    </row>
    <row r="33" spans="1:3" x14ac:dyDescent="0.25">
      <c r="A33" t="s">
        <v>115</v>
      </c>
    </row>
    <row r="34" spans="1:3" x14ac:dyDescent="0.25">
      <c r="A34" t="s">
        <v>116</v>
      </c>
      <c r="B34" t="s">
        <v>157</v>
      </c>
      <c r="C34">
        <v>222</v>
      </c>
    </row>
    <row r="35" spans="1:3" x14ac:dyDescent="0.25">
      <c r="A35" t="s">
        <v>117</v>
      </c>
      <c r="B35" t="s">
        <v>158</v>
      </c>
      <c r="C3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1"/>
  <sheetViews>
    <sheetView workbookViewId="0">
      <selection activeCell="B2" sqref="B2"/>
    </sheetView>
  </sheetViews>
  <sheetFormatPr defaultRowHeight="15" x14ac:dyDescent="0.25"/>
  <cols>
    <col min="1" max="1" width="49.5703125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  <row r="2" spans="1:3" x14ac:dyDescent="0.25">
      <c r="A2" t="s">
        <v>118</v>
      </c>
    </row>
    <row r="3" spans="1:3" x14ac:dyDescent="0.25">
      <c r="A3" t="s">
        <v>24</v>
      </c>
    </row>
    <row r="4" spans="1:3" x14ac:dyDescent="0.25">
      <c r="A4" t="s">
        <v>119</v>
      </c>
      <c r="B4" t="s">
        <v>168</v>
      </c>
      <c r="C4">
        <v>20222</v>
      </c>
    </row>
    <row r="5" spans="1:3" x14ac:dyDescent="0.25">
      <c r="A5" t="s">
        <v>25</v>
      </c>
      <c r="B5" t="s">
        <v>169</v>
      </c>
      <c r="C5">
        <v>30342</v>
      </c>
    </row>
    <row r="6" spans="1:3" x14ac:dyDescent="0.25">
      <c r="A6" t="s">
        <v>93</v>
      </c>
      <c r="B6" t="s">
        <v>170</v>
      </c>
      <c r="C6">
        <v>20221</v>
      </c>
    </row>
    <row r="7" spans="1:3" x14ac:dyDescent="0.25">
      <c r="A7" t="s">
        <v>28</v>
      </c>
    </row>
    <row r="8" spans="1:3" x14ac:dyDescent="0.25">
      <c r="A8" t="s">
        <v>29</v>
      </c>
      <c r="B8" t="s">
        <v>171</v>
      </c>
      <c r="C8">
        <v>13748</v>
      </c>
    </row>
    <row r="9" spans="1:3" x14ac:dyDescent="0.25">
      <c r="A9" t="s">
        <v>30</v>
      </c>
      <c r="B9" t="s">
        <v>172</v>
      </c>
      <c r="C9">
        <v>20216</v>
      </c>
    </row>
    <row r="10" spans="1:3" x14ac:dyDescent="0.25">
      <c r="A10" t="s">
        <v>94</v>
      </c>
      <c r="B10" t="s">
        <v>186</v>
      </c>
      <c r="C10">
        <v>20215</v>
      </c>
    </row>
    <row r="11" spans="1:3" x14ac:dyDescent="0.25">
      <c r="A11" t="s">
        <v>32</v>
      </c>
      <c r="B11" t="s">
        <v>173</v>
      </c>
      <c r="C11">
        <v>13753</v>
      </c>
    </row>
    <row r="12" spans="1:3" x14ac:dyDescent="0.25">
      <c r="A12" t="s">
        <v>33</v>
      </c>
    </row>
    <row r="13" spans="1:3" x14ac:dyDescent="0.25">
      <c r="A13" t="s">
        <v>28</v>
      </c>
    </row>
    <row r="14" spans="1:3" x14ac:dyDescent="0.25">
      <c r="A14" t="s">
        <v>29</v>
      </c>
      <c r="B14" t="s">
        <v>187</v>
      </c>
      <c r="C14">
        <v>13724</v>
      </c>
    </row>
    <row r="15" spans="1:3" x14ac:dyDescent="0.25">
      <c r="A15" t="s">
        <v>34</v>
      </c>
      <c r="B15" t="s">
        <v>188</v>
      </c>
      <c r="C15">
        <v>20230</v>
      </c>
    </row>
    <row r="16" spans="1:3" x14ac:dyDescent="0.25">
      <c r="A16" t="s">
        <v>35</v>
      </c>
      <c r="B16" t="s">
        <v>189</v>
      </c>
      <c r="C16">
        <v>13780</v>
      </c>
    </row>
    <row r="17" spans="1:3" x14ac:dyDescent="0.25">
      <c r="A17" t="s">
        <v>36</v>
      </c>
      <c r="B17" t="s">
        <v>174</v>
      </c>
      <c r="C17">
        <v>13722</v>
      </c>
    </row>
    <row r="18" spans="1:3" x14ac:dyDescent="0.25">
      <c r="A18" t="s">
        <v>37</v>
      </c>
      <c r="B18" t="s">
        <v>175</v>
      </c>
      <c r="C18">
        <v>29788</v>
      </c>
    </row>
    <row r="19" spans="1:3" x14ac:dyDescent="0.25">
      <c r="A19" t="s">
        <v>30</v>
      </c>
      <c r="B19" t="s">
        <v>190</v>
      </c>
      <c r="C19">
        <v>20231</v>
      </c>
    </row>
    <row r="20" spans="1:3" x14ac:dyDescent="0.25">
      <c r="A20" t="s">
        <v>38</v>
      </c>
      <c r="B20" t="s">
        <v>176</v>
      </c>
      <c r="C20">
        <v>13750</v>
      </c>
    </row>
    <row r="21" spans="1:3" x14ac:dyDescent="0.25">
      <c r="A21" t="s">
        <v>39</v>
      </c>
      <c r="B21" t="s">
        <v>177</v>
      </c>
      <c r="C21">
        <v>13771</v>
      </c>
    </row>
    <row r="22" spans="1:3" x14ac:dyDescent="0.25">
      <c r="A22" t="s">
        <v>40</v>
      </c>
    </row>
    <row r="23" spans="1:3" x14ac:dyDescent="0.25">
      <c r="A23" t="s">
        <v>41</v>
      </c>
    </row>
    <row r="24" spans="1:3" x14ac:dyDescent="0.25">
      <c r="A24" t="s">
        <v>42</v>
      </c>
      <c r="B24" t="s">
        <v>178</v>
      </c>
      <c r="C24">
        <v>13765</v>
      </c>
    </row>
    <row r="25" spans="1:3" x14ac:dyDescent="0.25">
      <c r="A25" t="s">
        <v>23</v>
      </c>
      <c r="B25" t="s">
        <v>179</v>
      </c>
      <c r="C25">
        <v>13762</v>
      </c>
    </row>
    <row r="26" spans="1:3" x14ac:dyDescent="0.25">
      <c r="A26" t="s">
        <v>95</v>
      </c>
      <c r="B26" t="s">
        <v>180</v>
      </c>
      <c r="C26">
        <v>13773</v>
      </c>
    </row>
    <row r="27" spans="1:3" x14ac:dyDescent="0.25">
      <c r="A27" t="s">
        <v>44</v>
      </c>
    </row>
    <row r="28" spans="1:3" x14ac:dyDescent="0.25">
      <c r="A28" t="s">
        <v>45</v>
      </c>
    </row>
    <row r="29" spans="1:3" x14ac:dyDescent="0.25">
      <c r="A29" t="s">
        <v>46</v>
      </c>
    </row>
    <row r="30" spans="1:3" x14ac:dyDescent="0.25">
      <c r="A30" t="s">
        <v>47</v>
      </c>
      <c r="B30" t="s">
        <v>47</v>
      </c>
      <c r="C30">
        <v>30340</v>
      </c>
    </row>
    <row r="31" spans="1:3" x14ac:dyDescent="0.25">
      <c r="A31" t="s">
        <v>50</v>
      </c>
    </row>
    <row r="32" spans="1:3" x14ac:dyDescent="0.25">
      <c r="A32" t="s">
        <v>46</v>
      </c>
    </row>
    <row r="33" spans="1:3" x14ac:dyDescent="0.25">
      <c r="A33" t="s">
        <v>47</v>
      </c>
      <c r="B33" t="s">
        <v>47</v>
      </c>
      <c r="C33">
        <v>25716</v>
      </c>
    </row>
    <row r="34" spans="1:3" x14ac:dyDescent="0.25">
      <c r="A34" s="6" t="s">
        <v>137</v>
      </c>
      <c r="B34" s="6"/>
      <c r="C34" s="6"/>
    </row>
    <row r="35" spans="1:3" x14ac:dyDescent="0.25">
      <c r="A35" s="3" t="s">
        <v>121</v>
      </c>
      <c r="B35" s="3" t="s">
        <v>181</v>
      </c>
      <c r="C35" s="3">
        <v>13779</v>
      </c>
    </row>
    <row r="36" spans="1:3" x14ac:dyDescent="0.25">
      <c r="A36" s="3" t="s">
        <v>122</v>
      </c>
      <c r="B36" s="3" t="s">
        <v>181</v>
      </c>
      <c r="C36" s="3">
        <v>13779</v>
      </c>
    </row>
    <row r="37" spans="1:3" x14ac:dyDescent="0.25">
      <c r="A37" t="s">
        <v>51</v>
      </c>
      <c r="B37" t="s">
        <v>182</v>
      </c>
      <c r="C37">
        <v>20214</v>
      </c>
    </row>
    <row r="38" spans="1:3" x14ac:dyDescent="0.25">
      <c r="A38" t="s">
        <v>52</v>
      </c>
      <c r="B38" t="s">
        <v>183</v>
      </c>
      <c r="C38">
        <v>26450</v>
      </c>
    </row>
    <row r="39" spans="1:3" x14ac:dyDescent="0.25">
      <c r="A39" t="s">
        <v>48</v>
      </c>
      <c r="B39" t="s">
        <v>191</v>
      </c>
      <c r="C39">
        <v>13767</v>
      </c>
    </row>
    <row r="40" spans="1:3" x14ac:dyDescent="0.25">
      <c r="A40" t="s">
        <v>54</v>
      </c>
    </row>
    <row r="41" spans="1:3" x14ac:dyDescent="0.25">
      <c r="A41" t="s">
        <v>96</v>
      </c>
      <c r="B41" t="s">
        <v>185</v>
      </c>
      <c r="C4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workbookViewId="0">
      <selection activeCell="B1" sqref="B1"/>
    </sheetView>
  </sheetViews>
  <sheetFormatPr defaultRowHeight="15" x14ac:dyDescent="0.25"/>
  <cols>
    <col min="1" max="1" width="48.5703125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  <row r="2" spans="1:3" x14ac:dyDescent="0.25">
      <c r="A2" t="s">
        <v>118</v>
      </c>
    </row>
    <row r="3" spans="1:3" x14ac:dyDescent="0.25">
      <c r="A3" t="s">
        <v>24</v>
      </c>
    </row>
    <row r="4" spans="1:3" x14ac:dyDescent="0.25">
      <c r="A4" t="s">
        <v>119</v>
      </c>
      <c r="B4" t="s">
        <v>168</v>
      </c>
      <c r="C4">
        <v>20222</v>
      </c>
    </row>
    <row r="5" spans="1:3" x14ac:dyDescent="0.25">
      <c r="A5" t="s">
        <v>25</v>
      </c>
      <c r="B5" t="s">
        <v>169</v>
      </c>
      <c r="C5">
        <v>30342</v>
      </c>
    </row>
    <row r="6" spans="1:3" x14ac:dyDescent="0.25">
      <c r="A6" t="s">
        <v>26</v>
      </c>
      <c r="B6" t="s">
        <v>192</v>
      </c>
      <c r="C6">
        <v>13734</v>
      </c>
    </row>
    <row r="7" spans="1:3" x14ac:dyDescent="0.25">
      <c r="A7" t="s">
        <v>27</v>
      </c>
      <c r="B7" t="s">
        <v>170</v>
      </c>
      <c r="C7">
        <v>20221</v>
      </c>
    </row>
    <row r="8" spans="1:3" x14ac:dyDescent="0.25">
      <c r="A8" t="s">
        <v>28</v>
      </c>
    </row>
    <row r="9" spans="1:3" x14ac:dyDescent="0.25">
      <c r="A9" t="s">
        <v>29</v>
      </c>
      <c r="B9" t="s">
        <v>171</v>
      </c>
      <c r="C9">
        <v>13748</v>
      </c>
    </row>
    <row r="10" spans="1:3" x14ac:dyDescent="0.25">
      <c r="A10" t="s">
        <v>30</v>
      </c>
      <c r="B10" t="s">
        <v>172</v>
      </c>
      <c r="C10">
        <v>20216</v>
      </c>
    </row>
    <row r="11" spans="1:3" x14ac:dyDescent="0.25">
      <c r="A11" t="s">
        <v>31</v>
      </c>
      <c r="B11" t="s">
        <v>186</v>
      </c>
      <c r="C11">
        <v>20215</v>
      </c>
    </row>
    <row r="12" spans="1:3" x14ac:dyDescent="0.25">
      <c r="A12" t="s">
        <v>32</v>
      </c>
      <c r="B12" t="s">
        <v>173</v>
      </c>
      <c r="C12">
        <v>13753</v>
      </c>
    </row>
    <row r="13" spans="1:3" x14ac:dyDescent="0.25">
      <c r="A13" t="s">
        <v>33</v>
      </c>
    </row>
    <row r="14" spans="1:3" x14ac:dyDescent="0.25">
      <c r="A14" t="s">
        <v>28</v>
      </c>
    </row>
    <row r="15" spans="1:3" x14ac:dyDescent="0.25">
      <c r="A15" t="s">
        <v>34</v>
      </c>
      <c r="B15" t="s">
        <v>188</v>
      </c>
      <c r="C15">
        <v>20230</v>
      </c>
    </row>
    <row r="16" spans="1:3" x14ac:dyDescent="0.25">
      <c r="A16" t="s">
        <v>29</v>
      </c>
      <c r="B16" t="s">
        <v>187</v>
      </c>
      <c r="C16">
        <v>13724</v>
      </c>
    </row>
    <row r="17" spans="1:3" x14ac:dyDescent="0.25">
      <c r="A17" t="s">
        <v>35</v>
      </c>
      <c r="B17" t="s">
        <v>189</v>
      </c>
      <c r="C17">
        <v>13780</v>
      </c>
    </row>
    <row r="18" spans="1:3" x14ac:dyDescent="0.25">
      <c r="A18" t="s">
        <v>36</v>
      </c>
      <c r="B18" t="s">
        <v>174</v>
      </c>
      <c r="C18">
        <v>13722</v>
      </c>
    </row>
    <row r="19" spans="1:3" x14ac:dyDescent="0.25">
      <c r="A19" t="s">
        <v>37</v>
      </c>
      <c r="B19" t="s">
        <v>175</v>
      </c>
      <c r="C19">
        <v>29788</v>
      </c>
    </row>
    <row r="20" spans="1:3" x14ac:dyDescent="0.25">
      <c r="A20" t="s">
        <v>30</v>
      </c>
      <c r="B20" t="s">
        <v>190</v>
      </c>
      <c r="C20">
        <v>20231</v>
      </c>
    </row>
    <row r="21" spans="1:3" x14ac:dyDescent="0.25">
      <c r="A21" t="s">
        <v>38</v>
      </c>
      <c r="B21" t="s">
        <v>176</v>
      </c>
      <c r="C21">
        <v>13750</v>
      </c>
    </row>
    <row r="22" spans="1:3" x14ac:dyDescent="0.25">
      <c r="A22" t="s">
        <v>39</v>
      </c>
      <c r="B22" t="s">
        <v>177</v>
      </c>
      <c r="C22">
        <v>13771</v>
      </c>
    </row>
    <row r="23" spans="1:3" x14ac:dyDescent="0.25">
      <c r="A23" t="s">
        <v>40</v>
      </c>
    </row>
    <row r="24" spans="1:3" x14ac:dyDescent="0.25">
      <c r="A24" t="s">
        <v>41</v>
      </c>
    </row>
    <row r="25" spans="1:3" x14ac:dyDescent="0.25">
      <c r="A25" t="s">
        <v>42</v>
      </c>
      <c r="B25" t="s">
        <v>178</v>
      </c>
      <c r="C25">
        <v>13765</v>
      </c>
    </row>
    <row r="26" spans="1:3" x14ac:dyDescent="0.25">
      <c r="A26" t="s">
        <v>23</v>
      </c>
      <c r="B26" t="s">
        <v>179</v>
      </c>
      <c r="C26">
        <v>13762</v>
      </c>
    </row>
    <row r="27" spans="1:3" x14ac:dyDescent="0.25">
      <c r="A27" t="s">
        <v>43</v>
      </c>
      <c r="B27" t="s">
        <v>180</v>
      </c>
      <c r="C27">
        <v>13773</v>
      </c>
    </row>
    <row r="28" spans="1:3" x14ac:dyDescent="0.25">
      <c r="A28" t="s">
        <v>44</v>
      </c>
    </row>
    <row r="29" spans="1:3" x14ac:dyDescent="0.25">
      <c r="A29" t="s">
        <v>45</v>
      </c>
    </row>
    <row r="30" spans="1:3" x14ac:dyDescent="0.25">
      <c r="A30" t="s">
        <v>46</v>
      </c>
    </row>
    <row r="31" spans="1:3" x14ac:dyDescent="0.25">
      <c r="A31" t="s">
        <v>47</v>
      </c>
      <c r="B31" t="s">
        <v>47</v>
      </c>
      <c r="C31">
        <v>30340</v>
      </c>
    </row>
    <row r="32" spans="1:3" x14ac:dyDescent="0.25">
      <c r="A32" t="s">
        <v>48</v>
      </c>
      <c r="B32" t="s">
        <v>184</v>
      </c>
      <c r="C32">
        <v>13743</v>
      </c>
    </row>
    <row r="33" spans="1:3" x14ac:dyDescent="0.25">
      <c r="A33" t="s">
        <v>49</v>
      </c>
      <c r="B33" t="s">
        <v>193</v>
      </c>
      <c r="C33">
        <v>13727</v>
      </c>
    </row>
    <row r="34" spans="1:3" x14ac:dyDescent="0.25">
      <c r="A34" t="s">
        <v>50</v>
      </c>
    </row>
    <row r="35" spans="1:3" x14ac:dyDescent="0.25">
      <c r="A35" t="s">
        <v>46</v>
      </c>
    </row>
    <row r="36" spans="1:3" x14ac:dyDescent="0.25">
      <c r="A36" t="s">
        <v>47</v>
      </c>
      <c r="B36" t="s">
        <v>47</v>
      </c>
      <c r="C36">
        <v>25716</v>
      </c>
    </row>
    <row r="37" spans="1:3" x14ac:dyDescent="0.25">
      <c r="A37" s="3" t="s">
        <v>120</v>
      </c>
      <c r="B37" s="3"/>
      <c r="C37" s="3"/>
    </row>
    <row r="38" spans="1:3" x14ac:dyDescent="0.25">
      <c r="A38" s="3" t="s">
        <v>121</v>
      </c>
      <c r="B38" s="3" t="s">
        <v>181</v>
      </c>
      <c r="C38" s="3">
        <v>13779</v>
      </c>
    </row>
    <row r="39" spans="1:3" x14ac:dyDescent="0.25">
      <c r="A39" s="3" t="s">
        <v>122</v>
      </c>
      <c r="B39" s="3" t="s">
        <v>181</v>
      </c>
      <c r="C39" s="3">
        <v>13779</v>
      </c>
    </row>
    <row r="40" spans="1:3" x14ac:dyDescent="0.25">
      <c r="A40" t="s">
        <v>51</v>
      </c>
      <c r="B40" t="s">
        <v>182</v>
      </c>
      <c r="C40">
        <v>20214</v>
      </c>
    </row>
    <row r="41" spans="1:3" x14ac:dyDescent="0.25">
      <c r="A41" t="s">
        <v>52</v>
      </c>
      <c r="B41" t="s">
        <v>183</v>
      </c>
      <c r="C41">
        <v>26450</v>
      </c>
    </row>
    <row r="42" spans="1:3" x14ac:dyDescent="0.25">
      <c r="A42" t="s">
        <v>48</v>
      </c>
      <c r="B42" t="s">
        <v>191</v>
      </c>
      <c r="C42">
        <v>13767</v>
      </c>
    </row>
    <row r="43" spans="1:3" x14ac:dyDescent="0.25">
      <c r="A43" t="s">
        <v>53</v>
      </c>
      <c r="B43" t="s">
        <v>194</v>
      </c>
      <c r="C43">
        <v>20211</v>
      </c>
    </row>
    <row r="44" spans="1:3" x14ac:dyDescent="0.25">
      <c r="A44" t="s">
        <v>54</v>
      </c>
    </row>
    <row r="45" spans="1:3" x14ac:dyDescent="0.25">
      <c r="A45" t="s">
        <v>55</v>
      </c>
      <c r="B45" t="s">
        <v>195</v>
      </c>
      <c r="C45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4"/>
  <sheetViews>
    <sheetView workbookViewId="0">
      <selection activeCell="F6" sqref="F6"/>
    </sheetView>
  </sheetViews>
  <sheetFormatPr defaultRowHeight="15" x14ac:dyDescent="0.25"/>
  <cols>
    <col min="1" max="1" width="56.28515625" customWidth="1"/>
    <col min="2" max="2" width="39.85546875" bestFit="1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  <row r="2" spans="1:3" x14ac:dyDescent="0.25">
      <c r="A2" t="s">
        <v>56</v>
      </c>
    </row>
    <row r="3" spans="1:3" x14ac:dyDescent="0.25">
      <c r="A3" t="s">
        <v>97</v>
      </c>
      <c r="B3" t="s">
        <v>202</v>
      </c>
      <c r="C3">
        <v>17539</v>
      </c>
    </row>
    <row r="4" spans="1:3" x14ac:dyDescent="0.25">
      <c r="A4" t="s">
        <v>138</v>
      </c>
    </row>
    <row r="5" spans="1:3" x14ac:dyDescent="0.25">
      <c r="A5" s="3" t="s">
        <v>125</v>
      </c>
      <c r="B5" s="3" t="s">
        <v>203</v>
      </c>
      <c r="C5" s="3">
        <v>30399</v>
      </c>
    </row>
    <row r="6" spans="1:3" x14ac:dyDescent="0.25">
      <c r="A6" s="3" t="s">
        <v>57</v>
      </c>
      <c r="B6" s="3" t="s">
        <v>203</v>
      </c>
      <c r="C6" s="3">
        <v>30399</v>
      </c>
    </row>
    <row r="7" spans="1:3" x14ac:dyDescent="0.25">
      <c r="A7" s="5" t="s">
        <v>61</v>
      </c>
      <c r="B7" s="5" t="s">
        <v>231</v>
      </c>
      <c r="C7" s="5">
        <v>30407</v>
      </c>
    </row>
    <row r="8" spans="1:3" x14ac:dyDescent="0.25">
      <c r="A8" t="s">
        <v>58</v>
      </c>
      <c r="B8" t="s">
        <v>205</v>
      </c>
      <c r="C8">
        <v>30481</v>
      </c>
    </row>
    <row r="9" spans="1:3" x14ac:dyDescent="0.25">
      <c r="A9" t="s">
        <v>59</v>
      </c>
      <c r="B9" t="s">
        <v>207</v>
      </c>
      <c r="C9">
        <v>30577</v>
      </c>
    </row>
    <row r="10" spans="1:3" x14ac:dyDescent="0.25">
      <c r="A10" t="s">
        <v>60</v>
      </c>
      <c r="B10" t="s">
        <v>208</v>
      </c>
      <c r="C10">
        <v>30479</v>
      </c>
    </row>
    <row r="11" spans="1:3" x14ac:dyDescent="0.25">
      <c r="A11" t="s">
        <v>8</v>
      </c>
      <c r="B11" t="s">
        <v>209</v>
      </c>
      <c r="C11">
        <v>30631</v>
      </c>
    </row>
    <row r="12" spans="1:3" x14ac:dyDescent="0.25">
      <c r="A12" s="3" t="s">
        <v>62</v>
      </c>
      <c r="B12" s="3" t="s">
        <v>204</v>
      </c>
      <c r="C12" s="3">
        <v>17542</v>
      </c>
    </row>
    <row r="13" spans="1:3" x14ac:dyDescent="0.25">
      <c r="A13" t="s">
        <v>139</v>
      </c>
      <c r="B13" t="s">
        <v>206</v>
      </c>
      <c r="C13">
        <v>30576</v>
      </c>
    </row>
    <row r="14" spans="1:3" x14ac:dyDescent="0.25">
      <c r="A14" s="3" t="s">
        <v>98</v>
      </c>
      <c r="B14" s="3" t="s">
        <v>204</v>
      </c>
      <c r="C14" s="3">
        <v>17542</v>
      </c>
    </row>
    <row r="15" spans="1:3" x14ac:dyDescent="0.25">
      <c r="A15" s="3" t="s">
        <v>63</v>
      </c>
      <c r="B15" s="3" t="s">
        <v>204</v>
      </c>
      <c r="C15" s="3">
        <v>17542</v>
      </c>
    </row>
    <row r="16" spans="1:3" x14ac:dyDescent="0.25">
      <c r="A16" t="s">
        <v>64</v>
      </c>
      <c r="B16" t="s">
        <v>210</v>
      </c>
      <c r="C16">
        <v>30414</v>
      </c>
    </row>
    <row r="17" spans="1:3" x14ac:dyDescent="0.25">
      <c r="A17" t="s">
        <v>99</v>
      </c>
      <c r="B17" t="s">
        <v>212</v>
      </c>
      <c r="C17">
        <v>30511</v>
      </c>
    </row>
    <row r="18" spans="1:3" x14ac:dyDescent="0.25">
      <c r="A18" t="s">
        <v>66</v>
      </c>
    </row>
    <row r="19" spans="1:3" x14ac:dyDescent="0.25">
      <c r="A19" t="s">
        <v>67</v>
      </c>
      <c r="B19" t="s">
        <v>213</v>
      </c>
      <c r="C19">
        <v>30497</v>
      </c>
    </row>
    <row r="20" spans="1:3" x14ac:dyDescent="0.25">
      <c r="A20" t="s">
        <v>68</v>
      </c>
      <c r="B20" t="s">
        <v>214</v>
      </c>
      <c r="C20">
        <v>30674</v>
      </c>
    </row>
    <row r="21" spans="1:3" x14ac:dyDescent="0.25">
      <c r="A21" t="s">
        <v>69</v>
      </c>
      <c r="B21" t="s">
        <v>215</v>
      </c>
      <c r="C21">
        <v>30452</v>
      </c>
    </row>
    <row r="22" spans="1:3" x14ac:dyDescent="0.25">
      <c r="A22" t="s">
        <v>70</v>
      </c>
      <c r="B22" t="s">
        <v>216</v>
      </c>
      <c r="C22">
        <v>30675</v>
      </c>
    </row>
    <row r="23" spans="1:3" x14ac:dyDescent="0.25">
      <c r="A23" t="s">
        <v>71</v>
      </c>
      <c r="B23" t="s">
        <v>217</v>
      </c>
      <c r="C23">
        <v>30454</v>
      </c>
    </row>
    <row r="24" spans="1:3" x14ac:dyDescent="0.25">
      <c r="A24" t="s">
        <v>72</v>
      </c>
      <c r="B24" t="s">
        <v>218</v>
      </c>
      <c r="C24">
        <v>30519</v>
      </c>
    </row>
    <row r="25" spans="1:3" x14ac:dyDescent="0.25">
      <c r="A25" t="s">
        <v>73</v>
      </c>
      <c r="B25" t="s">
        <v>48</v>
      </c>
      <c r="C25">
        <v>30627</v>
      </c>
    </row>
    <row r="26" spans="1:3" x14ac:dyDescent="0.25">
      <c r="A26" t="s">
        <v>74</v>
      </c>
      <c r="B26" t="s">
        <v>219</v>
      </c>
      <c r="C26">
        <v>30422</v>
      </c>
    </row>
    <row r="27" spans="1:3" x14ac:dyDescent="0.25">
      <c r="A27" t="s">
        <v>75</v>
      </c>
      <c r="B27" t="s">
        <v>211</v>
      </c>
      <c r="C27">
        <v>17538</v>
      </c>
    </row>
    <row r="28" spans="1:3" x14ac:dyDescent="0.25">
      <c r="A28" t="s">
        <v>76</v>
      </c>
    </row>
    <row r="29" spans="1:3" x14ac:dyDescent="0.25">
      <c r="A29" t="s">
        <v>127</v>
      </c>
      <c r="B29" t="s">
        <v>220</v>
      </c>
      <c r="C29">
        <v>17556</v>
      </c>
    </row>
    <row r="30" spans="1:3" x14ac:dyDescent="0.25">
      <c r="A30" s="3" t="s">
        <v>100</v>
      </c>
      <c r="B30" s="3" t="s">
        <v>221</v>
      </c>
      <c r="C30" s="3">
        <v>17545</v>
      </c>
    </row>
    <row r="31" spans="1:3" x14ac:dyDescent="0.25">
      <c r="A31" s="3" t="s">
        <v>101</v>
      </c>
      <c r="B31" s="3" t="s">
        <v>221</v>
      </c>
      <c r="C31" s="3">
        <v>17545</v>
      </c>
    </row>
    <row r="32" spans="1:3" x14ac:dyDescent="0.25">
      <c r="A32" t="s">
        <v>102</v>
      </c>
      <c r="B32" t="s">
        <v>222</v>
      </c>
      <c r="C32">
        <v>30489</v>
      </c>
    </row>
    <row r="33" spans="1:3" x14ac:dyDescent="0.25">
      <c r="A33" s="3" t="s">
        <v>103</v>
      </c>
      <c r="B33" s="3" t="s">
        <v>221</v>
      </c>
      <c r="C33" s="3">
        <v>17545</v>
      </c>
    </row>
    <row r="34" spans="1:3" x14ac:dyDescent="0.25">
      <c r="A34" t="s">
        <v>104</v>
      </c>
      <c r="B34" t="s">
        <v>223</v>
      </c>
      <c r="C34">
        <v>30412</v>
      </c>
    </row>
    <row r="35" spans="1:3" x14ac:dyDescent="0.25">
      <c r="A35" t="s">
        <v>79</v>
      </c>
      <c r="B35" t="s">
        <v>196</v>
      </c>
      <c r="C35">
        <v>30485</v>
      </c>
    </row>
    <row r="36" spans="1:3" x14ac:dyDescent="0.25">
      <c r="A36" t="s">
        <v>105</v>
      </c>
      <c r="B36" t="s">
        <v>224</v>
      </c>
      <c r="C36">
        <v>30509</v>
      </c>
    </row>
    <row r="37" spans="1:3" x14ac:dyDescent="0.25">
      <c r="A37" t="s">
        <v>106</v>
      </c>
    </row>
    <row r="38" spans="1:3" x14ac:dyDescent="0.25">
      <c r="A38" t="s">
        <v>81</v>
      </c>
      <c r="B38" t="s">
        <v>225</v>
      </c>
      <c r="C38">
        <v>17543</v>
      </c>
    </row>
    <row r="39" spans="1:3" x14ac:dyDescent="0.25">
      <c r="A39" t="s">
        <v>82</v>
      </c>
      <c r="B39" t="s">
        <v>197</v>
      </c>
      <c r="C39">
        <v>30484</v>
      </c>
    </row>
    <row r="40" spans="1:3" x14ac:dyDescent="0.25">
      <c r="A40" t="s">
        <v>83</v>
      </c>
      <c r="B40" t="s">
        <v>198</v>
      </c>
      <c r="C40">
        <v>30467</v>
      </c>
    </row>
    <row r="41" spans="1:3" x14ac:dyDescent="0.25">
      <c r="A41" t="s">
        <v>107</v>
      </c>
      <c r="B41" t="s">
        <v>226</v>
      </c>
      <c r="C41">
        <v>17536</v>
      </c>
    </row>
    <row r="42" spans="1:3" x14ac:dyDescent="0.25">
      <c r="A42" t="s">
        <v>140</v>
      </c>
      <c r="B42" t="s">
        <v>199</v>
      </c>
      <c r="C42">
        <v>17541</v>
      </c>
    </row>
    <row r="43" spans="1:3" x14ac:dyDescent="0.25">
      <c r="A43" t="s">
        <v>86</v>
      </c>
      <c r="B43" t="s">
        <v>200</v>
      </c>
      <c r="C43">
        <v>17519</v>
      </c>
    </row>
    <row r="44" spans="1:3" x14ac:dyDescent="0.25">
      <c r="A44" t="s">
        <v>87</v>
      </c>
      <c r="B44" t="s">
        <v>201</v>
      </c>
      <c r="C4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activeCell="B2" sqref="B2"/>
    </sheetView>
  </sheetViews>
  <sheetFormatPr defaultRowHeight="15" x14ac:dyDescent="0.25"/>
  <cols>
    <col min="1" max="1" width="63.5703125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  <row r="2" spans="1:3" x14ac:dyDescent="0.25">
      <c r="A2" t="s">
        <v>56</v>
      </c>
    </row>
    <row r="3" spans="1:3" x14ac:dyDescent="0.25">
      <c r="A3" t="s">
        <v>123</v>
      </c>
      <c r="B3" t="s">
        <v>202</v>
      </c>
      <c r="C3">
        <v>17539</v>
      </c>
    </row>
    <row r="4" spans="1:3" x14ac:dyDescent="0.25">
      <c r="A4" t="s">
        <v>124</v>
      </c>
    </row>
    <row r="5" spans="1:3" x14ac:dyDescent="0.25">
      <c r="A5" s="3" t="s">
        <v>125</v>
      </c>
      <c r="B5" s="3" t="str">
        <f>VLOOKUP(A5,CFS_Standalone!A:C,2,0)</f>
        <v>Depreciation and Amortisation Expense</v>
      </c>
      <c r="C5" s="3">
        <f>VLOOKUP(A5,CFS_Standalone!A:C,3,0)</f>
        <v>30399</v>
      </c>
    </row>
    <row r="6" spans="1:3" x14ac:dyDescent="0.25">
      <c r="A6" s="3" t="s">
        <v>57</v>
      </c>
      <c r="B6" s="3" t="str">
        <f>VLOOKUP(A6,CFS_Standalone!A:C,2,0)</f>
        <v>Depreciation and Amortisation Expense</v>
      </c>
      <c r="C6" s="3">
        <f>VLOOKUP(A6,CFS_Standalone!A:C,3,0)</f>
        <v>30399</v>
      </c>
    </row>
    <row r="7" spans="1:3" x14ac:dyDescent="0.25">
      <c r="A7" t="s">
        <v>126</v>
      </c>
      <c r="B7" t="s">
        <v>206</v>
      </c>
      <c r="C7">
        <v>30576</v>
      </c>
    </row>
    <row r="8" spans="1:3" x14ac:dyDescent="0.25">
      <c r="A8" t="s">
        <v>58</v>
      </c>
      <c r="B8" t="str">
        <f>VLOOKUP(A8,CFS_Standalone!A:C,2,0)</f>
        <v>Interest Income</v>
      </c>
      <c r="C8">
        <f>VLOOKUP(A8,CFS_Standalone!A:C,3,0)</f>
        <v>30481</v>
      </c>
    </row>
    <row r="9" spans="1:3" x14ac:dyDescent="0.25">
      <c r="A9" t="s">
        <v>59</v>
      </c>
      <c r="B9" t="str">
        <f>VLOOKUP(A9,CFS_Standalone!A:C,2,0)</f>
        <v>Profit On Sale Of Investments</v>
      </c>
      <c r="C9">
        <f>VLOOKUP(A9,CFS_Standalone!A:C,3,0)</f>
        <v>30577</v>
      </c>
    </row>
    <row r="10" spans="1:3" x14ac:dyDescent="0.25">
      <c r="A10" t="s">
        <v>60</v>
      </c>
      <c r="B10" t="str">
        <f>VLOOKUP(A10,CFS_Standalone!A:C,2,0)</f>
        <v>Interest Expense</v>
      </c>
      <c r="C10">
        <f>VLOOKUP(A10,CFS_Standalone!A:C,3,0)</f>
        <v>30479</v>
      </c>
    </row>
    <row r="11" spans="1:3" x14ac:dyDescent="0.25">
      <c r="A11" t="s">
        <v>8</v>
      </c>
      <c r="B11" t="str">
        <f>VLOOKUP(A11,CFS_Standalone!A:C,2,0)</f>
        <v>Provision For Doubtful Debts</v>
      </c>
      <c r="C11">
        <f>VLOOKUP(A11,CFS_Standalone!A:C,3,0)</f>
        <v>30631</v>
      </c>
    </row>
    <row r="12" spans="1:3" x14ac:dyDescent="0.25">
      <c r="A12" s="5" t="s">
        <v>61</v>
      </c>
      <c r="B12" s="5" t="s">
        <v>231</v>
      </c>
      <c r="C12" s="5">
        <v>30407</v>
      </c>
    </row>
    <row r="13" spans="1:3" x14ac:dyDescent="0.25">
      <c r="A13" s="3" t="s">
        <v>62</v>
      </c>
      <c r="B13" s="3" t="str">
        <f>VLOOKUP(A13,CFS_Standalone!A:C,2,0)</f>
        <v>Others-Before Working Capital Changes</v>
      </c>
      <c r="C13" s="3">
        <f>VLOOKUP(A13,CFS_Standalone!A:C,3,0)</f>
        <v>17542</v>
      </c>
    </row>
    <row r="14" spans="1:3" x14ac:dyDescent="0.25">
      <c r="A14" s="3" t="s">
        <v>63</v>
      </c>
      <c r="B14" s="3" t="str">
        <f>VLOOKUP(A14,CFS_Standalone!A:C,2,0)</f>
        <v>Others-Before Working Capital Changes</v>
      </c>
      <c r="C14" s="3">
        <f>VLOOKUP(A14,CFS_Standalone!A:C,3,0)</f>
        <v>17542</v>
      </c>
    </row>
    <row r="15" spans="1:3" x14ac:dyDescent="0.25">
      <c r="A15" t="s">
        <v>64</v>
      </c>
      <c r="B15" t="str">
        <f>VLOOKUP(A15,CFS_Standalone!A:C,2,0)</f>
        <v>Foreign Exchange Gain / Loss</v>
      </c>
      <c r="C15">
        <f>VLOOKUP(A15,CFS_Standalone!A:C,3,0)</f>
        <v>30414</v>
      </c>
    </row>
    <row r="16" spans="1:3" x14ac:dyDescent="0.25">
      <c r="A16" t="s">
        <v>65</v>
      </c>
      <c r="B16" t="s">
        <v>212</v>
      </c>
      <c r="C16">
        <v>30511</v>
      </c>
    </row>
    <row r="17" spans="1:3" x14ac:dyDescent="0.25">
      <c r="A17" t="s">
        <v>66</v>
      </c>
    </row>
    <row r="18" spans="1:3" x14ac:dyDescent="0.25">
      <c r="A18" t="s">
        <v>67</v>
      </c>
      <c r="B18" t="str">
        <f>VLOOKUP(A18,CFS_Standalone!A:C,2,0)</f>
        <v>Loans And Advances</v>
      </c>
      <c r="C18">
        <f>VLOOKUP(A18,CFS_Standalone!A:C,3,0)</f>
        <v>30497</v>
      </c>
    </row>
    <row r="19" spans="1:3" x14ac:dyDescent="0.25">
      <c r="A19" t="s">
        <v>68</v>
      </c>
      <c r="B19" t="str">
        <f>VLOOKUP(A19,CFS_Standalone!A:C,2,0)</f>
        <v>Trade And Other Receivables</v>
      </c>
      <c r="C19">
        <f>VLOOKUP(A19,CFS_Standalone!A:C,3,0)</f>
        <v>30674</v>
      </c>
    </row>
    <row r="20" spans="1:3" x14ac:dyDescent="0.25">
      <c r="A20" t="s">
        <v>69</v>
      </c>
      <c r="B20" t="str">
        <f>VLOOKUP(A20,CFS_Standalone!A:C,2,0)</f>
        <v>Adjustments for other financial assets, non-current</v>
      </c>
      <c r="C20">
        <f>VLOOKUP(A20,CFS_Standalone!A:C,3,0)</f>
        <v>30452</v>
      </c>
    </row>
    <row r="21" spans="1:3" x14ac:dyDescent="0.25">
      <c r="A21" t="s">
        <v>70</v>
      </c>
      <c r="B21" t="str">
        <f>VLOOKUP(A21,CFS_Standalone!A:C,2,0)</f>
        <v>Trade Payables And Others</v>
      </c>
      <c r="C21">
        <f>VLOOKUP(A21,CFS_Standalone!A:C,3,0)</f>
        <v>30675</v>
      </c>
    </row>
    <row r="22" spans="1:3" x14ac:dyDescent="0.25">
      <c r="A22" t="s">
        <v>71</v>
      </c>
      <c r="B22" t="str">
        <f>VLOOKUP(A22,CFS_Standalone!A:C,2,0)</f>
        <v>Adjustments for other financial liabilities, non-current</v>
      </c>
      <c r="C22">
        <f>VLOOKUP(A22,CFS_Standalone!A:C,3,0)</f>
        <v>30454</v>
      </c>
    </row>
    <row r="23" spans="1:3" x14ac:dyDescent="0.25">
      <c r="A23" t="s">
        <v>72</v>
      </c>
      <c r="B23" t="str">
        <f>VLOOKUP(A23,CFS_Standalone!A:C,2,0)</f>
        <v>Other Current and Non Current Liabilities</v>
      </c>
      <c r="C23">
        <f>VLOOKUP(A23,CFS_Standalone!A:C,3,0)</f>
        <v>30519</v>
      </c>
    </row>
    <row r="24" spans="1:3" x14ac:dyDescent="0.25">
      <c r="A24" t="s">
        <v>73</v>
      </c>
      <c r="B24" t="str">
        <f>VLOOKUP(A24,CFS_Standalone!A:C,2,0)</f>
        <v>Provisions</v>
      </c>
      <c r="C24">
        <f>VLOOKUP(A24,CFS_Standalone!A:C,3,0)</f>
        <v>30627</v>
      </c>
    </row>
    <row r="25" spans="1:3" x14ac:dyDescent="0.25">
      <c r="A25" t="s">
        <v>74</v>
      </c>
      <c r="B25" t="str">
        <f>VLOOKUP(A25,CFS_Standalone!A:C,2,0)</f>
        <v>Income Tax Paid</v>
      </c>
      <c r="C25">
        <f>VLOOKUP(A25,CFS_Standalone!A:C,3,0)</f>
        <v>30422</v>
      </c>
    </row>
    <row r="26" spans="1:3" x14ac:dyDescent="0.25">
      <c r="A26" t="s">
        <v>75</v>
      </c>
      <c r="B26" t="str">
        <f>VLOOKUP(A26,CFS_Standalone!A:C,2,0)</f>
        <v>Net Cash Flow From Operating Activities</v>
      </c>
      <c r="C26">
        <f>VLOOKUP(A26,CFS_Standalone!A:C,3,0)</f>
        <v>17538</v>
      </c>
    </row>
    <row r="27" spans="1:3" x14ac:dyDescent="0.25">
      <c r="A27" t="s">
        <v>76</v>
      </c>
    </row>
    <row r="28" spans="1:3" x14ac:dyDescent="0.25">
      <c r="A28" t="s">
        <v>127</v>
      </c>
      <c r="B28" t="str">
        <f>VLOOKUP(A28,CFS_Standalone!A:C,2,0)</f>
        <v>Purchase Of Fixed Assets (Tangible / Intangible)</v>
      </c>
      <c r="C28">
        <f>VLOOKUP(A28,CFS_Standalone!A:C,3,0)</f>
        <v>17556</v>
      </c>
    </row>
    <row r="29" spans="1:3" x14ac:dyDescent="0.25">
      <c r="A29" t="s">
        <v>77</v>
      </c>
      <c r="B29" t="s">
        <v>227</v>
      </c>
      <c r="C29">
        <v>17563</v>
      </c>
    </row>
    <row r="30" spans="1:3" x14ac:dyDescent="0.25">
      <c r="A30" t="s">
        <v>78</v>
      </c>
      <c r="B30" t="s">
        <v>223</v>
      </c>
      <c r="C30">
        <v>30412</v>
      </c>
    </row>
    <row r="31" spans="1:3" x14ac:dyDescent="0.25">
      <c r="A31" t="s">
        <v>79</v>
      </c>
      <c r="B31" t="str">
        <f>VLOOKUP(A31,CFS_Standalone!A:C,2,0)</f>
        <v>Interest Received</v>
      </c>
      <c r="C31">
        <f>VLOOKUP(A31,CFS_Standalone!A:C,3,0)</f>
        <v>30485</v>
      </c>
    </row>
    <row r="32" spans="1:3" x14ac:dyDescent="0.25">
      <c r="A32" t="s">
        <v>80</v>
      </c>
      <c r="B32" t="s">
        <v>228</v>
      </c>
      <c r="C32">
        <v>17537</v>
      </c>
    </row>
    <row r="33" spans="1:3" x14ac:dyDescent="0.25">
      <c r="A33" t="s">
        <v>106</v>
      </c>
    </row>
    <row r="34" spans="1:3" x14ac:dyDescent="0.25">
      <c r="A34" t="s">
        <v>81</v>
      </c>
      <c r="B34" t="str">
        <f>VLOOKUP(A34,CFS_Standalone!A:C,2,0)</f>
        <v>Others-Financing Activities</v>
      </c>
      <c r="C34">
        <f>VLOOKUP(A34,CFS_Standalone!A:C,3,0)</f>
        <v>17543</v>
      </c>
    </row>
    <row r="35" spans="1:3" x14ac:dyDescent="0.25">
      <c r="A35" t="s">
        <v>82</v>
      </c>
      <c r="B35" t="str">
        <f>VLOOKUP(A35,CFS_Standalone!A:C,2,0)</f>
        <v>Interest Paid</v>
      </c>
      <c r="C35">
        <f>VLOOKUP(A35,CFS_Standalone!A:C,3,0)</f>
        <v>30484</v>
      </c>
    </row>
    <row r="36" spans="1:3" x14ac:dyDescent="0.25">
      <c r="A36" t="s">
        <v>83</v>
      </c>
      <c r="B36" t="str">
        <f>VLOOKUP(A36,CFS_Standalone!A:C,2,0)</f>
        <v>Payments of lease liabilities</v>
      </c>
      <c r="C36">
        <f>VLOOKUP(A36,CFS_Standalone!A:C,3,0)</f>
        <v>30467</v>
      </c>
    </row>
    <row r="37" spans="1:3" x14ac:dyDescent="0.25">
      <c r="A37" t="s">
        <v>84</v>
      </c>
      <c r="B37" t="s">
        <v>226</v>
      </c>
      <c r="C37">
        <v>17536</v>
      </c>
    </row>
    <row r="38" spans="1:3" x14ac:dyDescent="0.25">
      <c r="A38" t="s">
        <v>128</v>
      </c>
      <c r="B38" t="s">
        <v>199</v>
      </c>
      <c r="C38">
        <v>17541</v>
      </c>
    </row>
    <row r="39" spans="1:3" x14ac:dyDescent="0.25">
      <c r="A39" t="s">
        <v>85</v>
      </c>
      <c r="B39" t="s">
        <v>229</v>
      </c>
      <c r="C39">
        <v>30458</v>
      </c>
    </row>
    <row r="40" spans="1:3" x14ac:dyDescent="0.25">
      <c r="A40" t="s">
        <v>86</v>
      </c>
      <c r="B40" t="str">
        <f>VLOOKUP(A40,CFS_Standalone!A:C,2,0)</f>
        <v>Cash and Cash Equivalents at the Beginning of the Year</v>
      </c>
      <c r="C40">
        <f>VLOOKUP(A40,CFS_Standalone!A:C,3,0)</f>
        <v>17519</v>
      </c>
    </row>
    <row r="41" spans="1:3" x14ac:dyDescent="0.25">
      <c r="A41" t="s">
        <v>87</v>
      </c>
      <c r="B41" t="str">
        <f>VLOOKUP(A41,CFS_Standalone!A:C,2,0)</f>
        <v>Cash and Cash Equivalents at the End of the Year</v>
      </c>
      <c r="C41">
        <f>VLOOKUP(A41,CFS_Standalone!A:C,3,0)</f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5832-0281-445D-A5FD-2BE38349A42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AAF6-2166-485C-BCCD-543B0F3F14A7}">
  <dimension ref="A1:C1"/>
  <sheetViews>
    <sheetView tabSelected="1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141</v>
      </c>
      <c r="B1" s="1" t="s">
        <v>142</v>
      </c>
      <c r="C1" s="2" t="s">
        <v>143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2025-12-30T17:13:06Z</dcterms:created>
  <dcterms:modified xsi:type="dcterms:W3CDTF">2026-01-20T11:16:30Z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2026-01-01T08:09:42Z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c8126095-44e9-4427-95a9-1f81eb8629a3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