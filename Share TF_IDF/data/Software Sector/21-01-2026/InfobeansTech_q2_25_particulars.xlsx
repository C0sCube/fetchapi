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6_20260102\"/>
    </mc:Choice>
  </mc:AlternateContent>
  <xr:revisionPtr revIDLastSave="0" documentId="13_ncr:1_{ACA12B11-318D-405F-831D-FE0388318FE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&amp;L_Standalone" sheetId="1" r:id="rId1"/>
    <sheet name="P&amp;L_Consolidated" sheetId="5" r:id="rId2"/>
    <sheet name="BS_Standalone" sheetId="2" r:id="rId3"/>
    <sheet name="BS_Consolidated" sheetId="6" r:id="rId4"/>
    <sheet name="CFS_Standalone" sheetId="3" r:id="rId5"/>
    <sheet name="CFS_Consolidated" sheetId="7" r:id="rId6"/>
    <sheet name="SR_Standalone" sheetId="8" r:id="rId7"/>
    <sheet name="SR_Consolidated" sheetId="9" r:id="rId8"/>
  </sheets>
  <externalReferences>
    <externalReference r:id="rId9"/>
  </externalReferences>
  <definedNames>
    <definedName name="_xlnm._FilterDatabase" localSheetId="3" hidden="1">BS_Consolidated!$A$1:$C$48</definedName>
    <definedName name="_xlnm._FilterDatabase" localSheetId="2" hidden="1">BS_Standalone!$A$1:$C$46</definedName>
    <definedName name="_xlnm._FilterDatabase" localSheetId="5" hidden="1">CFS_Consolidated!$A$1:$C$1</definedName>
    <definedName name="_xlnm._FilterDatabase" localSheetId="4" hidden="1">CFS_Standalone!$A$1:$C$50</definedName>
    <definedName name="_xlnm._FilterDatabase" localSheetId="1" hidden="1">'P&amp;L_Consolidated'!$A$1:$C$45</definedName>
    <definedName name="_xlnm._FilterDatabase" localSheetId="0" hidden="1">'P&amp;L_Standalone'!$A$1:$C$29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C4" i="2"/>
  <c r="B9" i="2"/>
  <c r="B10" i="2"/>
  <c r="C10" i="2"/>
  <c r="B15" i="2"/>
  <c r="B16" i="2"/>
  <c r="B24" i="2"/>
  <c r="B25" i="2"/>
  <c r="B26" i="2"/>
  <c r="C26" i="2"/>
  <c r="B27" i="2"/>
  <c r="C27" i="2"/>
  <c r="B28" i="2"/>
  <c r="C28" i="2"/>
  <c r="B29" i="2"/>
  <c r="B30" i="2"/>
  <c r="B31" i="2"/>
  <c r="B35" i="2"/>
  <c r="B36" i="2"/>
  <c r="B2" i="2"/>
</calcChain>
</file>

<file path=xl/sharedStrings.xml><?xml version="1.0" encoding="utf-8"?>
<sst xmlns="http://schemas.openxmlformats.org/spreadsheetml/2006/main" count="535" uniqueCount="256">
  <si>
    <t>Income</t>
  </si>
  <si>
    <t>Expenses</t>
  </si>
  <si>
    <t>Employee benefits expense</t>
  </si>
  <si>
    <t>Finance costs</t>
  </si>
  <si>
    <t>Depreciation and amortisation expense</t>
  </si>
  <si>
    <t>Other expenses</t>
  </si>
  <si>
    <t>Current tax</t>
  </si>
  <si>
    <t>Short/(excess) provision in respect of earlier years</t>
  </si>
  <si>
    <t>Deferred tax</t>
  </si>
  <si>
    <t>Total tax expenses</t>
  </si>
  <si>
    <t>Items that will not be reclassified to profit or loss in subsequent periods</t>
  </si>
  <si>
    <t>Remeasurement of the defined benefit obligations</t>
  </si>
  <si>
    <t>Income tax relating to above</t>
  </si>
  <si>
    <t>ASSETS</t>
  </si>
  <si>
    <t>Non-current assets</t>
  </si>
  <si>
    <t>Property plant and equipment</t>
  </si>
  <si>
    <t>Intangible assets</t>
  </si>
  <si>
    <t>Right-of-use assets</t>
  </si>
  <si>
    <t>Intangibles assets under development</t>
  </si>
  <si>
    <t>Investment in subsidiaries</t>
  </si>
  <si>
    <t>Financial assets</t>
  </si>
  <si>
    <t>Other financial assets</t>
  </si>
  <si>
    <t>Deferred tax assets (net)</t>
  </si>
  <si>
    <t>Income tax assets (net)</t>
  </si>
  <si>
    <t>Other non-current assets</t>
  </si>
  <si>
    <t>Total non-current assets</t>
  </si>
  <si>
    <t>Current assets</t>
  </si>
  <si>
    <t>Investments</t>
  </si>
  <si>
    <t>Trade receivables</t>
  </si>
  <si>
    <t>Cash and cash equivalents</t>
  </si>
  <si>
    <t>Other current assets</t>
  </si>
  <si>
    <t>Total current assets</t>
  </si>
  <si>
    <t>Total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</si>
  <si>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</si>
  <si>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</si>
  <si>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</si>
  <si>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</si>
  <si>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</si>
  <si>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</si>
  <si>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Non-current liabilities</t>
  </si>
  <si>
    <t>Financial liabilities</t>
  </si>
  <si>
    <t>Lease liabilities</t>
  </si>
  <si>
    <t>Provisions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</si>
  <si>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</si>
  <si>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</si>
  <si>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</si>
  <si>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</si>
  <si>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</si>
  <si>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financial liabilities</t>
  </si>
  <si>
    <t>Other current liabilities</t>
  </si>
  <si>
    <t>Current tax liabilities (net)</t>
  </si>
  <si>
    <t>Total current liabilities</t>
  </si>
  <si>
    <t>Total equity and liabilities</t>
  </si>
  <si>
    <t>Cash flow from operating activities</t>
  </si>
  <si>
    <t>Profit before tax</t>
  </si>
  <si>
    <t>Adjustments for:</t>
  </si>
  <si>
    <t>Depreciation and amortisation expenses</t>
  </si>
  <si>
    <t>Gain on sale of investments/fair value gain</t>
  </si>
  <si>
    <t>Unrealised foreign exchange (gain)/loss</t>
  </si>
  <si>
    <t>Finance cost</t>
  </si>
  <si>
    <t>Interest income on fixed deposits</t>
  </si>
  <si>
    <t>Employee stock option expenses</t>
  </si>
  <si>
    <t>Provision/(Reversal of provision) for doubtful debts</t>
  </si>
  <si>
    <t>Operating profits before working capital changes</t>
  </si>
  <si>
    <t>Adjustments for changes in:</t>
  </si>
  <si>
    <t>(Increase)/decrease in other non-current assets</t>
  </si>
  <si>
    <t>(Increase)/decrease in other current assets</t>
  </si>
  <si>
    <t>(Increase)/decrease in other financial assets</t>
  </si>
  <si>
    <t>(Increase)/decrease in trade receivables</t>
  </si>
  <si>
    <t>Increase/(decrease) in other current liabilities</t>
  </si>
  <si>
    <t>Increase/(decrease) in long-term provisions</t>
  </si>
  <si>
    <t>(Decrease)/increase in short-term provisions</t>
  </si>
  <si>
    <t>Increase/(decrease) in current financial liabilities</t>
  </si>
  <si>
    <t>Increase/(decrease) in trade payables</t>
  </si>
  <si>
    <t>Cash generated from operations</t>
  </si>
  <si>
    <t>Taxes paid (net of refund)</t>
  </si>
  <si>
    <t>Net cash flow from operating activities</t>
  </si>
  <si>
    <t>Cash flow from investing activities</t>
  </si>
  <si>
    <t>Purchase of property plant and equipment</t>
  </si>
  <si>
    <t>Purchase of intangibles</t>
  </si>
  <si>
    <t>Payment of consideration for investment in subsidiary</t>
  </si>
  <si>
    <t>Proceeds from sale/maturity of investments in bonds and mutual funds</t>
  </si>
  <si>
    <t>Proceeds from sale/maturity of deposits</t>
  </si>
  <si>
    <t>Investment in bank deposits</t>
  </si>
  <si>
    <t>Investment in bonds and mutual funds</t>
  </si>
  <si>
    <t>Interest received</t>
  </si>
  <si>
    <t>Net cash used in investing activities</t>
  </si>
  <si>
    <t>Cash flow from financing activities</t>
  </si>
  <si>
    <t>Proceeds from issue of equity share capital</t>
  </si>
  <si>
    <t>Payment of interest on lease liabilities</t>
  </si>
  <si>
    <t>Repayment of lease liabilities</t>
  </si>
  <si>
    <t>Interest paid on working capital</t>
  </si>
  <si>
    <t>Buy back of equity shares</t>
  </si>
  <si>
    <t>Dividend paid</t>
  </si>
  <si>
    <t>Net cash used in financing activities</t>
  </si>
  <si>
    <t>Opening cash and cash equivalents</t>
  </si>
  <si>
    <t>Closing cash and cash equivalents</t>
  </si>
  <si>
    <t>Cash and cash equivalents consists of</t>
  </si>
  <si>
    <t>Cash in hand</t>
  </si>
  <si>
    <t>Revenue from operations</t>
  </si>
  <si>
    <t>Total expenses</t>
  </si>
  <si>
    <t>Exceptional items</t>
  </si>
  <si>
    <t>Impairment of goodwill and intangible assets acquired on business combinations</t>
  </si>
  <si>
    <t>Other comprehensive income/ (loss)</t>
  </si>
  <si>
    <t>Items that will be reclassified to profit or loss in subsequent periods</t>
  </si>
  <si>
    <t>Exchange differences in translating the financial statements of foreign operations</t>
  </si>
  <si>
    <t>Total other comprehensive income/ (loss) net of tax</t>
  </si>
  <si>
    <t>Owners of the parent</t>
  </si>
  <si>
    <t>Non-controlling Interest</t>
  </si>
  <si>
    <t>Goodwill</t>
  </si>
  <si>
    <t>Other intangible assets</t>
  </si>
  <si>
    <t>Intangible assets under development</t>
  </si>
  <si>
    <t>Deferred tax liabilities (net)</t>
  </si>
  <si>
    <t>Gain on sale of investments / fair value gain</t>
  </si>
  <si>
    <t>Provision/ (Reversal of provision) for doubtful debts</t>
  </si>
  <si>
    <t>Loss on sale of property plant and equipment (net)</t>
  </si>
  <si>
    <t>Interest income on financial assets carried at amortised cost</t>
  </si>
  <si>
    <t>Unrealised forex (gain)/loss</t>
  </si>
  <si>
    <t>Decrease /(increase) in other current assets</t>
  </si>
  <si>
    <t>Decrease/(increase) in other non-current financial assets</t>
  </si>
  <si>
    <t>(Decrease)/increase in non current financial liabilities</t>
  </si>
  <si>
    <t>(Decrease)/increase in current financial liabilities</t>
  </si>
  <si>
    <t>Purchase of property plant and equipment (including capital advances)</t>
  </si>
  <si>
    <t>Proceeds from sale of property plant and equipment</t>
  </si>
  <si>
    <t>Proceeds from sale/ maturity of investments in bonds and mutual funds</t>
  </si>
  <si>
    <t>Investments in bonds and mutual funds</t>
  </si>
  <si>
    <t>Effect of exchange difference on translation of foreign currency cash and cash equivalents</t>
  </si>
  <si>
    <t>Other income</t>
  </si>
  <si>
    <t>Total income</t>
  </si>
  <si>
    <t>Tax expense</t>
  </si>
  <si>
    <t>Profit for the period/year</t>
  </si>
  <si>
    <t>Other comprehensive income</t>
  </si>
  <si>
    <t>Total other comprehensive income net of tax</t>
  </si>
  <si>
    <t>Total comprehensive income for the period/year net of tax</t>
  </si>
  <si>
    <t>Reserves excluding revaluation reserves as per the balance sheet</t>
  </si>
  <si>
    <t xml:space="preserve">Earnings per share (of ₹ 10/- each) </t>
  </si>
  <si>
    <t>Basic (₹)</t>
  </si>
  <si>
    <t>Diluted (₹)</t>
  </si>
  <si>
    <t>Paid-up equity share capital (Face value of the share is ₹ 10 per share)</t>
  </si>
  <si>
    <t>Net increase/(decrease) in cash and cash equivalents</t>
  </si>
  <si>
    <t>in current accounts</t>
  </si>
  <si>
    <t>Profit before exceptional items and tax</t>
  </si>
  <si>
    <t>Reversal of deferred consideration payable</t>
  </si>
  <si>
    <t>Total exceptional items (net)</t>
  </si>
  <si>
    <t>Profit for the period</t>
  </si>
  <si>
    <t>Profit for the period/year attributable to</t>
  </si>
  <si>
    <t>Total other comprehensive income/ (loss) attributable to</t>
  </si>
  <si>
    <t>Total comprehensive income for the period/year attributable to</t>
  </si>
  <si>
    <t>Earnings per share (of ₹ 10/- each)</t>
  </si>
  <si>
    <t>Paid-up equity share capital (Face value of the Share is ₹ 10 per share)</t>
  </si>
  <si>
    <t>Bank balances</t>
  </si>
  <si>
    <t>Particulars</t>
  </si>
  <si>
    <t>Cogencis Field</t>
  </si>
  <si>
    <t>Field id</t>
  </si>
  <si>
    <t>Lable</t>
  </si>
  <si>
    <t>Profit/(Loss) from Ordinary Activities after Finance Costs but before Exceptional Items</t>
  </si>
  <si>
    <t>Tax Expense</t>
  </si>
  <si>
    <t>Net Profit/(Loss) for the Period</t>
  </si>
  <si>
    <t>Items that will not be reclassified to Profit or Loss</t>
  </si>
  <si>
    <t>Income Tax related to items that will not be reclassified to Profit or Loss</t>
  </si>
  <si>
    <t>Total Comprehensive Gain (Loss) For the Year</t>
  </si>
  <si>
    <t>Other Comprehensive Income</t>
  </si>
  <si>
    <t>Paid-Up Equity Share Capital</t>
  </si>
  <si>
    <t>Reserve excluding Revaluation Reserves (as per Balance Sheet of Previous Accounting Year)</t>
  </si>
  <si>
    <t>Gross Sales/Income from Operations</t>
  </si>
  <si>
    <t>Miscellaneous Income</t>
  </si>
  <si>
    <t>Total Income</t>
  </si>
  <si>
    <t>Employee Benefit Expense</t>
  </si>
  <si>
    <t>Finance Costs</t>
  </si>
  <si>
    <t>Depreciation, Depletion and Amortisation Expense</t>
  </si>
  <si>
    <t>Other Expenses</t>
  </si>
  <si>
    <t>Total Expenses</t>
  </si>
  <si>
    <t>Deferred Tax</t>
  </si>
  <si>
    <t>Basic EPS</t>
  </si>
  <si>
    <t>Diluted EPS</t>
  </si>
  <si>
    <t>Profit/(Loss) from ordinary activities after finance costs but before exceptional items</t>
  </si>
  <si>
    <t>Other Exceptional Items</t>
  </si>
  <si>
    <t>Total Exceptional Items</t>
  </si>
  <si>
    <t>Gain (Loss) on Sale of Assets</t>
  </si>
  <si>
    <t>Profit/(Loss) From Ordinary Activities before Tax</t>
  </si>
  <si>
    <t>Items that will be reclassified to Profit or Loss</t>
  </si>
  <si>
    <t>Owners of the company</t>
  </si>
  <si>
    <t>Non-Controlling Interests</t>
  </si>
  <si>
    <t>Other Intangible Assets</t>
  </si>
  <si>
    <t>Right-of-use asset</t>
  </si>
  <si>
    <t>Intangible Assets Under Development</t>
  </si>
  <si>
    <t>Non-Current Investments</t>
  </si>
  <si>
    <t>Deferred Tax Assets (Net)</t>
  </si>
  <si>
    <t>Income Tax assets (net)</t>
  </si>
  <si>
    <t>Other Non-Current Assets</t>
  </si>
  <si>
    <t>Total Non-Current Assets</t>
  </si>
  <si>
    <t>Current Investments</t>
  </si>
  <si>
    <t>Trade Receivables</t>
  </si>
  <si>
    <t>Cash And Cash Equivalents</t>
  </si>
  <si>
    <t>Other Current Financial Assets</t>
  </si>
  <si>
    <t>Other Current Assets</t>
  </si>
  <si>
    <t>Total Current Assets</t>
  </si>
  <si>
    <t>Total Assets</t>
  </si>
  <si>
    <t>Long-Term Provisions</t>
  </si>
  <si>
    <t>Total Non-Current Liabilities</t>
  </si>
  <si>
    <t>Trade Payables</t>
  </si>
  <si>
    <t>Other Current Financial Liabilities</t>
  </si>
  <si>
    <t>Other liabilities</t>
  </si>
  <si>
    <t>Short-Term Provisions</t>
  </si>
  <si>
    <t>Current Tax Liabilities (Net)</t>
  </si>
  <si>
    <t>Total Current Liabilities</t>
  </si>
  <si>
    <t>Total Equity And Liabilities</t>
  </si>
  <si>
    <t>Goodwill On Consolidation</t>
  </si>
  <si>
    <t>Other Non-Current Financial Assets</t>
  </si>
  <si>
    <t>Other Non Current Financial Liabilities</t>
  </si>
  <si>
    <t>Deferred Tax Liability (Net)</t>
  </si>
  <si>
    <t>Share Capital</t>
  </si>
  <si>
    <t>Reserves And Surplus/Other Equity</t>
  </si>
  <si>
    <t>Total Share Holder's Funds</t>
  </si>
  <si>
    <t>Property, Plant &amp; Equipment</t>
  </si>
  <si>
    <t>Profit On Sale Of Investments</t>
  </si>
  <si>
    <t>Foreign Exchange Gain / Loss</t>
  </si>
  <si>
    <t>Interest Expense</t>
  </si>
  <si>
    <t>Interest Income</t>
  </si>
  <si>
    <t>Provision For Doubtful Debts</t>
  </si>
  <si>
    <t>Employees Stock Options Grants</t>
  </si>
  <si>
    <t>Adjustments for other financial liabilities, non-current</t>
  </si>
  <si>
    <t>Trade Payables And Others</t>
  </si>
  <si>
    <t>Income Tax Paid</t>
  </si>
  <si>
    <t>Net Cash Flow From Operating Activities</t>
  </si>
  <si>
    <t>Purchase Of Fixed Assets (Tangible / Intangible)</t>
  </si>
  <si>
    <t>Investment In Subsidiaries</t>
  </si>
  <si>
    <t>Investment Income</t>
  </si>
  <si>
    <t>Fixed Deposits</t>
  </si>
  <si>
    <t>Purchase Of Investments</t>
  </si>
  <si>
    <t>Interest Received</t>
  </si>
  <si>
    <t>Payments of finance lease liabilities</t>
  </si>
  <si>
    <t>Interest Paid</t>
  </si>
  <si>
    <t>Others-Financing Activities</t>
  </si>
  <si>
    <t>Dividend Paid</t>
  </si>
  <si>
    <t>Net increase (decrease) in cash and cash equivalents before effect of exchange rate changes</t>
  </si>
  <si>
    <t>Cash and Cash Equivalents at the End of the Year</t>
  </si>
  <si>
    <t>Ignore This Field</t>
  </si>
  <si>
    <t>Net Profit Before Tax And Exceptional Item</t>
  </si>
  <si>
    <t>Depreciation and Amortisation Expense</t>
  </si>
  <si>
    <t>Operating Profit Before Working Capital Changes</t>
  </si>
  <si>
    <t>Other Current and Non Current Assets</t>
  </si>
  <si>
    <t>Adjustments for other financial assets, non-current</t>
  </si>
  <si>
    <t>Trade And Other Receivables</t>
  </si>
  <si>
    <t>Other Current and Non Current Liabilities</t>
  </si>
  <si>
    <t>Cash Generated From Operations</t>
  </si>
  <si>
    <t>Net Cash Flow From Investing Activities</t>
  </si>
  <si>
    <t>Proceeds From Issue Of Equity Shares (Inclu Share Premium)</t>
  </si>
  <si>
    <t>Payments of lease liabilities</t>
  </si>
  <si>
    <t>Net Cash Flow From Financing Activities</t>
  </si>
  <si>
    <t>Cash and Cash Equivalents at the Beginning of the Year</t>
  </si>
  <si>
    <t>Loss On Sale Of Fixed Assets</t>
  </si>
  <si>
    <t>Adjustments for other financial assets, current</t>
  </si>
  <si>
    <t>Adjustments for other financial liabilities, current</t>
  </si>
  <si>
    <t>Sale Of Fixed Assets (Tangible / Intangible)</t>
  </si>
  <si>
    <t>Effect of Exchange Fluctuation Translation Reserve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</si>
</sst>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</cellXfs>
  <cellStyles count="1">
    <cellStyle name="Normal" xfId="0" builtinId="0"/>
  </cellStyles>
  <dxfs count="20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M:\CFD-Finance\Finstinct%20Output%20Processed%20File\Field%20Mapping\Batch%206_20260102\OnwardTech_q2_25_particulars.xlsx" TargetMode="External"/><Relationship Id="rId1" Type="http://schemas.openxmlformats.org/officeDocument/2006/relationships/externalLinkPath" Target="OnwardTech_q2_25_particula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&amp;L_Standalone"/>
      <sheetName val="P&amp;L_Consolidated"/>
      <sheetName val="BS_Standalone"/>
      <sheetName val="BS_Consolidated"/>
      <sheetName val="CFS_Standalone"/>
      <sheetName val="CFS_Consolidated"/>
      <sheetName val="SR_Standalone"/>
      <sheetName val="SR_Consolidated"/>
    </sheetNames>
    <sheetDataSet>
      <sheetData sheetId="0"/>
      <sheetData sheetId="1"/>
      <sheetData sheetId="2">
        <row r="1">
          <cell r="A1" t="str">
            <v>Particulars</v>
          </cell>
          <cell r="B1" t="str">
            <v>Cogencis Field</v>
          </cell>
          <cell r="C1" t="str">
            <v>Field id</v>
          </cell>
        </row>
        <row r="2">
          <cell r="A2" t="str">
            <v>ASSETS</v>
          </cell>
          <cell r="B2" t="str">
            <v>Lable</v>
          </cell>
          <cell r="C2"/>
        </row>
        <row r="3">
          <cell r="A3" t="str">
            <v>Non-current assets</v>
          </cell>
          <cell r="B3" t="str">
            <v>Lable</v>
          </cell>
          <cell r="C3"/>
        </row>
        <row r="4">
          <cell r="A4" t="str">
            <v>Property plant and equipment</v>
          </cell>
          <cell r="B4" t="str">
            <v>Property, Plant &amp; Equipment</v>
          </cell>
          <cell r="C4">
            <v>20222</v>
          </cell>
        </row>
        <row r="5">
          <cell r="A5" t="str">
            <v>Capital work-in-progress</v>
          </cell>
          <cell r="B5" t="str">
            <v>Capital Work-In-Progress</v>
          </cell>
          <cell r="C5">
            <v>13720</v>
          </cell>
        </row>
        <row r="6">
          <cell r="A6" t="str">
            <v>Right-of-use assets</v>
          </cell>
          <cell r="B6" t="str">
            <v>Right-of-use asset</v>
          </cell>
          <cell r="C6">
            <v>30342</v>
          </cell>
        </row>
        <row r="7">
          <cell r="A7" t="str">
            <v>Intangible assets</v>
          </cell>
          <cell r="B7" t="str">
            <v>Other Intangible Assets</v>
          </cell>
          <cell r="C7">
            <v>20221</v>
          </cell>
        </row>
        <row r="8">
          <cell r="A8" t="str">
            <v>Intangible assets under development</v>
          </cell>
          <cell r="B8" t="str">
            <v>Intangible assets under development</v>
          </cell>
          <cell r="C8">
            <v>13736</v>
          </cell>
        </row>
        <row r="9">
          <cell r="A9" t="str">
            <v>Financial assets</v>
          </cell>
          <cell r="B9" t="str">
            <v>Lable</v>
          </cell>
          <cell r="C9"/>
        </row>
        <row r="10">
          <cell r="A10" t="str">
            <v>Investments</v>
          </cell>
          <cell r="B10" t="str">
            <v>Non-Current Investments</v>
          </cell>
          <cell r="C10">
            <v>13748</v>
          </cell>
        </row>
        <row r="11">
          <cell r="A11" t="str">
            <v>Other financial assets</v>
          </cell>
          <cell r="B11" t="str">
            <v>Other Non-Current Financial Assets</v>
          </cell>
          <cell r="C11">
            <v>20216</v>
          </cell>
        </row>
        <row r="12">
          <cell r="A12" t="str">
            <v>Deferred tax assets (net)</v>
          </cell>
          <cell r="B12" t="str">
            <v>Deferred Tax Assets (Net)</v>
          </cell>
          <cell r="C12">
            <v>13726</v>
          </cell>
        </row>
        <row r="13">
          <cell r="A13" t="str">
            <v>Income-tax assets (net)</v>
          </cell>
          <cell r="B13" t="str">
            <v>Income Tax assets (net)</v>
          </cell>
          <cell r="C13">
            <v>20215</v>
          </cell>
        </row>
        <row r="14">
          <cell r="A14" t="str">
            <v>Other non-current assets</v>
          </cell>
          <cell r="B14" t="str">
            <v>Other Non-Current Assets</v>
          </cell>
          <cell r="C14">
            <v>13753</v>
          </cell>
        </row>
        <row r="15">
          <cell r="A15" t="str">
            <v>Total non-current assets</v>
          </cell>
          <cell r="B15" t="str">
            <v>Total Non-Current Assets</v>
          </cell>
          <cell r="C15">
            <v>13777</v>
          </cell>
        </row>
        <row r="16">
          <cell r="A16" t="str">
            <v>Current assets</v>
          </cell>
          <cell r="B16" t="str">
            <v>Lable</v>
          </cell>
          <cell r="C16"/>
        </row>
        <row r="17">
          <cell r="A17" t="str">
            <v>Financial assets</v>
          </cell>
          <cell r="B17" t="str">
            <v>Lable</v>
          </cell>
          <cell r="C17"/>
        </row>
        <row r="18">
          <cell r="A18" t="str">
            <v>Trade receivables</v>
          </cell>
        </row>
        <row r="19">
          <cell r="A19" t="str">
            <v>Billed</v>
          </cell>
          <cell r="B19" t="str">
            <v>Trade Receivables</v>
          </cell>
          <cell r="C19">
            <v>13780</v>
          </cell>
        </row>
        <row r="20">
          <cell r="A20" t="str">
            <v>Unbilled</v>
          </cell>
          <cell r="B20" t="str">
            <v>Trade Receivables</v>
          </cell>
          <cell r="C20">
            <v>13780</v>
          </cell>
        </row>
        <row r="21">
          <cell r="A21" t="str">
            <v>Cash and cash equivalents</v>
          </cell>
          <cell r="B21" t="str">
            <v>Cash And Cash Equivalents</v>
          </cell>
          <cell r="C21">
            <v>13722</v>
          </cell>
        </row>
        <row r="22">
          <cell r="A22" t="str">
            <v>Bank balances other than cash and cash equivalents above</v>
          </cell>
          <cell r="B22" t="str">
            <v>Bank balance other than cash and cash equivalents</v>
          </cell>
          <cell r="C22">
            <v>29788</v>
          </cell>
        </row>
        <row r="23">
          <cell r="A23" t="str">
            <v>Other financial assets</v>
          </cell>
          <cell r="B23" t="str">
            <v>Other Current Financial Assets</v>
          </cell>
          <cell r="C23">
            <v>20231</v>
          </cell>
        </row>
        <row r="24">
          <cell r="A24" t="str">
            <v>Other current assets</v>
          </cell>
          <cell r="B24" t="str">
            <v>Other Current Assets</v>
          </cell>
          <cell r="C24">
            <v>13750</v>
          </cell>
        </row>
        <row r="25">
          <cell r="A25" t="str">
            <v>Total current assets</v>
          </cell>
          <cell r="B25" t="str">
            <v>Total Current Assets</v>
          </cell>
          <cell r="C25">
            <v>13774</v>
          </cell>
        </row>
        <row r="26">
          <cell r="A26" t="str">
            <v>TOTAL ASSETS</v>
          </cell>
          <cell r="B26" t="str">
            <v>Total Assets</v>
          </cell>
          <cell r="C26">
            <v>13771</v>
          </cell>
        </row>
        <row r="27">
          <cell r="A27" t="str">
            <v>EQUITY AND LIABILITIES</v>
          </cell>
          <cell r="B27" t="str">
            <v>Lable</v>
          </cell>
          <cell r="C27"/>
        </row>
        <row r="28">
          <cell r="A28" t="str">
            <v>Equity</v>
          </cell>
          <cell r="B28" t="str">
            <v>Lable</v>
          </cell>
          <cell r="C28"/>
        </row>
        <row r="29">
          <cell r="A29" t="str">
            <v>Equity share capital</v>
          </cell>
          <cell r="B29" t="str">
            <v>Share Capital</v>
          </cell>
          <cell r="C29">
            <v>13765</v>
          </cell>
        </row>
        <row r="30">
          <cell r="A30" t="str">
            <v>Other equity</v>
          </cell>
          <cell r="B30" t="str">
            <v>Reserves And Surplus/Other Equity</v>
          </cell>
          <cell r="C30">
            <v>13762</v>
          </cell>
        </row>
        <row r="31">
          <cell r="A31" t="str">
            <v>Total equity</v>
          </cell>
          <cell r="B31" t="str">
            <v>Total Share Holder's Funds</v>
          </cell>
          <cell r="C31">
            <v>13773</v>
          </cell>
        </row>
        <row r="32">
          <cell r="A32" t="str">
            <v>LIABILITIES</v>
          </cell>
          <cell r="B32" t="str">
            <v>Lable</v>
          </cell>
          <cell r="C32"/>
        </row>
        <row r="33">
          <cell r="A33" t="str">
            <v>Non-current liabilities</v>
          </cell>
          <cell r="B33" t="str">
            <v>Lable</v>
          </cell>
          <cell r="C33"/>
        </row>
        <row r="34">
          <cell r="A34" t="str">
            <v>Financial liabilities</v>
          </cell>
          <cell r="B34" t="str">
            <v>Lable</v>
          </cell>
          <cell r="C34"/>
        </row>
        <row r="35">
          <cell r="A35" t="str">
            <v>Lease Liabilities</v>
          </cell>
          <cell r="B35" t="str">
            <v>Lease liabilities</v>
          </cell>
          <cell r="C35">
            <v>30340</v>
          </cell>
        </row>
        <row r="36">
          <cell r="A36" t="str">
            <v>Provisions</v>
          </cell>
          <cell r="B36" t="str">
            <v>Long-Term Provisions</v>
          </cell>
          <cell r="C36">
            <v>13743</v>
          </cell>
        </row>
        <row r="37">
          <cell r="A37" t="str">
            <v>Total non-current liabilities</v>
          </cell>
          <cell r="B37" t="str">
            <v>Total Non-Current Liabilities</v>
          </cell>
          <cell r="C37">
            <v>13778</v>
          </cell>
        </row>
        <row r="38">
          <cell r="A38" t="str">
            <v>Current liabilities</v>
          </cell>
          <cell r="B38" t="str">
            <v>Lable</v>
          </cell>
          <cell r="C38"/>
        </row>
        <row r="39">
          <cell r="A39" t="str">
            <v>Financial liabilities</v>
          </cell>
          <cell r="B39" t="str">
            <v>Lable</v>
          </cell>
          <cell r="C39"/>
        </row>
        <row r="40">
          <cell r="A40" t="str">
            <v>Lease Liabilities</v>
          </cell>
          <cell r="B40" t="str">
            <v>Lease liabilities</v>
          </cell>
          <cell r="C40">
            <v>25716</v>
          </cell>
        </row>
        <row r="41">
          <cell r="A41" t="str">
            <v>Trade payables</v>
          </cell>
        </row>
        <row r="42">
          <cell r="A42" t="str">
            <v>-Total outstanding dues of micro and small enterprises</v>
          </cell>
          <cell r="B42" t="str">
            <v>Trade Payables</v>
          </cell>
          <cell r="C42">
            <v>13779</v>
          </cell>
        </row>
        <row r="43">
          <cell r="A43" t="str">
            <v>-Total outstanding dues of creditors other than micro and small enterprises</v>
          </cell>
          <cell r="B43" t="str">
            <v>Trade Payables</v>
          </cell>
          <cell r="C43">
            <v>13779</v>
          </cell>
        </row>
        <row r="44">
          <cell r="A44" t="str">
            <v>Other financial liabilities</v>
          </cell>
          <cell r="B44" t="str">
            <v>Other Current Financial Liabilities</v>
          </cell>
          <cell r="C44">
            <v>20214</v>
          </cell>
        </row>
        <row r="45">
          <cell r="A45" t="str">
            <v>Provisions</v>
          </cell>
          <cell r="B45" t="str">
            <v>Short-Term Provisions</v>
          </cell>
          <cell r="C45">
            <v>13767</v>
          </cell>
        </row>
        <row r="46">
          <cell r="A46" t="str">
            <v>Income-tax liabilities (net)</v>
          </cell>
          <cell r="B46" t="str">
            <v>Current Tax Liabilities (Net)</v>
          </cell>
          <cell r="C46">
            <v>20211</v>
          </cell>
        </row>
        <row r="47">
          <cell r="A47" t="str">
            <v>Other current liabilities</v>
          </cell>
          <cell r="B47" t="str">
            <v>Other liabilities</v>
          </cell>
          <cell r="C47">
            <v>26450</v>
          </cell>
        </row>
        <row r="48">
          <cell r="A48" t="str">
            <v>Total current liabilities</v>
          </cell>
          <cell r="B48" t="str">
            <v>Total Current Liabilities</v>
          </cell>
          <cell r="C48">
            <v>13775</v>
          </cell>
        </row>
        <row r="49">
          <cell r="A49" t="str">
            <v>Total liabilities</v>
          </cell>
          <cell r="B49"/>
          <cell r="C49"/>
        </row>
        <row r="50">
          <cell r="A50" t="str">
            <v>TOTAL EQUITY AND LIABILITIES</v>
          </cell>
          <cell r="B50" t="str">
            <v>Total Equity And Liabilities</v>
          </cell>
          <cell r="C50">
            <v>13776</v>
          </cell>
        </row>
      </sheetData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9"/>
  <sheetViews>
    <sheetView tabSelected="1" workbookViewId="0"/>
  </sheetViews>
  <sheetFormatPr defaultRowHeight="15" x14ac:dyDescent="0.25"/>
  <cols>
    <col min="1" max="2" width="56.140625" customWidth="1"/>
    <col min="3" max="3" width="7.5703125" bestFit="1" customWidth="1"/>
  </cols>
  <sheetData>
    <row r="1" spans="1:3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1" t="s">
        <v>0</v>
      </c>
      <c r="B2" s="1" t="s">
        <v>154</v>
      </c>
      <c r="C2" s="1"/>
    </row>
    <row r="3" spans="1:3" x14ac:dyDescent="0.25">
      <c r="A3" s="1" t="s">
        <v>99</v>
      </c>
      <c r="B3" s="1" t="s">
        <v>164</v>
      </c>
      <c r="C3" s="1">
        <v>256</v>
      </c>
    </row>
    <row r="4" spans="1:3" x14ac:dyDescent="0.25">
      <c r="A4" s="1" t="s">
        <v>127</v>
      </c>
      <c r="B4" s="1" t="s">
        <v>165</v>
      </c>
      <c r="C4" s="1">
        <v>265</v>
      </c>
    </row>
    <row r="5" spans="1:3" x14ac:dyDescent="0.25">
      <c r="A5" s="1" t="s">
        <v>128</v>
      </c>
      <c r="B5" s="1" t="s">
        <v>166</v>
      </c>
      <c r="C5" s="1">
        <v>25238</v>
      </c>
    </row>
    <row r="6" spans="1:3" x14ac:dyDescent="0.25">
      <c r="A6" s="1" t="s">
        <v>1</v>
      </c>
      <c r="B6" s="1" t="s">
        <v>154</v>
      </c>
      <c r="C6" s="1">
        <v>0</v>
      </c>
    </row>
    <row r="7" spans="1:3" x14ac:dyDescent="0.25">
      <c r="A7" s="1" t="s">
        <v>2</v>
      </c>
      <c r="B7" s="1" t="s">
        <v>167</v>
      </c>
      <c r="C7" s="1">
        <v>238</v>
      </c>
    </row>
    <row r="8" spans="1:3" x14ac:dyDescent="0.25">
      <c r="A8" s="1" t="s">
        <v>3</v>
      </c>
      <c r="B8" s="1" t="s">
        <v>168</v>
      </c>
      <c r="C8" s="1">
        <v>246</v>
      </c>
    </row>
    <row r="9" spans="1:3" x14ac:dyDescent="0.25">
      <c r="A9" s="1" t="s">
        <v>4</v>
      </c>
      <c r="B9" s="1" t="s">
        <v>169</v>
      </c>
      <c r="C9" s="1">
        <v>232</v>
      </c>
    </row>
    <row r="10" spans="1:3" x14ac:dyDescent="0.25">
      <c r="A10" s="1" t="s">
        <v>5</v>
      </c>
      <c r="B10" s="1" t="s">
        <v>170</v>
      </c>
      <c r="C10" s="1">
        <v>279</v>
      </c>
    </row>
    <row r="11" spans="1:3" x14ac:dyDescent="0.25">
      <c r="A11" s="1" t="s">
        <v>100</v>
      </c>
      <c r="B11" s="1" t="s">
        <v>171</v>
      </c>
      <c r="C11" s="1">
        <v>320</v>
      </c>
    </row>
    <row r="12" spans="1:3" x14ac:dyDescent="0.25">
      <c r="A12" s="1" t="s">
        <v>54</v>
      </c>
      <c r="B12" s="1" t="s">
        <v>155</v>
      </c>
      <c r="C12" s="1">
        <v>294</v>
      </c>
    </row>
    <row r="13" spans="1:3" x14ac:dyDescent="0.25">
      <c r="A13" s="1" t="s">
        <v>129</v>
      </c>
      <c r="B13" s="1" t="s">
        <v>154</v>
      </c>
      <c r="C13" s="1"/>
    </row>
    <row r="14" spans="1:3" x14ac:dyDescent="0.25">
      <c r="A14" s="4" t="s">
        <v>6</v>
      </c>
      <c r="B14" s="4" t="s">
        <v>156</v>
      </c>
      <c r="C14" s="4">
        <v>318</v>
      </c>
    </row>
    <row r="15" spans="1:3" x14ac:dyDescent="0.25">
      <c r="A15" s="4" t="s">
        <v>7</v>
      </c>
      <c r="B15" s="4" t="s">
        <v>156</v>
      </c>
      <c r="C15" s="4">
        <v>318</v>
      </c>
    </row>
    <row r="16" spans="1:3" x14ac:dyDescent="0.25">
      <c r="A16" s="1" t="s">
        <v>8</v>
      </c>
      <c r="B16" s="1" t="s">
        <v>172</v>
      </c>
      <c r="C16" s="1">
        <v>231</v>
      </c>
    </row>
    <row r="17" spans="1:3" x14ac:dyDescent="0.25">
      <c r="A17" s="1" t="s">
        <v>9</v>
      </c>
      <c r="B17" s="1" t="s">
        <v>154</v>
      </c>
      <c r="C17" s="1"/>
    </row>
    <row r="18" spans="1:3" x14ac:dyDescent="0.25">
      <c r="A18" s="1" t="s">
        <v>130</v>
      </c>
      <c r="B18" s="1" t="s">
        <v>157</v>
      </c>
      <c r="C18" s="1">
        <v>269</v>
      </c>
    </row>
    <row r="19" spans="1:3" x14ac:dyDescent="0.25">
      <c r="A19" s="1" t="s">
        <v>131</v>
      </c>
      <c r="B19" s="1" t="s">
        <v>154</v>
      </c>
      <c r="C19" s="1"/>
    </row>
    <row r="20" spans="1:3" x14ac:dyDescent="0.25">
      <c r="A20" s="4" t="s">
        <v>10</v>
      </c>
      <c r="B20" s="4" t="s">
        <v>158</v>
      </c>
      <c r="C20" s="4">
        <v>22293</v>
      </c>
    </row>
    <row r="21" spans="1:3" x14ac:dyDescent="0.25">
      <c r="A21" s="4" t="s">
        <v>11</v>
      </c>
      <c r="B21" s="4" t="s">
        <v>158</v>
      </c>
      <c r="C21" s="4">
        <v>22293</v>
      </c>
    </row>
    <row r="22" spans="1:3" x14ac:dyDescent="0.25">
      <c r="A22" s="1" t="s">
        <v>12</v>
      </c>
      <c r="B22" s="1" t="s">
        <v>159</v>
      </c>
      <c r="C22" s="3">
        <v>22295</v>
      </c>
    </row>
    <row r="23" spans="1:3" x14ac:dyDescent="0.25">
      <c r="A23" s="1" t="s">
        <v>132</v>
      </c>
      <c r="B23" s="1" t="s">
        <v>161</v>
      </c>
      <c r="C23" s="3">
        <v>16484</v>
      </c>
    </row>
    <row r="24" spans="1:3" x14ac:dyDescent="0.25">
      <c r="A24" s="1" t="s">
        <v>133</v>
      </c>
      <c r="B24" s="1" t="s">
        <v>160</v>
      </c>
      <c r="C24" s="1">
        <v>20019</v>
      </c>
    </row>
    <row r="25" spans="1:3" x14ac:dyDescent="0.25">
      <c r="A25" s="1" t="s">
        <v>138</v>
      </c>
      <c r="B25" s="1" t="s">
        <v>162</v>
      </c>
      <c r="C25" s="3">
        <v>282</v>
      </c>
    </row>
    <row r="26" spans="1:3" x14ac:dyDescent="0.25">
      <c r="A26" s="1" t="s">
        <v>134</v>
      </c>
      <c r="B26" s="1" t="s">
        <v>163</v>
      </c>
      <c r="C26" s="1">
        <v>309</v>
      </c>
    </row>
    <row r="27" spans="1:3" x14ac:dyDescent="0.25">
      <c r="A27" s="1" t="s">
        <v>135</v>
      </c>
      <c r="B27" s="1"/>
      <c r="C27" s="1"/>
    </row>
    <row r="28" spans="1:3" x14ac:dyDescent="0.25">
      <c r="A28" s="1" t="s">
        <v>136</v>
      </c>
      <c r="B28" s="1" t="s">
        <v>173</v>
      </c>
      <c r="C28" s="1">
        <v>222</v>
      </c>
    </row>
    <row r="29" spans="1:3" x14ac:dyDescent="0.25">
      <c r="A29" s="1" t="s">
        <v>137</v>
      </c>
      <c r="B29" s="1" t="s">
        <v>174</v>
      </c>
      <c r="C29" s="1">
        <v>234</v>
      </c>
    </row>
  </sheetData>
  <conditionalFormatting sqref="C1:C1048576">
    <cfRule type="duplicateValues" dxfId="1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5"/>
  <sheetViews>
    <sheetView workbookViewId="0"/>
  </sheetViews>
  <sheetFormatPr defaultRowHeight="15" x14ac:dyDescent="0.25"/>
  <cols>
    <col min="1" max="2" width="53" customWidth="1"/>
    <col min="3" max="3" width="7.5703125" bestFit="1" customWidth="1"/>
  </cols>
  <sheetData>
    <row r="1" spans="1:3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1" t="s">
        <v>0</v>
      </c>
      <c r="B2" s="1" t="s">
        <v>154</v>
      </c>
      <c r="C2" s="1"/>
    </row>
    <row r="3" spans="1:3" x14ac:dyDescent="0.25">
      <c r="A3" s="1" t="s">
        <v>99</v>
      </c>
      <c r="B3" s="1" t="s">
        <v>164</v>
      </c>
      <c r="C3" s="1">
        <v>256</v>
      </c>
    </row>
    <row r="4" spans="1:3" x14ac:dyDescent="0.25">
      <c r="A4" s="1" t="s">
        <v>127</v>
      </c>
      <c r="B4" s="1" t="s">
        <v>165</v>
      </c>
      <c r="C4" s="1">
        <v>265</v>
      </c>
    </row>
    <row r="5" spans="1:3" x14ac:dyDescent="0.25">
      <c r="A5" s="1" t="s">
        <v>128</v>
      </c>
      <c r="B5" s="1" t="s">
        <v>166</v>
      </c>
      <c r="C5" s="1">
        <v>25238</v>
      </c>
    </row>
    <row r="6" spans="1:3" x14ac:dyDescent="0.25">
      <c r="A6" s="1" t="s">
        <v>1</v>
      </c>
      <c r="B6" s="1" t="s">
        <v>154</v>
      </c>
      <c r="C6" s="1"/>
    </row>
    <row r="7" spans="1:3" x14ac:dyDescent="0.25">
      <c r="A7" s="1" t="s">
        <v>2</v>
      </c>
      <c r="B7" s="1" t="s">
        <v>167</v>
      </c>
      <c r="C7" s="1">
        <v>238</v>
      </c>
    </row>
    <row r="8" spans="1:3" x14ac:dyDescent="0.25">
      <c r="A8" s="1" t="s">
        <v>3</v>
      </c>
      <c r="B8" s="1" t="s">
        <v>168</v>
      </c>
      <c r="C8" s="1">
        <v>246</v>
      </c>
    </row>
    <row r="9" spans="1:3" x14ac:dyDescent="0.25">
      <c r="A9" s="1" t="s">
        <v>4</v>
      </c>
      <c r="B9" s="1" t="s">
        <v>169</v>
      </c>
      <c r="C9" s="1">
        <v>232</v>
      </c>
    </row>
    <row r="10" spans="1:3" x14ac:dyDescent="0.25">
      <c r="A10" s="1" t="s">
        <v>5</v>
      </c>
      <c r="B10" s="1" t="s">
        <v>170</v>
      </c>
      <c r="C10" s="1">
        <v>279</v>
      </c>
    </row>
    <row r="11" spans="1:3" x14ac:dyDescent="0.25">
      <c r="A11" s="1" t="s">
        <v>100</v>
      </c>
      <c r="B11" s="1" t="s">
        <v>171</v>
      </c>
      <c r="C11" s="1">
        <v>320</v>
      </c>
    </row>
    <row r="12" spans="1:3" x14ac:dyDescent="0.25">
      <c r="A12" s="1" t="s">
        <v>141</v>
      </c>
      <c r="B12" s="1" t="s">
        <v>175</v>
      </c>
      <c r="C12" s="1">
        <v>294</v>
      </c>
    </row>
    <row r="13" spans="1:3" x14ac:dyDescent="0.25">
      <c r="A13" s="1" t="s">
        <v>101</v>
      </c>
      <c r="B13" s="1" t="s">
        <v>154</v>
      </c>
      <c r="C13" s="1"/>
    </row>
    <row r="14" spans="1:3" x14ac:dyDescent="0.25">
      <c r="A14" s="1" t="s">
        <v>102</v>
      </c>
      <c r="B14" s="1" t="s">
        <v>178</v>
      </c>
      <c r="C14" s="1">
        <v>249</v>
      </c>
    </row>
    <row r="15" spans="1:3" x14ac:dyDescent="0.25">
      <c r="A15" s="1" t="s">
        <v>142</v>
      </c>
      <c r="B15" s="1" t="s">
        <v>176</v>
      </c>
      <c r="C15" s="1">
        <v>278</v>
      </c>
    </row>
    <row r="16" spans="1:3" x14ac:dyDescent="0.25">
      <c r="A16" s="1" t="s">
        <v>143</v>
      </c>
      <c r="B16" s="1" t="s">
        <v>177</v>
      </c>
      <c r="C16" s="1">
        <v>319</v>
      </c>
    </row>
    <row r="17" spans="1:3" x14ac:dyDescent="0.25">
      <c r="A17" s="1" t="s">
        <v>54</v>
      </c>
      <c r="B17" s="1" t="s">
        <v>179</v>
      </c>
      <c r="C17" s="1">
        <v>296</v>
      </c>
    </row>
    <row r="18" spans="1:3" x14ac:dyDescent="0.25">
      <c r="A18" s="1" t="s">
        <v>129</v>
      </c>
      <c r="B18" s="1" t="s">
        <v>154</v>
      </c>
      <c r="C18" s="1"/>
    </row>
    <row r="19" spans="1:3" x14ac:dyDescent="0.25">
      <c r="A19" s="4" t="s">
        <v>6</v>
      </c>
      <c r="B19" s="4" t="s">
        <v>156</v>
      </c>
      <c r="C19" s="4">
        <v>318</v>
      </c>
    </row>
    <row r="20" spans="1:3" x14ac:dyDescent="0.25">
      <c r="A20" s="4" t="s">
        <v>7</v>
      </c>
      <c r="B20" s="4" t="s">
        <v>156</v>
      </c>
      <c r="C20" s="4">
        <v>318</v>
      </c>
    </row>
    <row r="21" spans="1:3" x14ac:dyDescent="0.25">
      <c r="A21" s="1" t="s">
        <v>8</v>
      </c>
      <c r="B21" s="1" t="s">
        <v>172</v>
      </c>
      <c r="C21" s="1">
        <v>231</v>
      </c>
    </row>
    <row r="22" spans="1:3" x14ac:dyDescent="0.25">
      <c r="A22" s="1" t="s">
        <v>9</v>
      </c>
      <c r="B22" s="1" t="s">
        <v>154</v>
      </c>
      <c r="C22" s="1"/>
    </row>
    <row r="23" spans="1:3" x14ac:dyDescent="0.25">
      <c r="A23" s="1" t="s">
        <v>144</v>
      </c>
      <c r="B23" s="1" t="s">
        <v>157</v>
      </c>
      <c r="C23" s="1">
        <v>269</v>
      </c>
    </row>
    <row r="24" spans="1:3" x14ac:dyDescent="0.25">
      <c r="A24" s="1" t="s">
        <v>103</v>
      </c>
      <c r="B24" s="1" t="s">
        <v>154</v>
      </c>
      <c r="C24" s="1"/>
    </row>
    <row r="25" spans="1:3" x14ac:dyDescent="0.25">
      <c r="A25" s="4" t="s">
        <v>10</v>
      </c>
      <c r="B25" s="4" t="s">
        <v>158</v>
      </c>
      <c r="C25" s="4">
        <v>22293</v>
      </c>
    </row>
    <row r="26" spans="1:3" x14ac:dyDescent="0.25">
      <c r="A26" s="4" t="s">
        <v>11</v>
      </c>
      <c r="B26" s="4" t="s">
        <v>158</v>
      </c>
      <c r="C26" s="4">
        <v>22293</v>
      </c>
    </row>
    <row r="27" spans="1:3" x14ac:dyDescent="0.25">
      <c r="A27" s="1" t="s">
        <v>12</v>
      </c>
      <c r="B27" s="1" t="s">
        <v>159</v>
      </c>
      <c r="C27" s="1">
        <v>22295</v>
      </c>
    </row>
    <row r="28" spans="1:3" x14ac:dyDescent="0.25">
      <c r="A28" s="4" t="s">
        <v>104</v>
      </c>
      <c r="B28" s="4" t="s">
        <v>180</v>
      </c>
      <c r="C28" s="4">
        <v>22294</v>
      </c>
    </row>
    <row r="29" spans="1:3" x14ac:dyDescent="0.25">
      <c r="A29" s="4" t="s">
        <v>105</v>
      </c>
      <c r="B29" s="4" t="s">
        <v>180</v>
      </c>
      <c r="C29" s="4">
        <v>22294</v>
      </c>
    </row>
    <row r="30" spans="1:3" x14ac:dyDescent="0.25">
      <c r="A30" s="1" t="s">
        <v>106</v>
      </c>
      <c r="B30" s="1" t="s">
        <v>161</v>
      </c>
      <c r="C30" s="1">
        <v>16484</v>
      </c>
    </row>
    <row r="31" spans="1:3" x14ac:dyDescent="0.25">
      <c r="A31" s="1" t="s">
        <v>133</v>
      </c>
      <c r="B31" s="1" t="s">
        <v>160</v>
      </c>
      <c r="C31" s="1">
        <v>20019</v>
      </c>
    </row>
    <row r="32" spans="1:3" x14ac:dyDescent="0.25">
      <c r="A32" s="1" t="s">
        <v>145</v>
      </c>
      <c r="B32" s="1" t="s">
        <v>154</v>
      </c>
      <c r="C32" s="1"/>
    </row>
    <row r="33" spans="1:3" x14ac:dyDescent="0.25">
      <c r="A33" s="1" t="s">
        <v>107</v>
      </c>
      <c r="B33" s="1" t="s">
        <v>181</v>
      </c>
      <c r="C33" s="1">
        <v>22299</v>
      </c>
    </row>
    <row r="34" spans="1:3" x14ac:dyDescent="0.25">
      <c r="A34" s="1" t="s">
        <v>108</v>
      </c>
      <c r="B34" s="1" t="s">
        <v>182</v>
      </c>
      <c r="C34" s="1">
        <v>22298</v>
      </c>
    </row>
    <row r="35" spans="1:3" x14ac:dyDescent="0.25">
      <c r="A35" s="1" t="s">
        <v>146</v>
      </c>
      <c r="B35" s="1" t="s">
        <v>154</v>
      </c>
      <c r="C35" s="1"/>
    </row>
    <row r="36" spans="1:3" x14ac:dyDescent="0.25">
      <c r="A36" s="1" t="s">
        <v>107</v>
      </c>
      <c r="B36" s="1" t="s">
        <v>181</v>
      </c>
      <c r="C36" s="3">
        <v>22291</v>
      </c>
    </row>
    <row r="37" spans="1:3" x14ac:dyDescent="0.25">
      <c r="A37" s="1" t="s">
        <v>108</v>
      </c>
      <c r="B37" s="1" t="s">
        <v>182</v>
      </c>
      <c r="C37" s="3">
        <v>22290</v>
      </c>
    </row>
    <row r="38" spans="1:3" x14ac:dyDescent="0.25">
      <c r="A38" s="1" t="s">
        <v>147</v>
      </c>
      <c r="B38" s="1" t="s">
        <v>154</v>
      </c>
      <c r="C38" s="1"/>
    </row>
    <row r="39" spans="1:3" x14ac:dyDescent="0.25">
      <c r="A39" s="1" t="s">
        <v>107</v>
      </c>
      <c r="B39" s="1" t="s">
        <v>181</v>
      </c>
      <c r="C39" s="3">
        <v>22303</v>
      </c>
    </row>
    <row r="40" spans="1:3" x14ac:dyDescent="0.25">
      <c r="A40" s="1" t="s">
        <v>108</v>
      </c>
      <c r="B40" s="1" t="s">
        <v>182</v>
      </c>
      <c r="C40" s="3">
        <v>22302</v>
      </c>
    </row>
    <row r="41" spans="1:3" x14ac:dyDescent="0.25">
      <c r="A41" s="1" t="s">
        <v>149</v>
      </c>
      <c r="B41" s="1" t="s">
        <v>162</v>
      </c>
      <c r="C41" s="1">
        <v>282</v>
      </c>
    </row>
    <row r="42" spans="1:3" x14ac:dyDescent="0.25">
      <c r="A42" s="1" t="s">
        <v>134</v>
      </c>
      <c r="B42" s="1" t="s">
        <v>163</v>
      </c>
      <c r="C42" s="1">
        <v>309</v>
      </c>
    </row>
    <row r="43" spans="1:3" x14ac:dyDescent="0.25">
      <c r="A43" s="1" t="s">
        <v>148</v>
      </c>
      <c r="B43" s="1"/>
      <c r="C43" s="1"/>
    </row>
    <row r="44" spans="1:3" x14ac:dyDescent="0.25">
      <c r="A44" s="1" t="s">
        <v>136</v>
      </c>
      <c r="B44" s="1" t="s">
        <v>173</v>
      </c>
      <c r="C44" s="1">
        <v>222</v>
      </c>
    </row>
    <row r="45" spans="1:3" x14ac:dyDescent="0.25">
      <c r="A45" s="1" t="s">
        <v>137</v>
      </c>
      <c r="B45" s="1" t="s">
        <v>174</v>
      </c>
      <c r="C45" s="1">
        <v>234</v>
      </c>
    </row>
  </sheetData>
  <conditionalFormatting sqref="C1:C1048576">
    <cfRule type="duplicateValues" dxfId="1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"/>
  <sheetViews>
    <sheetView workbookViewId="0"/>
  </sheetViews>
  <sheetFormatPr defaultRowHeight="15" x14ac:dyDescent="0.25"/>
  <cols>
    <col min="1" max="1" width="58.42578125" customWidth="1"/>
    <col min="2" max="2" width="32.85546875" bestFit="1" customWidth="1"/>
    <col min="3" max="3" width="7.5703125" bestFit="1" customWidth="1"/>
  </cols>
  <sheetData>
    <row r="1" spans="1:3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1" t="s">
        <v>13</v>
      </c>
      <c r="B2" s="1" t="str">
        <f>_xlfn.XLOOKUP(A2,[1]BS_Standalone!$A:$A,[1]BS_Standalone!$B:$B)</f>
        <v>Lable</v>
      </c>
      <c r="C2" s="1"/>
    </row>
    <row r="3" spans="1:3" x14ac:dyDescent="0.25">
      <c r="A3" s="1" t="s">
        <v>14</v>
      </c>
      <c r="B3" s="1" t="str">
        <f>_xlfn.XLOOKUP(A3,[1]BS_Standalone!$A:$A,[1]BS_Standalone!$B:$B)</f>
        <v>Lable</v>
      </c>
      <c r="C3" s="1"/>
    </row>
    <row r="4" spans="1:3" x14ac:dyDescent="0.25">
      <c r="A4" s="1" t="s">
        <v>15</v>
      </c>
      <c r="B4" s="1" t="str">
        <f>_xlfn.XLOOKUP(A4,[1]BS_Standalone!$A:$A,[1]BS_Standalone!$B:$B)</f>
        <v>Property, Plant &amp; Equipment</v>
      </c>
      <c r="C4" s="1">
        <f>_xlfn.XLOOKUP(A4,[1]BS_Standalone!$A:$A,[1]BS_Standalone!$C:$C)</f>
        <v>20222</v>
      </c>
    </row>
    <row r="5" spans="1:3" x14ac:dyDescent="0.25">
      <c r="A5" s="1" t="s">
        <v>16</v>
      </c>
      <c r="B5" s="1" t="s">
        <v>183</v>
      </c>
      <c r="C5" s="3">
        <v>20221</v>
      </c>
    </row>
    <row r="6" spans="1:3" x14ac:dyDescent="0.25">
      <c r="A6" s="1" t="s">
        <v>17</v>
      </c>
      <c r="B6" s="1" t="s">
        <v>184</v>
      </c>
      <c r="C6" s="3">
        <v>30342</v>
      </c>
    </row>
    <row r="7" spans="1:3" x14ac:dyDescent="0.25">
      <c r="A7" s="1" t="s">
        <v>18</v>
      </c>
      <c r="B7" s="1" t="s">
        <v>185</v>
      </c>
      <c r="C7" s="1">
        <v>13736</v>
      </c>
    </row>
    <row r="8" spans="1:3" x14ac:dyDescent="0.25">
      <c r="A8" s="1" t="s">
        <v>19</v>
      </c>
      <c r="B8" s="1" t="s">
        <v>186</v>
      </c>
      <c r="C8" s="1">
        <v>13748</v>
      </c>
    </row>
    <row r="9" spans="1:3" x14ac:dyDescent="0.25">
      <c r="A9" s="1" t="s">
        <v>20</v>
      </c>
      <c r="B9" s="1" t="str">
        <f>_xlfn.XLOOKUP(A9,[1]BS_Standalone!$A:$A,[1]BS_Standalone!$B:$B)</f>
        <v>Lable</v>
      </c>
      <c r="C9" s="1"/>
    </row>
    <row r="10" spans="1:3" x14ac:dyDescent="0.25">
      <c r="A10" s="1" t="s">
        <v>21</v>
      </c>
      <c r="B10" s="1" t="str">
        <f>_xlfn.XLOOKUP(A10,[1]BS_Standalone!$A:$A,[1]BS_Standalone!$B:$B)</f>
        <v>Other Non-Current Financial Assets</v>
      </c>
      <c r="C10" s="1">
        <f>_xlfn.XLOOKUP(A10,[1]BS_Standalone!$A:$A,[1]BS_Standalone!$C:$C)</f>
        <v>20216</v>
      </c>
    </row>
    <row r="11" spans="1:3" x14ac:dyDescent="0.25">
      <c r="A11" s="1" t="s">
        <v>22</v>
      </c>
      <c r="B11" s="1" t="s">
        <v>187</v>
      </c>
      <c r="C11" s="3">
        <v>13726</v>
      </c>
    </row>
    <row r="12" spans="1:3" x14ac:dyDescent="0.25">
      <c r="A12" s="1" t="s">
        <v>23</v>
      </c>
      <c r="B12" s="1" t="s">
        <v>188</v>
      </c>
      <c r="C12" s="3">
        <v>20215</v>
      </c>
    </row>
    <row r="13" spans="1:3" x14ac:dyDescent="0.25">
      <c r="A13" s="1" t="s">
        <v>24</v>
      </c>
      <c r="B13" s="1" t="s">
        <v>189</v>
      </c>
      <c r="C13" s="1">
        <v>13753</v>
      </c>
    </row>
    <row r="14" spans="1:3" x14ac:dyDescent="0.25">
      <c r="A14" s="1" t="s">
        <v>25</v>
      </c>
      <c r="B14" s="1" t="s">
        <v>190</v>
      </c>
      <c r="C14" s="1">
        <v>13777</v>
      </c>
    </row>
    <row r="15" spans="1:3" x14ac:dyDescent="0.25">
      <c r="A15" s="1" t="s">
        <v>26</v>
      </c>
      <c r="B15" s="1" t="str">
        <f>_xlfn.XLOOKUP(A15,[1]BS_Standalone!$A:$A,[1]BS_Standalone!$B:$B)</f>
        <v>Lable</v>
      </c>
      <c r="C15" s="1"/>
    </row>
    <row r="16" spans="1:3" x14ac:dyDescent="0.25">
      <c r="A16" s="1" t="s">
        <v>20</v>
      </c>
      <c r="B16" s="1" t="str">
        <f>_xlfn.XLOOKUP(A16,[1]BS_Standalone!$A:$A,[1]BS_Standalone!$B:$B)</f>
        <v>Lable</v>
      </c>
      <c r="C16" s="1"/>
    </row>
    <row r="17" spans="1:3" x14ac:dyDescent="0.25">
      <c r="A17" s="1" t="s">
        <v>27</v>
      </c>
      <c r="B17" s="1" t="s">
        <v>191</v>
      </c>
      <c r="C17" s="3">
        <v>13724</v>
      </c>
    </row>
    <row r="18" spans="1:3" x14ac:dyDescent="0.25">
      <c r="A18" s="1" t="s">
        <v>28</v>
      </c>
      <c r="B18" s="1" t="s">
        <v>192</v>
      </c>
      <c r="C18" s="3">
        <v>13780</v>
      </c>
    </row>
    <row r="19" spans="1:3" x14ac:dyDescent="0.25">
      <c r="A19" s="1" t="s">
        <v>29</v>
      </c>
      <c r="B19" s="1" t="s">
        <v>193</v>
      </c>
      <c r="C19" s="3">
        <v>13722</v>
      </c>
    </row>
    <row r="20" spans="1:3" x14ac:dyDescent="0.25">
      <c r="A20" s="1" t="s">
        <v>21</v>
      </c>
      <c r="B20" s="1" t="s">
        <v>194</v>
      </c>
      <c r="C20" s="3">
        <v>20231</v>
      </c>
    </row>
    <row r="21" spans="1:3" x14ac:dyDescent="0.25">
      <c r="A21" s="1" t="s">
        <v>30</v>
      </c>
      <c r="B21" s="1" t="s">
        <v>195</v>
      </c>
      <c r="C21" s="3">
        <v>13750</v>
      </c>
    </row>
    <row r="22" spans="1:3" x14ac:dyDescent="0.25">
      <c r="A22" s="1" t="s">
        <v>31</v>
      </c>
      <c r="B22" s="1" t="s">
        <v>196</v>
      </c>
      <c r="C22" s="1">
        <v>13774</v>
      </c>
    </row>
    <row r="23" spans="1:3" x14ac:dyDescent="0.25">
      <c r="A23" s="1" t="s">
        <v>32</v>
      </c>
      <c r="B23" s="1" t="s">
        <v>197</v>
      </c>
      <c r="C23" s="1">
        <v>13771</v>
      </c>
    </row>
    <row r="24" spans="1:3" x14ac:dyDescent="0.25">
      <c r="A24" s="1" t="s">
        <v>33</v>
      </c>
      <c r="B24" s="1" t="str">
        <f>_xlfn.XLOOKUP(A24,[1]BS_Standalone!$A:$A,[1]BS_Standalone!$B:$B)</f>
        <v>Lable</v>
      </c>
      <c r="C24" s="1"/>
    </row>
    <row r="25" spans="1:3" x14ac:dyDescent="0.25">
      <c r="A25" s="1" t="s">
        <v>34</v>
      </c>
      <c r="B25" s="1" t="str">
        <f>_xlfn.XLOOKUP(A25,[1]BS_Standalone!$A:$A,[1]BS_Standalone!$B:$B)</f>
        <v>Lable</v>
      </c>
      <c r="C25" s="1"/>
    </row>
    <row r="26" spans="1:3" x14ac:dyDescent="0.25">
      <c r="A26" s="1" t="s">
        <v>35</v>
      </c>
      <c r="B26" s="1" t="str">
        <f>_xlfn.XLOOKUP(A26,[1]BS_Standalone!$A:$A,[1]BS_Standalone!$B:$B)</f>
        <v>Share Capital</v>
      </c>
      <c r="C26" s="1">
        <f>_xlfn.XLOOKUP(A26,[1]BS_Standalone!$A:$A,[1]BS_Standalone!$C:$C)</f>
        <v>13765</v>
      </c>
    </row>
    <row r="27" spans="1:3" x14ac:dyDescent="0.25">
      <c r="A27" s="1" t="s">
        <v>36</v>
      </c>
      <c r="B27" s="1" t="str">
        <f>_xlfn.XLOOKUP(A27,[1]BS_Standalone!$A:$A,[1]BS_Standalone!$B:$B)</f>
        <v>Reserves And Surplus/Other Equity</v>
      </c>
      <c r="C27" s="1">
        <f>_xlfn.XLOOKUP(A27,[1]BS_Standalone!$A:$A,[1]BS_Standalone!$C:$C)</f>
        <v>13762</v>
      </c>
    </row>
    <row r="28" spans="1:3" x14ac:dyDescent="0.25">
      <c r="A28" s="1" t="s">
        <v>37</v>
      </c>
      <c r="B28" s="1" t="str">
        <f>_xlfn.XLOOKUP(A28,[1]BS_Standalone!$A:$A,[1]BS_Standalone!$B:$B)</f>
        <v>Total Share Holder's Funds</v>
      </c>
      <c r="C28" s="1">
        <f>_xlfn.XLOOKUP(A28,[1]BS_Standalone!$A:$A,[1]BS_Standalone!$C:$C)</f>
        <v>13773</v>
      </c>
    </row>
    <row r="29" spans="1:3" x14ac:dyDescent="0.25">
      <c r="A29" s="1" t="s">
        <v>38</v>
      </c>
      <c r="B29" s="1" t="str">
        <f>_xlfn.XLOOKUP(A29,[1]BS_Standalone!$A:$A,[1]BS_Standalone!$B:$B)</f>
        <v>Lable</v>
      </c>
      <c r="C29" s="1"/>
    </row>
    <row r="30" spans="1:3" x14ac:dyDescent="0.25">
      <c r="A30" s="1" t="s">
        <v>39</v>
      </c>
      <c r="B30" s="1" t="str">
        <f>_xlfn.XLOOKUP(A30,[1]BS_Standalone!$A:$A,[1]BS_Standalone!$B:$B)</f>
        <v>Lable</v>
      </c>
      <c r="C30" s="1"/>
    </row>
    <row r="31" spans="1:3" x14ac:dyDescent="0.25">
      <c r="A31" s="1" t="s">
        <v>40</v>
      </c>
      <c r="B31" s="1" t="str">
        <f>_xlfn.XLOOKUP(A31,[1]BS_Standalone!$A:$A,[1]BS_Standalone!$B:$B)</f>
        <v>Lable</v>
      </c>
      <c r="C31" s="1"/>
    </row>
    <row r="32" spans="1:3" x14ac:dyDescent="0.25">
      <c r="A32" s="1" t="s">
        <v>41</v>
      </c>
      <c r="B32" s="1" t="s">
        <v>41</v>
      </c>
      <c r="C32" s="3">
        <v>30340</v>
      </c>
    </row>
    <row r="33" spans="1:3" x14ac:dyDescent="0.25">
      <c r="A33" s="1" t="s">
        <v>42</v>
      </c>
      <c r="B33" s="1" t="s">
        <v>198</v>
      </c>
      <c r="C33" s="3">
        <v>13743</v>
      </c>
    </row>
    <row r="34" spans="1:3" x14ac:dyDescent="0.25">
      <c r="A34" s="1" t="s">
        <v>43</v>
      </c>
      <c r="B34" s="1" t="s">
        <v>199</v>
      </c>
      <c r="C34" s="1">
        <v>13778</v>
      </c>
    </row>
    <row r="35" spans="1:3" x14ac:dyDescent="0.25">
      <c r="A35" s="1" t="s">
        <v>44</v>
      </c>
      <c r="B35" s="1" t="str">
        <f>_xlfn.XLOOKUP(A35,[1]BS_Standalone!$A:$A,[1]BS_Standalone!$B:$B)</f>
        <v>Lable</v>
      </c>
      <c r="C35" s="1"/>
    </row>
    <row r="36" spans="1:3" x14ac:dyDescent="0.25">
      <c r="A36" s="1" t="s">
        <v>40</v>
      </c>
      <c r="B36" s="1" t="str">
        <f>_xlfn.XLOOKUP(A36,[1]BS_Standalone!$A:$A,[1]BS_Standalone!$B:$B)</f>
        <v>Lable</v>
      </c>
      <c r="C36" s="1"/>
    </row>
    <row r="37" spans="1:3" x14ac:dyDescent="0.25">
      <c r="A37" s="1" t="s">
        <v>41</v>
      </c>
      <c r="B37" s="1" t="s">
        <v>41</v>
      </c>
      <c r="C37" s="3">
        <v>25716</v>
      </c>
    </row>
    <row r="38" spans="1:3" x14ac:dyDescent="0.25">
      <c r="A38" s="1" t="s">
        <v>45</v>
      </c>
      <c r="B38" s="1"/>
      <c r="C38" s="1"/>
    </row>
    <row r="39" spans="1:3" x14ac:dyDescent="0.25">
      <c r="A39" s="4" t="s">
        <v>46</v>
      </c>
      <c r="B39" s="4" t="s">
        <v>200</v>
      </c>
      <c r="C39" s="4">
        <v>13779</v>
      </c>
    </row>
    <row r="40" spans="1:3" x14ac:dyDescent="0.25">
      <c r="A40" s="4" t="s">
        <v>47</v>
      </c>
      <c r="B40" s="4" t="s">
        <v>200</v>
      </c>
      <c r="C40" s="4">
        <v>13779</v>
      </c>
    </row>
    <row r="41" spans="1:3" x14ac:dyDescent="0.25">
      <c r="A41" s="1" t="s">
        <v>48</v>
      </c>
      <c r="B41" s="1" t="s">
        <v>201</v>
      </c>
      <c r="C41" s="1">
        <v>20214</v>
      </c>
    </row>
    <row r="42" spans="1:3" x14ac:dyDescent="0.25">
      <c r="A42" s="1" t="s">
        <v>49</v>
      </c>
      <c r="B42" s="1" t="s">
        <v>202</v>
      </c>
      <c r="C42" s="3">
        <v>26450</v>
      </c>
    </row>
    <row r="43" spans="1:3" x14ac:dyDescent="0.25">
      <c r="A43" s="1" t="s">
        <v>42</v>
      </c>
      <c r="B43" s="1" t="s">
        <v>203</v>
      </c>
      <c r="C43" s="3">
        <v>13767</v>
      </c>
    </row>
    <row r="44" spans="1:3" x14ac:dyDescent="0.25">
      <c r="A44" s="1" t="s">
        <v>50</v>
      </c>
      <c r="B44" s="1" t="s">
        <v>204</v>
      </c>
      <c r="C44" s="3">
        <v>20211</v>
      </c>
    </row>
    <row r="45" spans="1:3" x14ac:dyDescent="0.25">
      <c r="A45" s="1" t="s">
        <v>51</v>
      </c>
      <c r="B45" s="1" t="s">
        <v>205</v>
      </c>
      <c r="C45" s="1">
        <v>13775</v>
      </c>
    </row>
    <row r="46" spans="1:3" x14ac:dyDescent="0.25">
      <c r="A46" s="1" t="s">
        <v>52</v>
      </c>
      <c r="B46" s="1" t="s">
        <v>206</v>
      </c>
      <c r="C46" s="1">
        <v>13776</v>
      </c>
    </row>
  </sheetData>
  <conditionalFormatting sqref="C1">
    <cfRule type="duplicateValues" dxfId="11" priority="3"/>
    <cfRule type="duplicateValues" dxfId="10" priority="4"/>
    <cfRule type="duplicateValues" dxfId="9" priority="5"/>
  </conditionalFormatting>
  <conditionalFormatting sqref="C1:C37 C41:C1048576">
    <cfRule type="duplicateValues" dxfId="8" priority="2"/>
  </conditionalFormatting>
  <conditionalFormatting sqref="C1:C1048576">
    <cfRule type="duplicateValues" dxfId="3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48"/>
  <sheetViews>
    <sheetView workbookViewId="0"/>
  </sheetViews>
  <sheetFormatPr defaultRowHeight="15" x14ac:dyDescent="0.25"/>
  <cols>
    <col min="1" max="1" width="47.140625" customWidth="1"/>
    <col min="2" max="2" width="32.85546875" bestFit="1" customWidth="1"/>
    <col min="3" max="3" width="7.5703125" bestFit="1" customWidth="1"/>
  </cols>
  <sheetData>
    <row r="1" spans="1:3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1" t="s">
        <v>13</v>
      </c>
      <c r="B2" s="1" t="s">
        <v>154</v>
      </c>
      <c r="C2" s="1"/>
    </row>
    <row r="3" spans="1:3" x14ac:dyDescent="0.25">
      <c r="A3" s="1" t="s">
        <v>14</v>
      </c>
      <c r="B3" s="1" t="s">
        <v>154</v>
      </c>
      <c r="C3" s="1"/>
    </row>
    <row r="4" spans="1:3" x14ac:dyDescent="0.25">
      <c r="A4" s="1" t="s">
        <v>15</v>
      </c>
      <c r="B4" s="1" t="s">
        <v>214</v>
      </c>
      <c r="C4" s="1">
        <v>20222</v>
      </c>
    </row>
    <row r="5" spans="1:3" x14ac:dyDescent="0.25">
      <c r="A5" s="1" t="s">
        <v>109</v>
      </c>
      <c r="B5" s="1" t="s">
        <v>207</v>
      </c>
      <c r="C5" s="1">
        <v>13734</v>
      </c>
    </row>
    <row r="6" spans="1:3" x14ac:dyDescent="0.25">
      <c r="A6" s="1" t="s">
        <v>110</v>
      </c>
      <c r="B6" s="1" t="s">
        <v>183</v>
      </c>
      <c r="C6" s="1">
        <v>20221</v>
      </c>
    </row>
    <row r="7" spans="1:3" x14ac:dyDescent="0.25">
      <c r="A7" s="1" t="s">
        <v>17</v>
      </c>
      <c r="B7" s="1" t="s">
        <v>184</v>
      </c>
      <c r="C7" s="1">
        <v>30342</v>
      </c>
    </row>
    <row r="8" spans="1:3" x14ac:dyDescent="0.25">
      <c r="A8" s="1" t="s">
        <v>111</v>
      </c>
      <c r="B8" s="1" t="s">
        <v>185</v>
      </c>
      <c r="C8" s="1">
        <v>13736</v>
      </c>
    </row>
    <row r="9" spans="1:3" x14ac:dyDescent="0.25">
      <c r="A9" s="1" t="s">
        <v>20</v>
      </c>
      <c r="B9" s="1" t="s">
        <v>154</v>
      </c>
      <c r="C9" s="1"/>
    </row>
    <row r="10" spans="1:3" x14ac:dyDescent="0.25">
      <c r="A10" s="1" t="s">
        <v>21</v>
      </c>
      <c r="B10" s="1" t="s">
        <v>208</v>
      </c>
      <c r="C10" s="1">
        <v>20216</v>
      </c>
    </row>
    <row r="11" spans="1:3" x14ac:dyDescent="0.25">
      <c r="A11" s="1" t="s">
        <v>22</v>
      </c>
      <c r="B11" s="1" t="s">
        <v>187</v>
      </c>
      <c r="C11" s="3">
        <v>13726</v>
      </c>
    </row>
    <row r="12" spans="1:3" x14ac:dyDescent="0.25">
      <c r="A12" s="1" t="s">
        <v>23</v>
      </c>
      <c r="B12" s="1" t="s">
        <v>188</v>
      </c>
      <c r="C12" s="3">
        <v>20215</v>
      </c>
    </row>
    <row r="13" spans="1:3" x14ac:dyDescent="0.25">
      <c r="A13" s="1" t="s">
        <v>24</v>
      </c>
      <c r="B13" s="1" t="s">
        <v>189</v>
      </c>
      <c r="C13" s="3">
        <v>13753</v>
      </c>
    </row>
    <row r="14" spans="1:3" x14ac:dyDescent="0.25">
      <c r="A14" s="1" t="s">
        <v>25</v>
      </c>
      <c r="B14" s="1" t="s">
        <v>190</v>
      </c>
      <c r="C14" s="1">
        <v>13777</v>
      </c>
    </row>
    <row r="15" spans="1:3" x14ac:dyDescent="0.25">
      <c r="A15" s="1" t="s">
        <v>26</v>
      </c>
      <c r="B15" s="1" t="s">
        <v>154</v>
      </c>
      <c r="C15" s="1"/>
    </row>
    <row r="16" spans="1:3" x14ac:dyDescent="0.25">
      <c r="A16" s="1" t="s">
        <v>20</v>
      </c>
      <c r="B16" s="1" t="s">
        <v>154</v>
      </c>
      <c r="C16" s="1"/>
    </row>
    <row r="17" spans="1:3" x14ac:dyDescent="0.25">
      <c r="A17" s="1" t="s">
        <v>27</v>
      </c>
      <c r="B17" s="1" t="s">
        <v>191</v>
      </c>
      <c r="C17" s="1">
        <v>13724</v>
      </c>
    </row>
    <row r="18" spans="1:3" x14ac:dyDescent="0.25">
      <c r="A18" s="1" t="s">
        <v>28</v>
      </c>
      <c r="B18" s="1" t="s">
        <v>192</v>
      </c>
      <c r="C18" s="3">
        <v>13780</v>
      </c>
    </row>
    <row r="19" spans="1:3" x14ac:dyDescent="0.25">
      <c r="A19" s="1" t="s">
        <v>29</v>
      </c>
      <c r="B19" s="1" t="s">
        <v>193</v>
      </c>
      <c r="C19" s="3">
        <v>13722</v>
      </c>
    </row>
    <row r="20" spans="1:3" x14ac:dyDescent="0.25">
      <c r="A20" s="1" t="s">
        <v>21</v>
      </c>
      <c r="B20" s="1" t="s">
        <v>194</v>
      </c>
      <c r="C20" s="1">
        <v>20231</v>
      </c>
    </row>
    <row r="21" spans="1:3" x14ac:dyDescent="0.25">
      <c r="A21" s="1" t="s">
        <v>30</v>
      </c>
      <c r="B21" s="1" t="s">
        <v>195</v>
      </c>
      <c r="C21" s="3">
        <v>13750</v>
      </c>
    </row>
    <row r="22" spans="1:3" x14ac:dyDescent="0.25">
      <c r="A22" s="1" t="s">
        <v>31</v>
      </c>
      <c r="B22" s="1" t="s">
        <v>196</v>
      </c>
      <c r="C22" s="1">
        <v>13774</v>
      </c>
    </row>
    <row r="23" spans="1:3" x14ac:dyDescent="0.25">
      <c r="A23" s="1" t="s">
        <v>32</v>
      </c>
      <c r="B23" s="1" t="s">
        <v>197</v>
      </c>
      <c r="C23" s="1">
        <v>13771</v>
      </c>
    </row>
    <row r="24" spans="1:3" x14ac:dyDescent="0.25">
      <c r="A24" s="1" t="s">
        <v>33</v>
      </c>
      <c r="B24" s="1" t="s">
        <v>154</v>
      </c>
      <c r="C24" s="1"/>
    </row>
    <row r="25" spans="1:3" x14ac:dyDescent="0.25">
      <c r="A25" s="1" t="s">
        <v>34</v>
      </c>
      <c r="B25" s="1" t="s">
        <v>154</v>
      </c>
      <c r="C25" s="1"/>
    </row>
    <row r="26" spans="1:3" x14ac:dyDescent="0.25">
      <c r="A26" s="1" t="s">
        <v>35</v>
      </c>
      <c r="B26" s="1" t="s">
        <v>211</v>
      </c>
      <c r="C26" s="1">
        <v>13765</v>
      </c>
    </row>
    <row r="27" spans="1:3" x14ac:dyDescent="0.25">
      <c r="A27" s="1" t="s">
        <v>36</v>
      </c>
      <c r="B27" s="1" t="s">
        <v>212</v>
      </c>
      <c r="C27" s="3">
        <v>13762</v>
      </c>
    </row>
    <row r="28" spans="1:3" x14ac:dyDescent="0.25">
      <c r="A28" s="1" t="s">
        <v>37</v>
      </c>
      <c r="B28" s="1" t="s">
        <v>213</v>
      </c>
      <c r="C28" s="1">
        <v>13773</v>
      </c>
    </row>
    <row r="29" spans="1:3" x14ac:dyDescent="0.25">
      <c r="A29" s="1" t="s">
        <v>38</v>
      </c>
      <c r="B29" s="1" t="s">
        <v>154</v>
      </c>
      <c r="C29" s="1"/>
    </row>
    <row r="30" spans="1:3" x14ac:dyDescent="0.25">
      <c r="A30" s="1" t="s">
        <v>39</v>
      </c>
      <c r="B30" s="1" t="s">
        <v>154</v>
      </c>
      <c r="C30" s="1"/>
    </row>
    <row r="31" spans="1:3" x14ac:dyDescent="0.25">
      <c r="A31" s="1" t="s">
        <v>40</v>
      </c>
      <c r="B31" s="1" t="s">
        <v>154</v>
      </c>
      <c r="C31" s="1"/>
    </row>
    <row r="32" spans="1:3" x14ac:dyDescent="0.25">
      <c r="A32" s="1" t="s">
        <v>41</v>
      </c>
      <c r="B32" s="1" t="s">
        <v>41</v>
      </c>
      <c r="C32" s="3">
        <v>30340</v>
      </c>
    </row>
    <row r="33" spans="1:3" x14ac:dyDescent="0.25">
      <c r="A33" s="1" t="s">
        <v>48</v>
      </c>
      <c r="B33" s="1" t="s">
        <v>209</v>
      </c>
      <c r="C33" s="1">
        <v>20226</v>
      </c>
    </row>
    <row r="34" spans="1:3" x14ac:dyDescent="0.25">
      <c r="A34" s="1" t="s">
        <v>42</v>
      </c>
      <c r="B34" s="1" t="s">
        <v>198</v>
      </c>
      <c r="C34" s="3">
        <v>13743</v>
      </c>
    </row>
    <row r="35" spans="1:3" x14ac:dyDescent="0.25">
      <c r="A35" s="1" t="s">
        <v>112</v>
      </c>
      <c r="B35" s="1" t="s">
        <v>210</v>
      </c>
      <c r="C35" s="3">
        <v>13727</v>
      </c>
    </row>
    <row r="36" spans="1:3" x14ac:dyDescent="0.25">
      <c r="A36" s="1" t="s">
        <v>43</v>
      </c>
      <c r="B36" s="1" t="s">
        <v>199</v>
      </c>
      <c r="C36" s="1">
        <v>13778</v>
      </c>
    </row>
    <row r="37" spans="1:3" x14ac:dyDescent="0.25">
      <c r="A37" s="1" t="s">
        <v>44</v>
      </c>
      <c r="B37" s="1" t="s">
        <v>154</v>
      </c>
      <c r="C37" s="1"/>
    </row>
    <row r="38" spans="1:3" x14ac:dyDescent="0.25">
      <c r="A38" s="1" t="s">
        <v>40</v>
      </c>
      <c r="B38" s="1" t="s">
        <v>154</v>
      </c>
      <c r="C38" s="1"/>
    </row>
    <row r="39" spans="1:3" x14ac:dyDescent="0.25">
      <c r="A39" s="1" t="s">
        <v>41</v>
      </c>
      <c r="B39" s="1" t="s">
        <v>41</v>
      </c>
      <c r="C39" s="1">
        <v>25716</v>
      </c>
    </row>
    <row r="40" spans="1:3" x14ac:dyDescent="0.25">
      <c r="A40" s="1" t="s">
        <v>45</v>
      </c>
      <c r="B40" s="1"/>
      <c r="C40" s="1"/>
    </row>
    <row r="41" spans="1:3" x14ac:dyDescent="0.25">
      <c r="A41" s="4" t="s">
        <v>46</v>
      </c>
      <c r="B41" s="4" t="s">
        <v>200</v>
      </c>
      <c r="C41" s="4">
        <v>13779</v>
      </c>
    </row>
    <row r="42" spans="1:3" x14ac:dyDescent="0.25">
      <c r="A42" s="4" t="s">
        <v>47</v>
      </c>
      <c r="B42" s="4" t="s">
        <v>200</v>
      </c>
      <c r="C42" s="4">
        <v>13779</v>
      </c>
    </row>
    <row r="43" spans="1:3" x14ac:dyDescent="0.25">
      <c r="A43" s="1" t="s">
        <v>48</v>
      </c>
      <c r="B43" s="1" t="s">
        <v>201</v>
      </c>
      <c r="C43" s="3">
        <v>20214</v>
      </c>
    </row>
    <row r="44" spans="1:3" x14ac:dyDescent="0.25">
      <c r="A44" s="1" t="s">
        <v>49</v>
      </c>
      <c r="B44" s="1" t="s">
        <v>202</v>
      </c>
      <c r="C44" s="3">
        <v>26450</v>
      </c>
    </row>
    <row r="45" spans="1:3" x14ac:dyDescent="0.25">
      <c r="A45" s="1" t="s">
        <v>42</v>
      </c>
      <c r="B45" s="1" t="s">
        <v>203</v>
      </c>
      <c r="C45" s="3">
        <v>13767</v>
      </c>
    </row>
    <row r="46" spans="1:3" x14ac:dyDescent="0.25">
      <c r="A46" s="1" t="s">
        <v>50</v>
      </c>
      <c r="B46" s="1" t="s">
        <v>204</v>
      </c>
      <c r="C46" s="3">
        <v>20211</v>
      </c>
    </row>
    <row r="47" spans="1:3" x14ac:dyDescent="0.25">
      <c r="A47" s="1" t="s">
        <v>51</v>
      </c>
      <c r="B47" s="1" t="s">
        <v>205</v>
      </c>
      <c r="C47" s="1">
        <v>13775</v>
      </c>
    </row>
    <row r="48" spans="1:3" x14ac:dyDescent="0.25">
      <c r="A48" s="1" t="s">
        <v>52</v>
      </c>
      <c r="B48" s="1" t="s">
        <v>206</v>
      </c>
      <c r="C48" s="1">
        <v>13776</v>
      </c>
    </row>
  </sheetData>
  <conditionalFormatting sqref="C1:C1048576">
    <cfRule type="duplicateValues" dxfId="2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50"/>
  <sheetViews>
    <sheetView workbookViewId="0"/>
  </sheetViews>
  <sheetFormatPr defaultRowHeight="15" x14ac:dyDescent="0.25"/>
  <cols>
    <col min="1" max="2" width="43.5703125" customWidth="1"/>
    <col min="3" max="3" width="7.5703125" bestFit="1" customWidth="1"/>
  </cols>
  <sheetData>
    <row r="1" spans="1:3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1" t="s">
        <v>53</v>
      </c>
      <c r="B2" s="1" t="s">
        <v>154</v>
      </c>
      <c r="C2" s="1"/>
    </row>
    <row r="3" spans="1:3" x14ac:dyDescent="0.25">
      <c r="A3" s="1" t="s">
        <v>54</v>
      </c>
      <c r="B3" s="1" t="s">
        <v>238</v>
      </c>
      <c r="C3" s="1">
        <v>17539</v>
      </c>
    </row>
    <row r="4" spans="1:3" x14ac:dyDescent="0.25">
      <c r="A4" s="1" t="s">
        <v>55</v>
      </c>
      <c r="B4" s="1" t="s">
        <v>154</v>
      </c>
      <c r="C4" s="1"/>
    </row>
    <row r="5" spans="1:3" x14ac:dyDescent="0.25">
      <c r="A5" s="1" t="s">
        <v>56</v>
      </c>
      <c r="B5" s="1" t="s">
        <v>239</v>
      </c>
      <c r="C5" s="1">
        <v>30399</v>
      </c>
    </row>
    <row r="6" spans="1:3" x14ac:dyDescent="0.25">
      <c r="A6" s="1" t="s">
        <v>57</v>
      </c>
      <c r="B6" s="1" t="s">
        <v>215</v>
      </c>
      <c r="C6" s="1">
        <v>30577</v>
      </c>
    </row>
    <row r="7" spans="1:3" x14ac:dyDescent="0.25">
      <c r="A7" s="1" t="s">
        <v>58</v>
      </c>
      <c r="B7" s="1" t="s">
        <v>216</v>
      </c>
      <c r="C7" s="3">
        <v>30414</v>
      </c>
    </row>
    <row r="8" spans="1:3" x14ac:dyDescent="0.25">
      <c r="A8" s="1" t="s">
        <v>59</v>
      </c>
      <c r="B8" s="1" t="s">
        <v>217</v>
      </c>
      <c r="C8" s="3">
        <v>30479</v>
      </c>
    </row>
    <row r="9" spans="1:3" x14ac:dyDescent="0.25">
      <c r="A9" s="1" t="s">
        <v>60</v>
      </c>
      <c r="B9" s="1" t="s">
        <v>218</v>
      </c>
      <c r="C9" s="3">
        <v>30481</v>
      </c>
    </row>
    <row r="10" spans="1:3" x14ac:dyDescent="0.25">
      <c r="A10" s="1" t="s">
        <v>61</v>
      </c>
      <c r="B10" s="1" t="s">
        <v>220</v>
      </c>
      <c r="C10" s="3">
        <v>30407</v>
      </c>
    </row>
    <row r="11" spans="1:3" x14ac:dyDescent="0.25">
      <c r="A11" s="1" t="s">
        <v>62</v>
      </c>
      <c r="B11" s="1" t="s">
        <v>219</v>
      </c>
      <c r="C11" s="3">
        <v>30631</v>
      </c>
    </row>
    <row r="12" spans="1:3" x14ac:dyDescent="0.25">
      <c r="A12" s="1" t="s">
        <v>63</v>
      </c>
      <c r="B12" s="1" t="s">
        <v>240</v>
      </c>
      <c r="C12" s="1">
        <v>30511</v>
      </c>
    </row>
    <row r="13" spans="1:3" x14ac:dyDescent="0.25">
      <c r="A13" s="1" t="s">
        <v>64</v>
      </c>
      <c r="B13" s="1" t="s">
        <v>154</v>
      </c>
      <c r="C13" s="1"/>
    </row>
    <row r="14" spans="1:3" x14ac:dyDescent="0.25">
      <c r="A14" s="4" t="s">
        <v>65</v>
      </c>
      <c r="B14" s="4" t="s">
        <v>241</v>
      </c>
      <c r="C14" s="4">
        <v>30518</v>
      </c>
    </row>
    <row r="15" spans="1:3" x14ac:dyDescent="0.25">
      <c r="A15" s="4" t="s">
        <v>66</v>
      </c>
      <c r="B15" s="4" t="s">
        <v>241</v>
      </c>
      <c r="C15" s="4">
        <v>30518</v>
      </c>
    </row>
    <row r="16" spans="1:3" x14ac:dyDescent="0.25">
      <c r="A16" s="1" t="s">
        <v>67</v>
      </c>
      <c r="B16" s="1" t="s">
        <v>242</v>
      </c>
      <c r="C16" s="1">
        <v>30452</v>
      </c>
    </row>
    <row r="17" spans="1:3" x14ac:dyDescent="0.25">
      <c r="A17" s="1" t="s">
        <v>68</v>
      </c>
      <c r="B17" s="1" t="s">
        <v>243</v>
      </c>
      <c r="C17" s="1">
        <v>30674</v>
      </c>
    </row>
    <row r="18" spans="1:3" x14ac:dyDescent="0.25">
      <c r="A18" s="1" t="s">
        <v>69</v>
      </c>
      <c r="B18" s="1" t="s">
        <v>244</v>
      </c>
      <c r="C18" s="1">
        <v>30519</v>
      </c>
    </row>
    <row r="19" spans="1:3" x14ac:dyDescent="0.25">
      <c r="A19" s="4" t="s">
        <v>70</v>
      </c>
      <c r="B19" s="4" t="s">
        <v>42</v>
      </c>
      <c r="C19" s="4">
        <v>30627</v>
      </c>
    </row>
    <row r="20" spans="1:3" x14ac:dyDescent="0.25">
      <c r="A20" s="4" t="s">
        <v>71</v>
      </c>
      <c r="B20" s="4" t="s">
        <v>42</v>
      </c>
      <c r="C20" s="4">
        <v>30627</v>
      </c>
    </row>
    <row r="21" spans="1:3" x14ac:dyDescent="0.25">
      <c r="A21" s="1" t="s">
        <v>72</v>
      </c>
      <c r="B21" s="1" t="s">
        <v>221</v>
      </c>
      <c r="C21" s="1">
        <v>30454</v>
      </c>
    </row>
    <row r="22" spans="1:3" x14ac:dyDescent="0.25">
      <c r="A22" s="1" t="s">
        <v>73</v>
      </c>
      <c r="B22" s="1" t="s">
        <v>222</v>
      </c>
      <c r="C22" s="3">
        <v>30675</v>
      </c>
    </row>
    <row r="23" spans="1:3" x14ac:dyDescent="0.25">
      <c r="A23" s="1" t="s">
        <v>74</v>
      </c>
      <c r="B23" s="1" t="s">
        <v>245</v>
      </c>
      <c r="C23" s="1">
        <v>30372</v>
      </c>
    </row>
    <row r="24" spans="1:3" x14ac:dyDescent="0.25">
      <c r="A24" s="1" t="s">
        <v>75</v>
      </c>
      <c r="B24" s="1" t="s">
        <v>223</v>
      </c>
      <c r="C24" s="3">
        <v>30422</v>
      </c>
    </row>
    <row r="25" spans="1:3" x14ac:dyDescent="0.25">
      <c r="A25" s="1" t="s">
        <v>76</v>
      </c>
      <c r="B25" s="1" t="s">
        <v>224</v>
      </c>
      <c r="C25" s="1">
        <v>17538</v>
      </c>
    </row>
    <row r="26" spans="1:3" x14ac:dyDescent="0.25">
      <c r="A26" s="1" t="s">
        <v>77</v>
      </c>
      <c r="B26" s="1" t="s">
        <v>154</v>
      </c>
      <c r="C26" s="1"/>
    </row>
    <row r="27" spans="1:3" x14ac:dyDescent="0.25">
      <c r="A27" s="4" t="s">
        <v>78</v>
      </c>
      <c r="B27" s="4" t="s">
        <v>225</v>
      </c>
      <c r="C27" s="4">
        <v>17556</v>
      </c>
    </row>
    <row r="28" spans="1:3" x14ac:dyDescent="0.25">
      <c r="A28" s="4" t="s">
        <v>79</v>
      </c>
      <c r="B28" s="4" t="s">
        <v>225</v>
      </c>
      <c r="C28" s="4">
        <v>17556</v>
      </c>
    </row>
    <row r="29" spans="1:3" x14ac:dyDescent="0.25">
      <c r="A29" s="1" t="s">
        <v>80</v>
      </c>
      <c r="B29" s="1" t="s">
        <v>226</v>
      </c>
      <c r="C29" s="1">
        <v>30491</v>
      </c>
    </row>
    <row r="30" spans="1:3" x14ac:dyDescent="0.25">
      <c r="A30" s="1" t="s">
        <v>81</v>
      </c>
      <c r="B30" s="1" t="s">
        <v>227</v>
      </c>
      <c r="C30" s="1">
        <v>30488</v>
      </c>
    </row>
    <row r="31" spans="1:3" x14ac:dyDescent="0.25">
      <c r="A31" s="4" t="s">
        <v>82</v>
      </c>
      <c r="B31" s="4" t="s">
        <v>228</v>
      </c>
      <c r="C31" s="4">
        <v>30412</v>
      </c>
    </row>
    <row r="32" spans="1:3" x14ac:dyDescent="0.25">
      <c r="A32" s="4" t="s">
        <v>83</v>
      </c>
      <c r="B32" s="4" t="s">
        <v>228</v>
      </c>
      <c r="C32" s="4">
        <v>30412</v>
      </c>
    </row>
    <row r="33" spans="1:3" x14ac:dyDescent="0.25">
      <c r="A33" s="1" t="s">
        <v>84</v>
      </c>
      <c r="B33" s="1" t="s">
        <v>229</v>
      </c>
      <c r="C33" s="3">
        <v>17557</v>
      </c>
    </row>
    <row r="34" spans="1:3" x14ac:dyDescent="0.25">
      <c r="A34" s="1" t="s">
        <v>85</v>
      </c>
      <c r="B34" t="s">
        <v>230</v>
      </c>
      <c r="C34">
        <v>30485</v>
      </c>
    </row>
    <row r="35" spans="1:3" x14ac:dyDescent="0.25">
      <c r="A35" s="1" t="s">
        <v>86</v>
      </c>
      <c r="B35" s="1" t="s">
        <v>246</v>
      </c>
      <c r="C35" s="1">
        <v>17537</v>
      </c>
    </row>
    <row r="36" spans="1:3" x14ac:dyDescent="0.25">
      <c r="A36" s="1" t="s">
        <v>87</v>
      </c>
      <c r="B36" s="1" t="s">
        <v>154</v>
      </c>
      <c r="C36" s="1"/>
    </row>
    <row r="37" spans="1:3" x14ac:dyDescent="0.25">
      <c r="A37" s="1" t="s">
        <v>88</v>
      </c>
      <c r="B37" s="1" t="s">
        <v>247</v>
      </c>
      <c r="C37" s="1">
        <v>17553</v>
      </c>
    </row>
    <row r="38" spans="1:3" x14ac:dyDescent="0.25">
      <c r="A38" s="1" t="s">
        <v>89</v>
      </c>
      <c r="B38" s="1" t="s">
        <v>231</v>
      </c>
      <c r="C38" s="3">
        <v>30468</v>
      </c>
    </row>
    <row r="39" spans="1:3" x14ac:dyDescent="0.25">
      <c r="A39" s="1" t="s">
        <v>90</v>
      </c>
      <c r="B39" s="1" t="s">
        <v>248</v>
      </c>
      <c r="C39" s="1">
        <v>30467</v>
      </c>
    </row>
    <row r="40" spans="1:3" x14ac:dyDescent="0.25">
      <c r="A40" s="1" t="s">
        <v>91</v>
      </c>
      <c r="B40" s="1" t="s">
        <v>232</v>
      </c>
      <c r="C40" s="3">
        <v>30484</v>
      </c>
    </row>
    <row r="41" spans="1:3" x14ac:dyDescent="0.25">
      <c r="A41" s="1" t="s">
        <v>92</v>
      </c>
      <c r="B41" s="1" t="s">
        <v>233</v>
      </c>
      <c r="C41" s="3">
        <v>17543</v>
      </c>
    </row>
    <row r="42" spans="1:3" x14ac:dyDescent="0.25">
      <c r="A42" s="1" t="s">
        <v>93</v>
      </c>
      <c r="B42" s="1" t="s">
        <v>234</v>
      </c>
      <c r="C42" s="3">
        <v>17528</v>
      </c>
    </row>
    <row r="43" spans="1:3" x14ac:dyDescent="0.25">
      <c r="A43" s="1" t="s">
        <v>94</v>
      </c>
      <c r="B43" s="1" t="s">
        <v>249</v>
      </c>
      <c r="C43" s="1">
        <v>17536</v>
      </c>
    </row>
    <row r="44" spans="1:3" x14ac:dyDescent="0.25">
      <c r="A44" s="1" t="s">
        <v>139</v>
      </c>
      <c r="B44" s="1" t="s">
        <v>235</v>
      </c>
      <c r="C44" s="1">
        <v>30458</v>
      </c>
    </row>
    <row r="45" spans="1:3" x14ac:dyDescent="0.25">
      <c r="A45" s="1" t="s">
        <v>95</v>
      </c>
      <c r="B45" s="1" t="s">
        <v>250</v>
      </c>
      <c r="C45" s="1">
        <v>17519</v>
      </c>
    </row>
    <row r="46" spans="1:3" x14ac:dyDescent="0.25">
      <c r="A46" s="1" t="s">
        <v>96</v>
      </c>
      <c r="B46" s="1" t="s">
        <v>236</v>
      </c>
      <c r="C46" s="1">
        <v>30371</v>
      </c>
    </row>
    <row r="47" spans="1:3" x14ac:dyDescent="0.25">
      <c r="A47" s="1" t="s">
        <v>97</v>
      </c>
      <c r="B47" s="1" t="s">
        <v>237</v>
      </c>
      <c r="C47" s="1"/>
    </row>
    <row r="48" spans="1:3" x14ac:dyDescent="0.25">
      <c r="A48" s="1" t="s">
        <v>98</v>
      </c>
      <c r="B48" s="1" t="s">
        <v>237</v>
      </c>
      <c r="C48" s="1"/>
    </row>
    <row r="49" spans="1:3" x14ac:dyDescent="0.25">
      <c r="A49" s="1" t="s">
        <v>150</v>
      </c>
      <c r="B49" s="1" t="s">
        <v>237</v>
      </c>
      <c r="C49" s="1"/>
    </row>
    <row r="50" spans="1:3" x14ac:dyDescent="0.25">
      <c r="A50" s="1" t="s">
        <v>140</v>
      </c>
      <c r="B50" s="1" t="s">
        <v>237</v>
      </c>
      <c r="C50" s="1"/>
    </row>
  </sheetData>
  <conditionalFormatting sqref="C1:C1048576">
    <cfRule type="duplicateValues" dxfId="1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4"/>
  <sheetViews>
    <sheetView workbookViewId="0"/>
  </sheetViews>
  <sheetFormatPr defaultRowHeight="15" x14ac:dyDescent="0.25"/>
  <cols>
    <col min="1" max="2" width="56" customWidth="1"/>
    <col min="3" max="3" width="7.5703125" bestFit="1" customWidth="1"/>
  </cols>
  <sheetData>
    <row r="1" spans="1:3" x14ac:dyDescent="0.25">
      <c r="A1" s="2" t="s">
        <v>151</v>
      </c>
      <c r="B1" s="2" t="s">
        <v>152</v>
      </c>
      <c r="C1" s="2" t="s">
        <v>153</v>
      </c>
    </row>
    <row r="2" spans="1:3" x14ac:dyDescent="0.25">
      <c r="A2" s="1" t="s">
        <v>53</v>
      </c>
      <c r="B2" s="1" t="s">
        <v>154</v>
      </c>
      <c r="C2" s="1"/>
    </row>
    <row r="3" spans="1:3" x14ac:dyDescent="0.25">
      <c r="A3" s="1" t="s">
        <v>54</v>
      </c>
      <c r="B3" s="1" t="s">
        <v>238</v>
      </c>
      <c r="C3" s="1">
        <v>17539</v>
      </c>
    </row>
    <row r="4" spans="1:3" x14ac:dyDescent="0.25">
      <c r="A4" s="1" t="s">
        <v>55</v>
      </c>
      <c r="B4" s="1" t="s">
        <v>154</v>
      </c>
      <c r="C4" s="1"/>
    </row>
    <row r="5" spans="1:3" x14ac:dyDescent="0.25">
      <c r="A5" s="1" t="s">
        <v>4</v>
      </c>
      <c r="B5" s="1" t="s">
        <v>239</v>
      </c>
      <c r="C5" s="3">
        <v>30399</v>
      </c>
    </row>
    <row r="6" spans="1:3" x14ac:dyDescent="0.25">
      <c r="A6" s="1" t="s">
        <v>113</v>
      </c>
      <c r="B6" s="1" t="s">
        <v>215</v>
      </c>
      <c r="C6" s="3">
        <v>30577</v>
      </c>
    </row>
    <row r="7" spans="1:3" x14ac:dyDescent="0.25">
      <c r="A7" s="1" t="s">
        <v>114</v>
      </c>
      <c r="B7" s="1" t="s">
        <v>219</v>
      </c>
      <c r="C7" s="3">
        <v>30631</v>
      </c>
    </row>
    <row r="8" spans="1:3" x14ac:dyDescent="0.25">
      <c r="A8" s="1" t="s">
        <v>115</v>
      </c>
      <c r="B8" s="1" t="s">
        <v>251</v>
      </c>
      <c r="C8" s="3">
        <v>30502</v>
      </c>
    </row>
    <row r="9" spans="1:3" x14ac:dyDescent="0.25">
      <c r="A9" s="1" t="s">
        <v>59</v>
      </c>
      <c r="B9" s="1" t="s">
        <v>217</v>
      </c>
      <c r="C9" s="3">
        <v>30479</v>
      </c>
    </row>
    <row r="10" spans="1:3" x14ac:dyDescent="0.25">
      <c r="A10" s="1" t="s">
        <v>116</v>
      </c>
      <c r="B10" s="1" t="s">
        <v>218</v>
      </c>
      <c r="C10" s="3">
        <v>30481</v>
      </c>
    </row>
    <row r="11" spans="1:3" x14ac:dyDescent="0.25">
      <c r="A11" s="1" t="s">
        <v>61</v>
      </c>
      <c r="B11" s="1" t="s">
        <v>220</v>
      </c>
      <c r="C11" s="1">
        <v>30407</v>
      </c>
    </row>
    <row r="12" spans="1:3" x14ac:dyDescent="0.25">
      <c r="A12" s="1" t="s">
        <v>117</v>
      </c>
      <c r="B12" s="1" t="s">
        <v>216</v>
      </c>
      <c r="C12" s="3">
        <v>30414</v>
      </c>
    </row>
    <row r="13" spans="1:3" x14ac:dyDescent="0.25">
      <c r="A13" s="1" t="s">
        <v>63</v>
      </c>
      <c r="B13" s="1" t="s">
        <v>240</v>
      </c>
      <c r="C13" s="1">
        <v>30511</v>
      </c>
    </row>
    <row r="14" spans="1:3" x14ac:dyDescent="0.25">
      <c r="A14" s="1" t="s">
        <v>64</v>
      </c>
      <c r="B14" s="1" t="s">
        <v>154</v>
      </c>
      <c r="C14" s="1"/>
    </row>
    <row r="15" spans="1:3" x14ac:dyDescent="0.25">
      <c r="A15" s="4" t="s">
        <v>65</v>
      </c>
      <c r="B15" s="4" t="s">
        <v>241</v>
      </c>
      <c r="C15" s="4">
        <v>30518</v>
      </c>
    </row>
    <row r="16" spans="1:3" x14ac:dyDescent="0.25">
      <c r="A16" s="4" t="s">
        <v>118</v>
      </c>
      <c r="B16" s="4" t="s">
        <v>241</v>
      </c>
      <c r="C16" s="4">
        <v>30518</v>
      </c>
    </row>
    <row r="17" spans="1:3" x14ac:dyDescent="0.25">
      <c r="A17" s="1" t="s">
        <v>67</v>
      </c>
      <c r="B17" s="1" t="s">
        <v>252</v>
      </c>
      <c r="C17" s="3">
        <v>30451</v>
      </c>
    </row>
    <row r="18" spans="1:3" x14ac:dyDescent="0.25">
      <c r="A18" s="1" t="s">
        <v>119</v>
      </c>
      <c r="B18" s="1" t="s">
        <v>242</v>
      </c>
      <c r="C18" s="1">
        <v>30452</v>
      </c>
    </row>
    <row r="19" spans="1:3" x14ac:dyDescent="0.25">
      <c r="A19" s="1" t="s">
        <v>68</v>
      </c>
      <c r="B19" s="1" t="s">
        <v>243</v>
      </c>
      <c r="C19" s="3">
        <v>30674</v>
      </c>
    </row>
    <row r="20" spans="1:3" x14ac:dyDescent="0.25">
      <c r="A20" s="1" t="s">
        <v>120</v>
      </c>
      <c r="B20" s="1" t="s">
        <v>221</v>
      </c>
      <c r="C20" s="3">
        <v>30454</v>
      </c>
    </row>
    <row r="21" spans="1:3" x14ac:dyDescent="0.25">
      <c r="A21" s="1" t="s">
        <v>69</v>
      </c>
      <c r="B21" s="1" t="s">
        <v>244</v>
      </c>
      <c r="C21" s="1">
        <v>30519</v>
      </c>
    </row>
    <row r="22" spans="1:3" x14ac:dyDescent="0.25">
      <c r="A22" s="4" t="s">
        <v>70</v>
      </c>
      <c r="B22" s="4" t="s">
        <v>42</v>
      </c>
      <c r="C22" s="4">
        <v>30627</v>
      </c>
    </row>
    <row r="23" spans="1:3" x14ac:dyDescent="0.25">
      <c r="A23" s="4" t="s">
        <v>71</v>
      </c>
      <c r="B23" s="4" t="s">
        <v>42</v>
      </c>
      <c r="C23" s="4">
        <v>30627</v>
      </c>
    </row>
    <row r="24" spans="1:3" x14ac:dyDescent="0.25">
      <c r="A24" s="1" t="s">
        <v>121</v>
      </c>
      <c r="B24" s="1" t="s">
        <v>253</v>
      </c>
      <c r="C24" s="1">
        <v>30453</v>
      </c>
    </row>
    <row r="25" spans="1:3" x14ac:dyDescent="0.25">
      <c r="A25" s="1" t="s">
        <v>73</v>
      </c>
      <c r="B25" s="1" t="s">
        <v>222</v>
      </c>
      <c r="C25" s="1">
        <v>30675</v>
      </c>
    </row>
    <row r="26" spans="1:3" x14ac:dyDescent="0.25">
      <c r="A26" s="1" t="s">
        <v>74</v>
      </c>
      <c r="B26" s="1" t="s">
        <v>245</v>
      </c>
      <c r="C26" s="1">
        <v>30372</v>
      </c>
    </row>
    <row r="27" spans="1:3" x14ac:dyDescent="0.25">
      <c r="A27" s="1" t="s">
        <v>75</v>
      </c>
      <c r="B27" s="1" t="s">
        <v>223</v>
      </c>
      <c r="C27" s="1">
        <v>30422</v>
      </c>
    </row>
    <row r="28" spans="1:3" x14ac:dyDescent="0.25">
      <c r="A28" s="1" t="s">
        <v>76</v>
      </c>
      <c r="B28" s="1" t="s">
        <v>224</v>
      </c>
      <c r="C28" s="1">
        <v>17538</v>
      </c>
    </row>
    <row r="29" spans="1:3" x14ac:dyDescent="0.25">
      <c r="A29" s="1" t="s">
        <v>77</v>
      </c>
      <c r="B29" s="1" t="s">
        <v>154</v>
      </c>
      <c r="C29" s="1"/>
    </row>
    <row r="30" spans="1:3" x14ac:dyDescent="0.25">
      <c r="A30" s="4" t="s">
        <v>122</v>
      </c>
      <c r="B30" s="4" t="s">
        <v>225</v>
      </c>
      <c r="C30" s="4">
        <v>17556</v>
      </c>
    </row>
    <row r="31" spans="1:3" x14ac:dyDescent="0.25">
      <c r="A31" s="4" t="s">
        <v>79</v>
      </c>
      <c r="B31" s="4" t="s">
        <v>225</v>
      </c>
      <c r="C31" s="4">
        <v>17556</v>
      </c>
    </row>
    <row r="32" spans="1:3" x14ac:dyDescent="0.25">
      <c r="A32" s="1" t="s">
        <v>123</v>
      </c>
      <c r="B32" s="1" t="s">
        <v>254</v>
      </c>
      <c r="C32" s="3">
        <v>30662</v>
      </c>
    </row>
    <row r="33" spans="1:3" x14ac:dyDescent="0.25">
      <c r="A33" s="1" t="s">
        <v>124</v>
      </c>
      <c r="B33" s="1" t="s">
        <v>227</v>
      </c>
      <c r="C33" s="1">
        <v>30488</v>
      </c>
    </row>
    <row r="34" spans="1:3" x14ac:dyDescent="0.25">
      <c r="A34" s="1" t="s">
        <v>125</v>
      </c>
      <c r="B34" s="1" t="s">
        <v>229</v>
      </c>
      <c r="C34" s="3">
        <v>17557</v>
      </c>
    </row>
    <row r="35" spans="1:3" x14ac:dyDescent="0.25">
      <c r="A35" s="4" t="s">
        <v>82</v>
      </c>
      <c r="B35" s="4" t="s">
        <v>228</v>
      </c>
      <c r="C35" s="4">
        <v>30412</v>
      </c>
    </row>
    <row r="36" spans="1:3" x14ac:dyDescent="0.25">
      <c r="A36" s="4" t="s">
        <v>83</v>
      </c>
      <c r="B36" s="4" t="s">
        <v>228</v>
      </c>
      <c r="C36" s="4">
        <v>30412</v>
      </c>
    </row>
    <row r="37" spans="1:3" x14ac:dyDescent="0.25">
      <c r="A37" s="1" t="s">
        <v>85</v>
      </c>
      <c r="B37" s="1" t="s">
        <v>230</v>
      </c>
      <c r="C37" s="3">
        <v>30485</v>
      </c>
    </row>
    <row r="38" spans="1:3" x14ac:dyDescent="0.25">
      <c r="A38" s="1" t="s">
        <v>86</v>
      </c>
      <c r="B38" s="1" t="s">
        <v>246</v>
      </c>
      <c r="C38" s="1">
        <v>17537</v>
      </c>
    </row>
    <row r="39" spans="1:3" x14ac:dyDescent="0.25">
      <c r="A39" s="1" t="s">
        <v>87</v>
      </c>
      <c r="B39" s="1" t="s">
        <v>154</v>
      </c>
      <c r="C39" s="1"/>
    </row>
    <row r="40" spans="1:3" x14ac:dyDescent="0.25">
      <c r="A40" s="1" t="s">
        <v>88</v>
      </c>
      <c r="B40" s="1" t="s">
        <v>247</v>
      </c>
      <c r="C40" s="1">
        <v>17553</v>
      </c>
    </row>
    <row r="41" spans="1:3" x14ac:dyDescent="0.25">
      <c r="A41" s="1" t="s">
        <v>89</v>
      </c>
      <c r="B41" s="1" t="s">
        <v>231</v>
      </c>
      <c r="C41" s="1">
        <v>30468</v>
      </c>
    </row>
    <row r="42" spans="1:3" x14ac:dyDescent="0.25">
      <c r="A42" s="1" t="s">
        <v>90</v>
      </c>
      <c r="B42" s="1" t="s">
        <v>248</v>
      </c>
      <c r="C42" s="1">
        <v>30467</v>
      </c>
    </row>
    <row r="43" spans="1:3" x14ac:dyDescent="0.25">
      <c r="A43" s="1" t="s">
        <v>91</v>
      </c>
      <c r="B43" s="1" t="s">
        <v>232</v>
      </c>
      <c r="C43" s="3">
        <v>30484</v>
      </c>
    </row>
    <row r="44" spans="1:3" x14ac:dyDescent="0.25">
      <c r="A44" s="1" t="s">
        <v>92</v>
      </c>
      <c r="B44" s="1" t="s">
        <v>233</v>
      </c>
      <c r="C44" s="1">
        <v>17543</v>
      </c>
    </row>
    <row r="45" spans="1:3" x14ac:dyDescent="0.25">
      <c r="A45" s="1" t="s">
        <v>93</v>
      </c>
      <c r="B45" s="1" t="s">
        <v>234</v>
      </c>
      <c r="C45" s="3">
        <v>17528</v>
      </c>
    </row>
    <row r="46" spans="1:3" x14ac:dyDescent="0.25">
      <c r="A46" s="1" t="s">
        <v>94</v>
      </c>
      <c r="B46" s="1" t="s">
        <v>249</v>
      </c>
      <c r="C46" s="1">
        <v>17536</v>
      </c>
    </row>
    <row r="47" spans="1:3" x14ac:dyDescent="0.25">
      <c r="A47" s="1" t="s">
        <v>139</v>
      </c>
      <c r="B47" s="1" t="s">
        <v>235</v>
      </c>
      <c r="C47" s="1">
        <v>30458</v>
      </c>
    </row>
    <row r="48" spans="1:3" x14ac:dyDescent="0.25">
      <c r="A48" s="1" t="s">
        <v>95</v>
      </c>
      <c r="B48" s="1" t="s">
        <v>250</v>
      </c>
      <c r="C48" s="1">
        <v>17519</v>
      </c>
    </row>
    <row r="49" spans="1:3" x14ac:dyDescent="0.25">
      <c r="A49" s="1" t="s">
        <v>126</v>
      </c>
      <c r="B49" s="1" t="s">
        <v>255</v>
      </c>
      <c r="C49" s="3">
        <v>17529</v>
      </c>
    </row>
    <row r="50" spans="1:3" x14ac:dyDescent="0.25">
      <c r="A50" s="1" t="s">
        <v>96</v>
      </c>
      <c r="B50" s="1" t="s">
        <v>236</v>
      </c>
      <c r="C50" s="1">
        <v>30371</v>
      </c>
    </row>
    <row r="51" spans="1:3" x14ac:dyDescent="0.25">
      <c r="A51" s="1" t="s">
        <v>97</v>
      </c>
      <c r="B51" s="1" t="s">
        <v>237</v>
      </c>
      <c r="C51" s="1"/>
    </row>
    <row r="52" spans="1:3" x14ac:dyDescent="0.25">
      <c r="A52" s="1" t="s">
        <v>98</v>
      </c>
      <c r="B52" s="1" t="s">
        <v>237</v>
      </c>
      <c r="C52" s="1"/>
    </row>
    <row r="53" spans="1:3" x14ac:dyDescent="0.25">
      <c r="A53" s="1" t="s">
        <v>150</v>
      </c>
      <c r="B53" s="1" t="s">
        <v>237</v>
      </c>
      <c r="C53" s="1"/>
    </row>
    <row r="54" spans="1:3" x14ac:dyDescent="0.25">
      <c r="A54" s="1" t="s">
        <v>140</v>
      </c>
      <c r="B54" s="1" t="s">
        <v>237</v>
      </c>
      <c r="C54" s="1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E490-B572-46B5-B3D0-415FF9690A21}">
  <dimension ref="A1:C1"/>
  <sheetViews>
    <sheetView workbookViewId="0"/>
  </sheetViews>
  <sheetFormatPr defaultRowHeight="15" x14ac:dyDescent="0.25"/>
  <sheetData>
    <row r="1" spans="1:3" x14ac:dyDescent="0.25">
      <c r="A1" s="2" t="s">
        <v>151</v>
      </c>
      <c r="B1" s="2" t="s">
        <v>152</v>
      </c>
      <c r="C1" s="2" t="s">
        <v>153</v>
      </c>
    </row>
  </sheetData>
  <conditionalFormatting sqref="C1">
    <cfRule type="duplicateValues" dxfId="19" priority="1"/>
    <cfRule type="duplicateValues" dxfId="18" priority="2"/>
    <cfRule type="duplicateValues" dxfId="17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84CD1-C20B-4FD0-A755-C109C1E87A6E}">
  <dimension ref="A1:C1"/>
  <sheetViews>
    <sheetView workbookViewId="0"/>
  </sheetViews>
  <sheetFormatPr defaultRowHeight="15" x14ac:dyDescent="0.25"/>
  <sheetData>
    <row r="1" spans="1:3" x14ac:dyDescent="0.25">
      <c r="A1" s="2" t="s">
        <v>151</v>
      </c>
      <c r="B1" s="2" t="s">
        <v>152</v>
      </c>
      <c r="C1" s="2" t="s">
        <v>153</v>
      </c>
    </row>
  </sheetData>
  <conditionalFormatting sqref="C1">
    <cfRule type="duplicateValues" dxfId="16" priority="1"/>
    <cfRule type="duplicateValues" dxfId="15" priority="2"/>
    <cfRule type="duplicateValues" dxfId="14" priority="3"/>
  </conditionalFormatting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2026-01-01T17:38:13Z</dcterms:created>
  <dcterms:modified xsi:type="dcterms:W3CDTF">2026-01-20T12:25:35Z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2026-01-06T04:09:35Z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baafd98e-335d-47a7-8f61-93e9944afbc7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