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784F8CF-1C40-4E6E-B58C-77CD9663FD7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7" r:id="rId4"/>
    <sheet name="CFS_Standalone" sheetId="4" r:id="rId5"/>
    <sheet name="CFS_Consolidated" sheetId="8" r:id="rId6"/>
    <sheet name="SR_Standalone" sheetId="2" r:id="rId7"/>
    <sheet name="SR_Consolidated" sheetId="6" r:id="rId8"/>
  </sheets>
  <definedNames>
    <definedName name="_xlnm._FilterDatabase" localSheetId="3" hidden="1">BS_Consolidated!$A$1:$C$35</definedName>
    <definedName name="_xlnm._FilterDatabase" localSheetId="2" hidden="1">BS_Standalone!$A$1:$C$34</definedName>
    <definedName name="_xlnm._FilterDatabase" localSheetId="5" hidden="1">CFS_Consolidated!$A$1:$C$48</definedName>
    <definedName name="_xlnm._FilterDatabase" localSheetId="4" hidden="1">CFS_Standalone!$A$1:$C$48</definedName>
    <definedName name="_xlnm._FilterDatabase" localSheetId="1" hidden="1">'P&amp;L_Consolidated'!$A$1:$C$38</definedName>
    <definedName name="_xlnm._FilterDatabase" localSheetId="6" hidden="1">SR_Standalone!$A$1:$C$36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7" l="1"/>
  <c r="C4" i="7"/>
  <c r="B6" i="7"/>
  <c r="C6" i="7"/>
  <c r="B7" i="7"/>
  <c r="C7" i="7"/>
  <c r="B8" i="7"/>
  <c r="C8" i="7"/>
  <c r="B9" i="7"/>
  <c r="C9" i="7"/>
  <c r="B11" i="7"/>
  <c r="C11" i="7"/>
  <c r="B13" i="7"/>
  <c r="C13" i="7"/>
  <c r="B14" i="7"/>
  <c r="C14" i="7"/>
  <c r="B16" i="7"/>
  <c r="C16" i="7"/>
  <c r="B19" i="7"/>
  <c r="C19" i="7"/>
  <c r="B20" i="7"/>
  <c r="C20" i="7"/>
  <c r="B25" i="7"/>
  <c r="C25" i="7"/>
  <c r="B26" i="7"/>
  <c r="C26" i="7"/>
  <c r="B31" i="7"/>
  <c r="C31" i="7"/>
  <c r="B32" i="7"/>
  <c r="C32" i="7"/>
  <c r="B33" i="7"/>
  <c r="C33" i="7"/>
  <c r="B34" i="7"/>
  <c r="C34" i="7"/>
</calcChain>
</file>

<file path=xl/sharedStrings.xml><?xml version="1.0" encoding="utf-8"?>
<sst xmlns="http://schemas.openxmlformats.org/spreadsheetml/2006/main" count="542" uniqueCount="214">
  <si>
    <t>Income from Operations</t>
  </si>
  <si>
    <t>Net Sales /Income from operations (net of excise duty)</t>
  </si>
  <si>
    <t>Other operating Income</t>
  </si>
  <si>
    <t>Other Income</t>
  </si>
  <si>
    <t>Total Income from Operations (net)</t>
  </si>
  <si>
    <t>Expenses</t>
  </si>
  <si>
    <t>Purchases</t>
  </si>
  <si>
    <t>Changes in inventories of finished goods, work-in­ progress and stock in trade</t>
  </si>
  <si>
    <t>Technical &amp; Operation expense</t>
  </si>
  <si>
    <t>Employee benefit expense</t>
  </si>
  <si>
    <t>Finance costs</t>
  </si>
  <si>
    <t>Depreciation &amp; amortisation expense</t>
  </si>
  <si>
    <t>Other Expenses</t>
  </si>
  <si>
    <t>Total Expenses</t>
  </si>
  <si>
    <t>Add: Exceptional Items</t>
  </si>
  <si>
    <t>Less: Exceptional Items</t>
  </si>
  <si>
    <t xml:space="preserve">Profit/(Loss) from ordinary activities before tax </t>
  </si>
  <si>
    <t>Tax expense</t>
  </si>
  <si>
    <t>Current Tax</t>
  </si>
  <si>
    <t>Tax Expenses relating to Earlier years</t>
  </si>
  <si>
    <t>Deferred Tax</t>
  </si>
  <si>
    <t>Profit/(Loss) from ordinary activities after tax</t>
  </si>
  <si>
    <t>Extraordinary items (net of tax Rs expense lakhs)</t>
  </si>
  <si>
    <t>Net Profit/(Loss) before Other comprehensive income</t>
  </si>
  <si>
    <t>Other Comprehensive Income</t>
  </si>
  <si>
    <t>Add: Items that will be reclassified to profit or loss</t>
  </si>
  <si>
    <t>Less: Income Tax relating to items that will be reclassified to profit or loss</t>
  </si>
  <si>
    <t>Net Profit/(Loss) for the period</t>
  </si>
  <si>
    <t>Paid up Equity Share Capital (Face Value Rs 10/-)</t>
  </si>
  <si>
    <r>
      <rPr>
        <sz val="11"/>
        <color theme="1"/>
        <rFont val="Calibri"/>
        <family val="2"/>
        <charset val="1"/>
      </rPr>
      <t xml:space="preserve">Reserves (excluding Revaluation Reserve as per the </t>
    </r>
    <r>
      <rPr>
        <sz val="11"/>
        <color theme="1"/>
        <rFont val="Calibri"/>
        <family val="2"/>
      </rPr>
      <t>Balance Sheet of previous accounting year)</t>
    </r>
  </si>
  <si>
    <t>Earning Per equity share (for continuing operations):</t>
  </si>
  <si>
    <t>Basic</t>
  </si>
  <si>
    <t>Diluted</t>
  </si>
  <si>
    <t>Earning Per equity share (for discontinued &amp; Continuing operations):</t>
  </si>
  <si>
    <t>Segment Revenue</t>
  </si>
  <si>
    <t>Integrated Solutions Division</t>
  </si>
  <si>
    <t>Technical Division</t>
  </si>
  <si>
    <t>Projects Division</t>
  </si>
  <si>
    <t>Net sales/Income from operations</t>
  </si>
  <si>
    <t>Segment Results [Profit / (Loss) before Tax and Interest from each Segment]</t>
  </si>
  <si>
    <t>Total</t>
  </si>
  <si>
    <t>Less:Interest Expenses</t>
  </si>
  <si>
    <t>Un-allocable expenditure (Net)</t>
  </si>
  <si>
    <t>Add: Interest and Other Income</t>
  </si>
  <si>
    <t>Total Profit/(Loss) Before Exceptional items</t>
  </si>
  <si>
    <t>Exceptional Item: Add</t>
  </si>
  <si>
    <t>Less:</t>
  </si>
  <si>
    <t>Total Profit/(Loss) after Exceptional items</t>
  </si>
  <si>
    <t>Segment Assets</t>
  </si>
  <si>
    <t>Unallocable</t>
  </si>
  <si>
    <t>Segment Liabilities</t>
  </si>
  <si>
    <t>(Segment Assets - Liabilities)</t>
  </si>
  <si>
    <t>ASSETS</t>
  </si>
  <si>
    <t>Non-current assets</t>
  </si>
  <si>
    <t>Property, Plant &amp; Equipment</t>
  </si>
  <si>
    <t>Financial Assets</t>
  </si>
  <si>
    <t>Investment</t>
  </si>
  <si>
    <t>Other financial assets</t>
  </si>
  <si>
    <t>Other non current assets</t>
  </si>
  <si>
    <t>Deferred tax Asset (net)</t>
  </si>
  <si>
    <t>Current assets</t>
  </si>
  <si>
    <t>Inventories</t>
  </si>
  <si>
    <t>Trade receivables</t>
  </si>
  <si>
    <t>Cash and Cash Equivalents</t>
  </si>
  <si>
    <t>Other current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</si>
  <si>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</si>
  <si>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</si>
  <si>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</si>
  <si>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</si>
  <si>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</si>
  <si>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</si>
  <si>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</si>
  <si>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</si>
  <si>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Provisions</t>
  </si>
  <si>
    <t>Current liabilities</t>
  </si>
  <si>
    <t>Trade payables</t>
  </si>
  <si>
    <t>Total Outstanding dues to Micro enterprises and small enterprises</t>
  </si>
  <si>
    <t>Total Outstanding dues to creditors other than Micro enterprises and small enterprises</t>
  </si>
  <si>
    <t>Other financial liabilities</t>
  </si>
  <si>
    <t>Other current liabilities</t>
  </si>
  <si>
    <t>Cash flow from operating activities</t>
  </si>
  <si>
    <t>Net Profit / (Loss) before tax as per Profit &amp; Loss Statement</t>
  </si>
  <si>
    <t>Adjustments for:</t>
  </si>
  <si>
    <t>Depreciation and amortisation</t>
  </si>
  <si>
    <t>Sundry Credit Balances Written Back</t>
  </si>
  <si>
    <t>Interest Income</t>
  </si>
  <si>
    <t>Bad Debts Written Off</t>
  </si>
  <si>
    <t>Finance Cost</t>
  </si>
  <si>
    <t>Advances Written off</t>
  </si>
  <si>
    <t>SLA Deductions</t>
  </si>
  <si>
    <t>CSR Expenditure</t>
  </si>
  <si>
    <t>Exchange Fluctuations</t>
  </si>
  <si>
    <t>Exceptional Credit Loss</t>
  </si>
  <si>
    <t>Changes in Assets and Liabilities:</t>
  </si>
  <si>
    <t>Other Financial Assets and Other Assets</t>
  </si>
  <si>
    <t>Other Non Current Assets</t>
  </si>
  <si>
    <t>Other Financial Assets</t>
  </si>
  <si>
    <t>Other Current Assets</t>
  </si>
  <si>
    <t>Trade Payables</t>
  </si>
  <si>
    <t>Long Term Provisions</t>
  </si>
  <si>
    <t>Other Current Liabilities</t>
  </si>
  <si>
    <t>Short Term Provisions</t>
  </si>
  <si>
    <t>Other Financial Liabilities</t>
  </si>
  <si>
    <t>Cash generated from operations</t>
  </si>
  <si>
    <t>Income tax paid</t>
  </si>
  <si>
    <t>Net cash flow from operating activities</t>
  </si>
  <si>
    <t>Cash flow from investing activities</t>
  </si>
  <si>
    <t>Sale of Land</t>
  </si>
  <si>
    <t>Net cash flow from Investing activities</t>
  </si>
  <si>
    <t>Cash flow from financing activities</t>
  </si>
  <si>
    <t>Short Term Barrowings(Net)</t>
  </si>
  <si>
    <t>Long Term Borrowings</t>
  </si>
  <si>
    <t>Interest Paid</t>
  </si>
  <si>
    <t>Net cash flow from Financing activities</t>
  </si>
  <si>
    <t>Net increase in Cash and cash equivalents</t>
  </si>
  <si>
    <t>Opening balance of Cash and cash equivalents</t>
  </si>
  <si>
    <t>Closing balance of Cash and cash equivalents</t>
  </si>
  <si>
    <t>Components of Cash and Cash Equivalents</t>
  </si>
  <si>
    <t>Cash and cheques on Hand</t>
  </si>
  <si>
    <t>Balances with Banks</t>
  </si>
  <si>
    <t>-On Current Accounts</t>
  </si>
  <si>
    <t>-On Deposit Accounts</t>
  </si>
  <si>
    <t>Cash and cash Equivalent</t>
  </si>
  <si>
    <t>Changes in inventories of finished goods work-in­ progress and stock in trade</t>
  </si>
  <si>
    <t>Profit/(Loss) from ordinary activities before tax</t>
  </si>
  <si>
    <t>Extraordinary items (net of tax Rs expense Lakhs)</t>
  </si>
  <si>
    <t>Add:Items that will be reclassified to profit or loss</t>
  </si>
  <si>
    <t>Less:Income Tax relating to items that will be reclassified to profit or loss</t>
  </si>
  <si>
    <t>Segment Results [Profit / (Loss) before Tax and Interest from each Segment)</t>
  </si>
  <si>
    <t>Less: Interest Expenses</t>
  </si>
  <si>
    <t>Add:  Interest and Other Income</t>
  </si>
  <si>
    <t>Minority Interest</t>
  </si>
  <si>
    <t>Short Term Barrowings (Net)</t>
  </si>
  <si>
    <t>On Current Accounts</t>
  </si>
  <si>
    <t>On Deposit Accounts</t>
  </si>
  <si>
    <t>Particulars</t>
  </si>
  <si>
    <t>Cogencis Field</t>
  </si>
  <si>
    <t>Field id</t>
  </si>
  <si>
    <t>Gross Sales/Income from Operations</t>
  </si>
  <si>
    <t>Other Operating Income</t>
  </si>
  <si>
    <t>Miscellaneous Income</t>
  </si>
  <si>
    <t>Total Income</t>
  </si>
  <si>
    <t>Employee Benefit Expense</t>
  </si>
  <si>
    <t>Finance Costs</t>
  </si>
  <si>
    <t>Other Exceptional Items</t>
  </si>
  <si>
    <t>Tax Expense</t>
  </si>
  <si>
    <t>Net Profit/(Loss) for the Period</t>
  </si>
  <si>
    <t>Basic EPS</t>
  </si>
  <si>
    <t>Diluted EPS</t>
  </si>
  <si>
    <t>Depreciation, Depletion and Amortisation Expense</t>
  </si>
  <si>
    <t>Paid-Up Equity Share Capital</t>
  </si>
  <si>
    <t>Reserve excluding Revaluation Reserves (as per Balance Sheet of Previous Accounting Year)</t>
  </si>
  <si>
    <t>Profit/(Loss) From Ordinary Activities before Tax</t>
  </si>
  <si>
    <t>Purchase of Stock-in-Trade</t>
  </si>
  <si>
    <t>Changes in Inventories of Finished Goods, Work-In-Progress and Stock-In-Trade</t>
  </si>
  <si>
    <t>Operating Expenses</t>
  </si>
  <si>
    <t>Profit/(Loss) from Ordinary Activities after Finance Costs but before Exceptional Items</t>
  </si>
  <si>
    <t>Profit/(Loss) from ordinary activities but before Exceptional Items</t>
  </si>
  <si>
    <t>Net Profit/(Loss) from Ordinary Activities after Tax</t>
  </si>
  <si>
    <t>Extraordinary Items</t>
  </si>
  <si>
    <t>Items that will be reclassified to Profit or Loss</t>
  </si>
  <si>
    <t>Income Tax related to items that will be reclassified to Profit or Loss</t>
  </si>
  <si>
    <t>Profit/(Loss) from ordinary activities after finance costs but before exceptional items</t>
  </si>
  <si>
    <t>Other Non-Current Financial Assets</t>
  </si>
  <si>
    <t>Other Non-Current Assets</t>
  </si>
  <si>
    <t>Deferred Tax Assets (Net)</t>
  </si>
  <si>
    <t>Trade Receivables</t>
  </si>
  <si>
    <t>Cash And Cash Equivalents</t>
  </si>
  <si>
    <t>Share Capital</t>
  </si>
  <si>
    <t>Reserves And Surplus/Other Equity</t>
  </si>
  <si>
    <t>Long-Term Provisions</t>
  </si>
  <si>
    <t>Other liabilities</t>
  </si>
  <si>
    <t>Other Current Financial Assets</t>
  </si>
  <si>
    <t>Other Current Financial Liabilities</t>
  </si>
  <si>
    <t>Short-Term Provisions</t>
  </si>
  <si>
    <t>Money Received Against Share Warrants</t>
  </si>
  <si>
    <t>Depreciation and Amortisation Expense</t>
  </si>
  <si>
    <t>Other Provisions Written Off</t>
  </si>
  <si>
    <t>Trade And Other Receivables</t>
  </si>
  <si>
    <t>Adjustments for other financial assets, non-current</t>
  </si>
  <si>
    <t>Other Current and Non Current Assets</t>
  </si>
  <si>
    <t>Trade Payables And Others</t>
  </si>
  <si>
    <t>Other Current and Non Current Liabilities</t>
  </si>
  <si>
    <t>Adjustments for other financial liabilities, non-current</t>
  </si>
  <si>
    <t>Cash Generated From Operations</t>
  </si>
  <si>
    <t>Income Tax Paid</t>
  </si>
  <si>
    <t>Net Cash Flow From Operating Activities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</si>
  <si>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</si>
  <si>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</si>
  <si>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</si>
  <si>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</si>
  <si>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</si>
  <si>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</si>
  <si>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Others-Before Working Capital Changes</t>
  </si>
  <si>
    <t>Purchase Of Fixed Assets (Tangible / Intangible)</t>
  </si>
  <si>
    <t>Sale Of Fixed Assets (Tangible / Intangible)</t>
  </si>
  <si>
    <t>Interest Received</t>
  </si>
  <si>
    <t>Proceeds From Short Term Borrowings</t>
  </si>
  <si>
    <t>Proceeds From Long Term Borrowings</t>
  </si>
  <si>
    <t>As per Product</t>
  </si>
  <si>
    <t>Total Segment Revenue</t>
  </si>
  <si>
    <t>Interest Expenses</t>
  </si>
  <si>
    <t>Unallocated Income (Expenses)</t>
  </si>
  <si>
    <t>Exceptional Item</t>
  </si>
  <si>
    <t>Unallocable Corporate Assets</t>
  </si>
  <si>
    <t>Total Segment Assets</t>
  </si>
  <si>
    <t>Unallocable Corporate Liabilities</t>
  </si>
  <si>
    <t>Total Segment Liabilities</t>
  </si>
  <si>
    <t>Interest Expense</t>
  </si>
  <si>
    <t>Total Comprehensive Gain (Loss) For the Year</t>
  </si>
  <si>
    <t>Non-Current Investments</t>
  </si>
  <si>
    <t>Adjustments for other financial assets, current</t>
  </si>
  <si>
    <t>Total Capital Employed</t>
  </si>
  <si>
    <t>Segment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</si>
</sst>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/>
  </sheetViews>
  <sheetFormatPr defaultColWidth="8.5703125" defaultRowHeight="15" x14ac:dyDescent="0.25"/>
  <cols>
    <col min="1" max="1" width="64" customWidth="1"/>
    <col min="2" max="2" width="67" customWidth="1"/>
    <col min="3" max="3" width="7.5703125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138</v>
      </c>
      <c r="C3" s="2">
        <v>256</v>
      </c>
    </row>
    <row r="4" spans="1:3" x14ac:dyDescent="0.25">
      <c r="A4" s="2" t="s">
        <v>2</v>
      </c>
      <c r="B4" s="2" t="s">
        <v>139</v>
      </c>
      <c r="C4" s="2">
        <v>281</v>
      </c>
    </row>
    <row r="5" spans="1:3" x14ac:dyDescent="0.25">
      <c r="A5" s="2" t="s">
        <v>3</v>
      </c>
      <c r="B5" s="2" t="s">
        <v>140</v>
      </c>
      <c r="C5" s="2">
        <v>265</v>
      </c>
    </row>
    <row r="6" spans="1:3" x14ac:dyDescent="0.25">
      <c r="A6" s="2" t="s">
        <v>4</v>
      </c>
      <c r="B6" s="2" t="s">
        <v>141</v>
      </c>
      <c r="C6" s="2">
        <v>25238</v>
      </c>
    </row>
    <row r="7" spans="1:3" x14ac:dyDescent="0.25">
      <c r="A7" s="2" t="s">
        <v>5</v>
      </c>
      <c r="B7" s="2"/>
      <c r="C7" s="2"/>
    </row>
    <row r="8" spans="1:3" x14ac:dyDescent="0.25">
      <c r="A8" s="2" t="s">
        <v>6</v>
      </c>
      <c r="B8" s="2" t="s">
        <v>153</v>
      </c>
      <c r="C8" s="2">
        <v>307</v>
      </c>
    </row>
    <row r="9" spans="1:3" x14ac:dyDescent="0.25">
      <c r="A9" s="2" t="s">
        <v>7</v>
      </c>
      <c r="B9" s="2" t="s">
        <v>154</v>
      </c>
      <c r="C9" s="2">
        <v>227</v>
      </c>
    </row>
    <row r="10" spans="1:3" x14ac:dyDescent="0.25">
      <c r="A10" s="2" t="s">
        <v>8</v>
      </c>
      <c r="B10" s="2" t="s">
        <v>155</v>
      </c>
      <c r="C10" s="2">
        <v>276</v>
      </c>
    </row>
    <row r="11" spans="1:3" x14ac:dyDescent="0.25">
      <c r="A11" s="2" t="s">
        <v>9</v>
      </c>
      <c r="B11" s="2" t="s">
        <v>142</v>
      </c>
      <c r="C11" s="2">
        <v>238</v>
      </c>
    </row>
    <row r="12" spans="1:3" x14ac:dyDescent="0.25">
      <c r="A12" s="2" t="s">
        <v>10</v>
      </c>
      <c r="B12" s="2" t="s">
        <v>143</v>
      </c>
      <c r="C12" s="2">
        <v>246</v>
      </c>
    </row>
    <row r="13" spans="1:3" x14ac:dyDescent="0.25">
      <c r="A13" s="2" t="s">
        <v>11</v>
      </c>
      <c r="B13" s="2" t="s">
        <v>149</v>
      </c>
      <c r="C13" s="2">
        <v>232</v>
      </c>
    </row>
    <row r="14" spans="1:3" x14ac:dyDescent="0.25">
      <c r="A14" s="2" t="s">
        <v>12</v>
      </c>
      <c r="B14" s="2" t="s">
        <v>12</v>
      </c>
      <c r="C14" s="2">
        <v>279</v>
      </c>
    </row>
    <row r="15" spans="1:3" x14ac:dyDescent="0.25">
      <c r="A15" s="2" t="s">
        <v>13</v>
      </c>
      <c r="B15" s="2" t="s">
        <v>13</v>
      </c>
      <c r="C15" s="2">
        <v>320</v>
      </c>
    </row>
    <row r="16" spans="1:3" x14ac:dyDescent="0.25">
      <c r="A16" s="2" t="s">
        <v>157</v>
      </c>
      <c r="B16" s="2" t="s">
        <v>156</v>
      </c>
      <c r="C16" s="2">
        <v>294</v>
      </c>
    </row>
    <row r="17" spans="1:3" x14ac:dyDescent="0.25">
      <c r="A17" s="3" t="s">
        <v>14</v>
      </c>
      <c r="B17" s="3" t="s">
        <v>144</v>
      </c>
      <c r="C17" s="3">
        <v>278</v>
      </c>
    </row>
    <row r="18" spans="1:3" x14ac:dyDescent="0.25">
      <c r="A18" s="3" t="s">
        <v>15</v>
      </c>
      <c r="B18" s="3" t="s">
        <v>144</v>
      </c>
      <c r="C18" s="3">
        <v>278</v>
      </c>
    </row>
    <row r="19" spans="1:3" x14ac:dyDescent="0.25">
      <c r="A19" s="2" t="s">
        <v>16</v>
      </c>
      <c r="B19" s="2" t="s">
        <v>152</v>
      </c>
      <c r="C19" s="2">
        <v>296</v>
      </c>
    </row>
    <row r="20" spans="1:3" x14ac:dyDescent="0.25">
      <c r="A20" s="2" t="s">
        <v>17</v>
      </c>
      <c r="B20" s="2"/>
      <c r="C20" s="2"/>
    </row>
    <row r="21" spans="1:3" x14ac:dyDescent="0.25">
      <c r="A21" s="3" t="s">
        <v>18</v>
      </c>
      <c r="B21" s="3" t="s">
        <v>145</v>
      </c>
      <c r="C21" s="3">
        <v>318</v>
      </c>
    </row>
    <row r="22" spans="1:3" x14ac:dyDescent="0.25">
      <c r="A22" s="3" t="s">
        <v>19</v>
      </c>
      <c r="B22" s="3" t="s">
        <v>145</v>
      </c>
      <c r="C22" s="3">
        <v>318</v>
      </c>
    </row>
    <row r="23" spans="1:3" x14ac:dyDescent="0.25">
      <c r="A23" s="2" t="s">
        <v>20</v>
      </c>
      <c r="B23" s="2" t="s">
        <v>20</v>
      </c>
      <c r="C23" s="2">
        <v>231</v>
      </c>
    </row>
    <row r="24" spans="1:3" x14ac:dyDescent="0.25">
      <c r="A24" s="2" t="s">
        <v>21</v>
      </c>
      <c r="B24" s="2" t="s">
        <v>158</v>
      </c>
      <c r="C24" s="2">
        <v>270</v>
      </c>
    </row>
    <row r="25" spans="1:3" x14ac:dyDescent="0.25">
      <c r="A25" s="2" t="s">
        <v>22</v>
      </c>
      <c r="B25" s="2" t="s">
        <v>159</v>
      </c>
      <c r="C25" s="2">
        <v>244</v>
      </c>
    </row>
    <row r="26" spans="1:3" x14ac:dyDescent="0.25">
      <c r="A26" s="2" t="s">
        <v>23</v>
      </c>
      <c r="B26" s="2" t="s">
        <v>146</v>
      </c>
      <c r="C26" s="2">
        <v>269</v>
      </c>
    </row>
    <row r="27" spans="1:3" x14ac:dyDescent="0.25">
      <c r="A27" s="2" t="s">
        <v>24</v>
      </c>
      <c r="B27" s="2"/>
      <c r="C27" s="2"/>
    </row>
    <row r="28" spans="1:3" x14ac:dyDescent="0.25">
      <c r="A28" s="2" t="s">
        <v>25</v>
      </c>
      <c r="B28" s="2" t="s">
        <v>160</v>
      </c>
      <c r="C28" s="2">
        <v>22294</v>
      </c>
    </row>
    <row r="29" spans="1:3" x14ac:dyDescent="0.25">
      <c r="A29" s="2" t="s">
        <v>26</v>
      </c>
      <c r="B29" s="2" t="s">
        <v>161</v>
      </c>
      <c r="C29" s="2">
        <v>22296</v>
      </c>
    </row>
    <row r="30" spans="1:3" x14ac:dyDescent="0.25">
      <c r="A30" s="2" t="s">
        <v>27</v>
      </c>
      <c r="B30" s="2" t="s">
        <v>209</v>
      </c>
      <c r="C30" s="2">
        <v>20019</v>
      </c>
    </row>
    <row r="31" spans="1:3" x14ac:dyDescent="0.25">
      <c r="A31" s="2" t="s">
        <v>28</v>
      </c>
      <c r="B31" s="2" t="s">
        <v>150</v>
      </c>
      <c r="C31" s="2">
        <v>282</v>
      </c>
    </row>
    <row r="32" spans="1:3" x14ac:dyDescent="0.25">
      <c r="A32" s="2" t="s">
        <v>29</v>
      </c>
      <c r="B32" s="2" t="s">
        <v>151</v>
      </c>
      <c r="C32" s="2">
        <v>309</v>
      </c>
    </row>
    <row r="33" spans="1:3" x14ac:dyDescent="0.25">
      <c r="A33" s="2" t="s">
        <v>30</v>
      </c>
      <c r="B33" s="2"/>
      <c r="C33" s="2"/>
    </row>
    <row r="34" spans="1:3" x14ac:dyDescent="0.25">
      <c r="A34" s="3" t="s">
        <v>31</v>
      </c>
      <c r="B34" s="3" t="s">
        <v>147</v>
      </c>
      <c r="C34" s="3">
        <v>222</v>
      </c>
    </row>
    <row r="35" spans="1:3" x14ac:dyDescent="0.25">
      <c r="A35" s="3" t="s">
        <v>32</v>
      </c>
      <c r="B35" s="3" t="s">
        <v>148</v>
      </c>
      <c r="C35" s="3">
        <v>234</v>
      </c>
    </row>
    <row r="36" spans="1:3" x14ac:dyDescent="0.25">
      <c r="A36" s="2" t="s">
        <v>33</v>
      </c>
      <c r="B36" s="2"/>
      <c r="C36" s="2"/>
    </row>
    <row r="37" spans="1:3" x14ac:dyDescent="0.25">
      <c r="A37" s="3" t="s">
        <v>31</v>
      </c>
      <c r="B37" s="3" t="s">
        <v>147</v>
      </c>
      <c r="C37" s="3">
        <v>222</v>
      </c>
    </row>
    <row r="38" spans="1:3" x14ac:dyDescent="0.25">
      <c r="A38" s="3" t="s">
        <v>32</v>
      </c>
      <c r="B38" s="3" t="s">
        <v>148</v>
      </c>
      <c r="C38" s="3">
        <v>234</v>
      </c>
    </row>
  </sheetData>
  <conditionalFormatting sqref="C1:C1048576">
    <cfRule type="duplicateValues" dxfId="1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zoomScaleNormal="100" workbookViewId="0"/>
  </sheetViews>
  <sheetFormatPr defaultColWidth="8.5703125" defaultRowHeight="15" x14ac:dyDescent="0.25"/>
  <cols>
    <col min="1" max="1" width="68.5703125" customWidth="1"/>
    <col min="2" max="2" width="75.85546875" customWidth="1"/>
    <col min="3" max="3" width="7.5703125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138</v>
      </c>
      <c r="C3" s="2">
        <v>256</v>
      </c>
    </row>
    <row r="4" spans="1:3" x14ac:dyDescent="0.25">
      <c r="A4" s="2" t="s">
        <v>2</v>
      </c>
      <c r="B4" s="2" t="s">
        <v>139</v>
      </c>
      <c r="C4" s="2">
        <v>281</v>
      </c>
    </row>
    <row r="5" spans="1:3" x14ac:dyDescent="0.25">
      <c r="A5" s="2" t="s">
        <v>3</v>
      </c>
      <c r="B5" s="2" t="s">
        <v>140</v>
      </c>
      <c r="C5" s="2">
        <v>265</v>
      </c>
    </row>
    <row r="6" spans="1:3" x14ac:dyDescent="0.25">
      <c r="A6" s="2" t="s">
        <v>4</v>
      </c>
      <c r="B6" s="2" t="s">
        <v>141</v>
      </c>
      <c r="C6" s="2">
        <v>25238</v>
      </c>
    </row>
    <row r="7" spans="1:3" x14ac:dyDescent="0.25">
      <c r="A7" s="2" t="s">
        <v>5</v>
      </c>
      <c r="B7" s="2"/>
      <c r="C7" s="2"/>
    </row>
    <row r="8" spans="1:3" x14ac:dyDescent="0.25">
      <c r="A8" s="2" t="s">
        <v>6</v>
      </c>
      <c r="B8" s="2" t="s">
        <v>153</v>
      </c>
      <c r="C8" s="2">
        <v>307</v>
      </c>
    </row>
    <row r="9" spans="1:3" x14ac:dyDescent="0.25">
      <c r="A9" s="2" t="s">
        <v>123</v>
      </c>
      <c r="B9" s="2" t="s">
        <v>154</v>
      </c>
      <c r="C9" s="2">
        <v>227</v>
      </c>
    </row>
    <row r="10" spans="1:3" x14ac:dyDescent="0.25">
      <c r="A10" s="2" t="s">
        <v>8</v>
      </c>
      <c r="B10" s="2" t="s">
        <v>155</v>
      </c>
      <c r="C10" s="2">
        <v>276</v>
      </c>
    </row>
    <row r="11" spans="1:3" x14ac:dyDescent="0.25">
      <c r="A11" s="2" t="s">
        <v>9</v>
      </c>
      <c r="B11" s="2" t="s">
        <v>142</v>
      </c>
      <c r="C11" s="2">
        <v>238</v>
      </c>
    </row>
    <row r="12" spans="1:3" x14ac:dyDescent="0.25">
      <c r="A12" s="2" t="s">
        <v>10</v>
      </c>
      <c r="B12" s="2" t="s">
        <v>143</v>
      </c>
      <c r="C12" s="2">
        <v>246</v>
      </c>
    </row>
    <row r="13" spans="1:3" x14ac:dyDescent="0.25">
      <c r="A13" s="2" t="s">
        <v>11</v>
      </c>
      <c r="B13" s="2" t="s">
        <v>149</v>
      </c>
      <c r="C13" s="2">
        <v>232</v>
      </c>
    </row>
    <row r="14" spans="1:3" x14ac:dyDescent="0.25">
      <c r="A14" s="2" t="s">
        <v>12</v>
      </c>
      <c r="B14" s="2" t="s">
        <v>12</v>
      </c>
      <c r="C14" s="2">
        <v>279</v>
      </c>
    </row>
    <row r="15" spans="1:3" x14ac:dyDescent="0.25">
      <c r="A15" s="2" t="s">
        <v>13</v>
      </c>
      <c r="B15" s="2" t="s">
        <v>13</v>
      </c>
      <c r="C15" s="2">
        <v>320</v>
      </c>
    </row>
    <row r="16" spans="1:3" x14ac:dyDescent="0.25">
      <c r="A16" s="2" t="s">
        <v>157</v>
      </c>
      <c r="B16" s="2" t="s">
        <v>162</v>
      </c>
      <c r="C16" s="2">
        <v>294</v>
      </c>
    </row>
    <row r="17" spans="1:3" x14ac:dyDescent="0.25">
      <c r="A17" s="3" t="s">
        <v>14</v>
      </c>
      <c r="B17" s="3" t="s">
        <v>144</v>
      </c>
      <c r="C17" s="3">
        <v>278</v>
      </c>
    </row>
    <row r="18" spans="1:3" x14ac:dyDescent="0.25">
      <c r="A18" s="3" t="s">
        <v>15</v>
      </c>
      <c r="B18" s="3" t="s">
        <v>144</v>
      </c>
      <c r="C18" s="3">
        <v>278</v>
      </c>
    </row>
    <row r="19" spans="1:3" x14ac:dyDescent="0.25">
      <c r="A19" s="2" t="s">
        <v>124</v>
      </c>
      <c r="B19" s="2" t="s">
        <v>152</v>
      </c>
      <c r="C19" s="2">
        <v>296</v>
      </c>
    </row>
    <row r="20" spans="1:3" x14ac:dyDescent="0.25">
      <c r="A20" s="2" t="s">
        <v>17</v>
      </c>
      <c r="B20" s="2"/>
      <c r="C20" s="2"/>
    </row>
    <row r="21" spans="1:3" x14ac:dyDescent="0.25">
      <c r="A21" s="3" t="s">
        <v>18</v>
      </c>
      <c r="B21" s="3" t="s">
        <v>145</v>
      </c>
      <c r="C21" s="3">
        <v>318</v>
      </c>
    </row>
    <row r="22" spans="1:3" x14ac:dyDescent="0.25">
      <c r="A22" s="3" t="s">
        <v>19</v>
      </c>
      <c r="B22" s="3" t="s">
        <v>145</v>
      </c>
      <c r="C22" s="3">
        <v>318</v>
      </c>
    </row>
    <row r="23" spans="1:3" x14ac:dyDescent="0.25">
      <c r="A23" s="2" t="s">
        <v>20</v>
      </c>
      <c r="B23" s="2" t="s">
        <v>20</v>
      </c>
      <c r="C23" s="2">
        <v>231</v>
      </c>
    </row>
    <row r="24" spans="1:3" x14ac:dyDescent="0.25">
      <c r="A24" s="2" t="s">
        <v>21</v>
      </c>
      <c r="B24" s="2" t="s">
        <v>158</v>
      </c>
      <c r="C24" s="2">
        <v>270</v>
      </c>
    </row>
    <row r="25" spans="1:3" x14ac:dyDescent="0.25">
      <c r="A25" s="2" t="s">
        <v>125</v>
      </c>
      <c r="B25" s="2" t="s">
        <v>159</v>
      </c>
      <c r="C25" s="2">
        <v>244</v>
      </c>
    </row>
    <row r="26" spans="1:3" x14ac:dyDescent="0.25">
      <c r="A26" s="2" t="s">
        <v>23</v>
      </c>
      <c r="B26" s="2"/>
      <c r="C26" s="2"/>
    </row>
    <row r="27" spans="1:3" x14ac:dyDescent="0.25">
      <c r="A27" s="2" t="s">
        <v>24</v>
      </c>
      <c r="B27" s="2"/>
      <c r="C27" s="2"/>
    </row>
    <row r="28" spans="1:3" x14ac:dyDescent="0.25">
      <c r="A28" s="2" t="s">
        <v>126</v>
      </c>
      <c r="B28" s="2" t="s">
        <v>160</v>
      </c>
      <c r="C28" s="2">
        <v>22294</v>
      </c>
    </row>
    <row r="29" spans="1:3" x14ac:dyDescent="0.25">
      <c r="A29" s="2" t="s">
        <v>127</v>
      </c>
      <c r="B29" s="2" t="s">
        <v>161</v>
      </c>
      <c r="C29" s="2">
        <v>22296</v>
      </c>
    </row>
    <row r="30" spans="1:3" x14ac:dyDescent="0.25">
      <c r="A30" s="2" t="s">
        <v>27</v>
      </c>
      <c r="B30" s="2" t="s">
        <v>146</v>
      </c>
      <c r="C30" s="2">
        <v>269</v>
      </c>
    </row>
    <row r="31" spans="1:3" x14ac:dyDescent="0.25">
      <c r="A31" s="2" t="s">
        <v>28</v>
      </c>
      <c r="B31" s="2" t="s">
        <v>150</v>
      </c>
      <c r="C31" s="2">
        <v>282</v>
      </c>
    </row>
    <row r="32" spans="1:3" x14ac:dyDescent="0.25">
      <c r="A32" s="2" t="s">
        <v>29</v>
      </c>
      <c r="B32" s="2" t="s">
        <v>151</v>
      </c>
      <c r="C32" s="2">
        <v>309</v>
      </c>
    </row>
    <row r="33" spans="1:3" x14ac:dyDescent="0.25">
      <c r="A33" s="2" t="s">
        <v>30</v>
      </c>
      <c r="B33" s="2"/>
      <c r="C33" s="2"/>
    </row>
    <row r="34" spans="1:3" x14ac:dyDescent="0.25">
      <c r="A34" s="3" t="s">
        <v>31</v>
      </c>
      <c r="B34" s="3" t="s">
        <v>147</v>
      </c>
      <c r="C34" s="3">
        <v>222</v>
      </c>
    </row>
    <row r="35" spans="1:3" x14ac:dyDescent="0.25">
      <c r="A35" s="3" t="s">
        <v>32</v>
      </c>
      <c r="B35" s="3" t="s">
        <v>148</v>
      </c>
      <c r="C35" s="3">
        <v>234</v>
      </c>
    </row>
    <row r="36" spans="1:3" x14ac:dyDescent="0.25">
      <c r="A36" s="2" t="s">
        <v>33</v>
      </c>
      <c r="B36" s="2"/>
      <c r="C36" s="2"/>
    </row>
    <row r="37" spans="1:3" x14ac:dyDescent="0.25">
      <c r="A37" s="3" t="s">
        <v>31</v>
      </c>
      <c r="B37" s="3" t="s">
        <v>147</v>
      </c>
      <c r="C37" s="3">
        <v>222</v>
      </c>
    </row>
    <row r="38" spans="1:3" x14ac:dyDescent="0.25">
      <c r="A38" s="3" t="s">
        <v>32</v>
      </c>
      <c r="B38" s="3" t="s">
        <v>148</v>
      </c>
      <c r="C38" s="3">
        <v>234</v>
      </c>
    </row>
  </sheetData>
  <conditionalFormatting sqref="C1:C1048576">
    <cfRule type="duplicateValues" dxfId="1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zoomScaleNormal="100" workbookViewId="0"/>
  </sheetViews>
  <sheetFormatPr defaultColWidth="8.5703125" defaultRowHeight="15" x14ac:dyDescent="0.25"/>
  <cols>
    <col min="1" max="1" width="43.42578125" customWidth="1"/>
    <col min="2" max="2" width="35.5703125" bestFit="1" customWidth="1"/>
    <col min="3" max="3" width="6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52</v>
      </c>
      <c r="B2" s="2"/>
      <c r="C2" s="2"/>
    </row>
    <row r="3" spans="1:3" x14ac:dyDescent="0.25">
      <c r="A3" s="2" t="s">
        <v>53</v>
      </c>
      <c r="B3" s="2"/>
      <c r="C3" s="2"/>
    </row>
    <row r="4" spans="1:3" x14ac:dyDescent="0.25">
      <c r="A4" s="2" t="s">
        <v>54</v>
      </c>
      <c r="B4" s="2" t="s">
        <v>54</v>
      </c>
      <c r="C4" s="2">
        <v>20222</v>
      </c>
    </row>
    <row r="5" spans="1:3" x14ac:dyDescent="0.25">
      <c r="A5" s="2" t="s">
        <v>55</v>
      </c>
      <c r="B5" s="2"/>
      <c r="C5" s="2"/>
    </row>
    <row r="6" spans="1:3" x14ac:dyDescent="0.25">
      <c r="A6" s="2" t="s">
        <v>56</v>
      </c>
      <c r="B6" s="2" t="s">
        <v>210</v>
      </c>
      <c r="C6" s="4">
        <v>13748</v>
      </c>
    </row>
    <row r="7" spans="1:3" x14ac:dyDescent="0.25">
      <c r="A7" s="2" t="s">
        <v>57</v>
      </c>
      <c r="B7" s="2" t="s">
        <v>163</v>
      </c>
      <c r="C7" s="2">
        <v>20216</v>
      </c>
    </row>
    <row r="8" spans="1:3" x14ac:dyDescent="0.25">
      <c r="A8" s="2" t="s">
        <v>58</v>
      </c>
      <c r="B8" s="2" t="s">
        <v>164</v>
      </c>
      <c r="C8" s="2">
        <v>13753</v>
      </c>
    </row>
    <row r="9" spans="1:3" x14ac:dyDescent="0.25">
      <c r="A9" s="2" t="s">
        <v>59</v>
      </c>
      <c r="B9" s="2" t="s">
        <v>165</v>
      </c>
      <c r="C9" s="2">
        <v>13726</v>
      </c>
    </row>
    <row r="10" spans="1:3" x14ac:dyDescent="0.25">
      <c r="A10" s="2" t="s">
        <v>60</v>
      </c>
      <c r="B10" s="2"/>
      <c r="C10" s="2"/>
    </row>
    <row r="11" spans="1:3" x14ac:dyDescent="0.25">
      <c r="A11" s="2" t="s">
        <v>61</v>
      </c>
      <c r="B11" s="2" t="s">
        <v>61</v>
      </c>
      <c r="C11" s="2">
        <v>13737</v>
      </c>
    </row>
    <row r="12" spans="1:3" x14ac:dyDescent="0.25">
      <c r="A12" s="2" t="s">
        <v>55</v>
      </c>
      <c r="B12" s="2"/>
      <c r="C12" s="2"/>
    </row>
    <row r="13" spans="1:3" x14ac:dyDescent="0.25">
      <c r="A13" s="2" t="s">
        <v>62</v>
      </c>
      <c r="B13" s="2" t="s">
        <v>166</v>
      </c>
      <c r="C13" s="2">
        <v>13780</v>
      </c>
    </row>
    <row r="14" spans="1:3" x14ac:dyDescent="0.25">
      <c r="A14" s="2" t="s">
        <v>63</v>
      </c>
      <c r="B14" s="2" t="s">
        <v>167</v>
      </c>
      <c r="C14" s="2">
        <v>13722</v>
      </c>
    </row>
    <row r="15" spans="1:3" x14ac:dyDescent="0.25">
      <c r="A15" s="2" t="s">
        <v>57</v>
      </c>
      <c r="B15" s="2" t="s">
        <v>172</v>
      </c>
      <c r="C15" s="2">
        <v>20231</v>
      </c>
    </row>
    <row r="16" spans="1:3" x14ac:dyDescent="0.25">
      <c r="A16" s="2" t="s">
        <v>64</v>
      </c>
      <c r="B16" s="2" t="s">
        <v>97</v>
      </c>
      <c r="C16" s="2">
        <v>13750</v>
      </c>
    </row>
    <row r="17" spans="1:3" x14ac:dyDescent="0.25">
      <c r="A17" s="2" t="s">
        <v>65</v>
      </c>
      <c r="B17" s="2"/>
      <c r="C17" s="2"/>
    </row>
    <row r="18" spans="1:3" x14ac:dyDescent="0.25">
      <c r="A18" s="2" t="s">
        <v>66</v>
      </c>
      <c r="B18" s="2"/>
      <c r="C18" s="2"/>
    </row>
    <row r="19" spans="1:3" x14ac:dyDescent="0.25">
      <c r="A19" s="2" t="s">
        <v>67</v>
      </c>
      <c r="B19" s="2" t="s">
        <v>168</v>
      </c>
      <c r="C19" s="2">
        <v>13765</v>
      </c>
    </row>
    <row r="20" spans="1:3" x14ac:dyDescent="0.25">
      <c r="A20" s="2" t="s">
        <v>68</v>
      </c>
      <c r="B20" s="2" t="s">
        <v>169</v>
      </c>
      <c r="C20" s="2">
        <v>13762</v>
      </c>
    </row>
    <row r="21" spans="1:3" x14ac:dyDescent="0.25">
      <c r="A21" s="2" t="s">
        <v>69</v>
      </c>
      <c r="B21" s="2"/>
      <c r="C21" s="2"/>
    </row>
    <row r="22" spans="1:3" x14ac:dyDescent="0.25">
      <c r="A22" s="2" t="s">
        <v>70</v>
      </c>
      <c r="B22" s="2"/>
      <c r="C22" s="2"/>
    </row>
    <row r="23" spans="1:3" x14ac:dyDescent="0.25">
      <c r="A23" s="2" t="s">
        <v>71</v>
      </c>
      <c r="B23" s="2"/>
      <c r="C23" s="2"/>
    </row>
    <row r="24" spans="1:3" x14ac:dyDescent="0.25">
      <c r="A24" s="2" t="s">
        <v>72</v>
      </c>
      <c r="B24" s="2" t="s">
        <v>72</v>
      </c>
      <c r="C24" s="2">
        <v>20223</v>
      </c>
    </row>
    <row r="25" spans="1:3" x14ac:dyDescent="0.25">
      <c r="A25" s="2" t="s">
        <v>73</v>
      </c>
      <c r="B25" s="2" t="s">
        <v>170</v>
      </c>
      <c r="C25" s="2">
        <v>13743</v>
      </c>
    </row>
    <row r="26" spans="1:3" x14ac:dyDescent="0.25">
      <c r="A26" s="2" t="s">
        <v>74</v>
      </c>
      <c r="B26" s="2"/>
      <c r="C26" s="2"/>
    </row>
    <row r="27" spans="1:3" x14ac:dyDescent="0.25">
      <c r="A27" s="2" t="s">
        <v>71</v>
      </c>
      <c r="B27" s="2"/>
      <c r="C27" s="2"/>
    </row>
    <row r="28" spans="1:3" x14ac:dyDescent="0.25">
      <c r="A28" s="2" t="s">
        <v>72</v>
      </c>
      <c r="B28" s="2" t="s">
        <v>72</v>
      </c>
      <c r="C28" s="2">
        <v>20209</v>
      </c>
    </row>
    <row r="29" spans="1:3" x14ac:dyDescent="0.25">
      <c r="A29" s="4" t="s">
        <v>75</v>
      </c>
      <c r="B29" s="4"/>
      <c r="C29" s="4"/>
    </row>
    <row r="30" spans="1:3" x14ac:dyDescent="0.25">
      <c r="A30" s="3" t="s">
        <v>76</v>
      </c>
      <c r="B30" s="3" t="s">
        <v>98</v>
      </c>
      <c r="C30" s="3">
        <v>13779</v>
      </c>
    </row>
    <row r="31" spans="1:3" x14ac:dyDescent="0.25">
      <c r="A31" s="3" t="s">
        <v>77</v>
      </c>
      <c r="B31" s="3" t="s">
        <v>98</v>
      </c>
      <c r="C31" s="3">
        <v>13779</v>
      </c>
    </row>
    <row r="32" spans="1:3" x14ac:dyDescent="0.25">
      <c r="A32" s="2" t="s">
        <v>78</v>
      </c>
      <c r="B32" s="2" t="s">
        <v>173</v>
      </c>
      <c r="C32" s="2">
        <v>20214</v>
      </c>
    </row>
    <row r="33" spans="1:3" x14ac:dyDescent="0.25">
      <c r="A33" s="2" t="s">
        <v>79</v>
      </c>
      <c r="B33" s="2" t="s">
        <v>171</v>
      </c>
      <c r="C33" s="2">
        <v>26450</v>
      </c>
    </row>
    <row r="34" spans="1:3" x14ac:dyDescent="0.25">
      <c r="A34" s="2" t="s">
        <v>73</v>
      </c>
      <c r="B34" s="2" t="s">
        <v>174</v>
      </c>
      <c r="C34" s="2">
        <v>13767</v>
      </c>
    </row>
  </sheetData>
  <conditionalFormatting sqref="C1:C1048576"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"/>
  <sheetViews>
    <sheetView zoomScaleNormal="100" workbookViewId="0"/>
  </sheetViews>
  <sheetFormatPr defaultColWidth="8.5703125" defaultRowHeight="15" x14ac:dyDescent="0.25"/>
  <cols>
    <col min="1" max="1" width="39.42578125" customWidth="1"/>
    <col min="2" max="2" width="32.85546875" bestFit="1" customWidth="1"/>
    <col min="3" max="3" width="6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52</v>
      </c>
      <c r="B2" s="2"/>
      <c r="C2" s="2"/>
    </row>
    <row r="3" spans="1:3" x14ac:dyDescent="0.25">
      <c r="A3" s="2" t="s">
        <v>53</v>
      </c>
      <c r="B3" s="2"/>
      <c r="C3" s="2"/>
    </row>
    <row r="4" spans="1:3" x14ac:dyDescent="0.25">
      <c r="A4" s="2" t="s">
        <v>54</v>
      </c>
      <c r="B4" s="2" t="str">
        <f>VLOOKUP(A4,BS_Standalone!A:C,2,0)</f>
        <v>Property, Plant &amp; Equipment</v>
      </c>
      <c r="C4" s="2">
        <f>VLOOKUP(A4,BS_Standalone!A:C,3,0)</f>
        <v>20222</v>
      </c>
    </row>
    <row r="5" spans="1:3" x14ac:dyDescent="0.25">
      <c r="A5" s="2" t="s">
        <v>55</v>
      </c>
      <c r="B5" s="2"/>
      <c r="C5" s="2"/>
    </row>
    <row r="6" spans="1:3" x14ac:dyDescent="0.25">
      <c r="A6" s="2" t="s">
        <v>56</v>
      </c>
      <c r="B6" s="2" t="str">
        <f>VLOOKUP(A6,BS_Standalone!A:C,2,0)</f>
        <v>Non-Current Investments</v>
      </c>
      <c r="C6" s="2">
        <f>VLOOKUP(A6,BS_Standalone!A:C,3,0)</f>
        <v>13748</v>
      </c>
    </row>
    <row r="7" spans="1:3" x14ac:dyDescent="0.25">
      <c r="A7" s="2" t="s">
        <v>57</v>
      </c>
      <c r="B7" s="2" t="str">
        <f>VLOOKUP(A7,BS_Standalone!A:C,2,0)</f>
        <v>Other Non-Current Financial Assets</v>
      </c>
      <c r="C7" s="2">
        <f>VLOOKUP(A7,BS_Standalone!A:C,3,0)</f>
        <v>20216</v>
      </c>
    </row>
    <row r="8" spans="1:3" x14ac:dyDescent="0.25">
      <c r="A8" s="2" t="s">
        <v>58</v>
      </c>
      <c r="B8" s="2" t="str">
        <f>VLOOKUP(A8,BS_Standalone!A:C,2,0)</f>
        <v>Other Non-Current Assets</v>
      </c>
      <c r="C8" s="2">
        <f>VLOOKUP(A8,BS_Standalone!A:C,3,0)</f>
        <v>13753</v>
      </c>
    </row>
    <row r="9" spans="1:3" x14ac:dyDescent="0.25">
      <c r="A9" s="2" t="s">
        <v>59</v>
      </c>
      <c r="B9" s="2" t="str">
        <f>VLOOKUP(A9,BS_Standalone!A:C,2,0)</f>
        <v>Deferred Tax Assets (Net)</v>
      </c>
      <c r="C9" s="2">
        <f>VLOOKUP(A9,BS_Standalone!A:C,3,0)</f>
        <v>13726</v>
      </c>
    </row>
    <row r="10" spans="1:3" x14ac:dyDescent="0.25">
      <c r="A10" s="2" t="s">
        <v>60</v>
      </c>
      <c r="B10" s="2"/>
      <c r="C10" s="2"/>
    </row>
    <row r="11" spans="1:3" x14ac:dyDescent="0.25">
      <c r="A11" s="2" t="s">
        <v>61</v>
      </c>
      <c r="B11" s="2" t="str">
        <f>VLOOKUP(A11,BS_Standalone!A:C,2,0)</f>
        <v>Inventories</v>
      </c>
      <c r="C11" s="2">
        <f>VLOOKUP(A11,BS_Standalone!A:C,3,0)</f>
        <v>13737</v>
      </c>
    </row>
    <row r="12" spans="1:3" x14ac:dyDescent="0.25">
      <c r="A12" s="2" t="s">
        <v>55</v>
      </c>
      <c r="B12" s="2"/>
      <c r="C12" s="2"/>
    </row>
    <row r="13" spans="1:3" x14ac:dyDescent="0.25">
      <c r="A13" s="2" t="s">
        <v>62</v>
      </c>
      <c r="B13" s="2" t="str">
        <f>VLOOKUP(A13,BS_Standalone!A:C,2,0)</f>
        <v>Trade Receivables</v>
      </c>
      <c r="C13" s="2">
        <f>VLOOKUP(A13,BS_Standalone!A:C,3,0)</f>
        <v>13780</v>
      </c>
    </row>
    <row r="14" spans="1:3" x14ac:dyDescent="0.25">
      <c r="A14" s="2" t="s">
        <v>63</v>
      </c>
      <c r="B14" s="2" t="str">
        <f>VLOOKUP(A14,BS_Standalone!A:C,2,0)</f>
        <v>Cash And Cash Equivalents</v>
      </c>
      <c r="C14" s="2">
        <f>VLOOKUP(A14,BS_Standalone!A:C,3,0)</f>
        <v>13722</v>
      </c>
    </row>
    <row r="15" spans="1:3" x14ac:dyDescent="0.25">
      <c r="A15" s="2" t="s">
        <v>57</v>
      </c>
      <c r="B15" s="2" t="s">
        <v>172</v>
      </c>
      <c r="C15" s="2">
        <v>20231</v>
      </c>
    </row>
    <row r="16" spans="1:3" x14ac:dyDescent="0.25">
      <c r="A16" s="2" t="s">
        <v>64</v>
      </c>
      <c r="B16" s="2" t="str">
        <f>VLOOKUP(A16,BS_Standalone!A:C,2,0)</f>
        <v>Other Current Assets</v>
      </c>
      <c r="C16" s="2">
        <f>VLOOKUP(A16,BS_Standalone!A:C,3,0)</f>
        <v>13750</v>
      </c>
    </row>
    <row r="17" spans="1:3" x14ac:dyDescent="0.25">
      <c r="A17" s="2" t="s">
        <v>65</v>
      </c>
      <c r="B17" s="2"/>
      <c r="C17" s="2"/>
    </row>
    <row r="18" spans="1:3" x14ac:dyDescent="0.25">
      <c r="A18" s="2" t="s">
        <v>66</v>
      </c>
      <c r="B18" s="2"/>
      <c r="C18" s="2"/>
    </row>
    <row r="19" spans="1:3" x14ac:dyDescent="0.25">
      <c r="A19" s="2" t="s">
        <v>67</v>
      </c>
      <c r="B19" s="2" t="str">
        <f>VLOOKUP(A19,BS_Standalone!A:C,2,0)</f>
        <v>Share Capital</v>
      </c>
      <c r="C19" s="2">
        <f>VLOOKUP(A19,BS_Standalone!A:C,3,0)</f>
        <v>13765</v>
      </c>
    </row>
    <row r="20" spans="1:3" x14ac:dyDescent="0.25">
      <c r="A20" s="2" t="s">
        <v>68</v>
      </c>
      <c r="B20" s="2" t="str">
        <f>VLOOKUP(A20,BS_Standalone!A:C,2,0)</f>
        <v>Reserves And Surplus/Other Equity</v>
      </c>
      <c r="C20" s="2">
        <f>VLOOKUP(A20,BS_Standalone!A:C,3,0)</f>
        <v>13762</v>
      </c>
    </row>
    <row r="21" spans="1:3" x14ac:dyDescent="0.25">
      <c r="A21" s="2" t="s">
        <v>131</v>
      </c>
      <c r="B21" s="2" t="s">
        <v>175</v>
      </c>
      <c r="C21" s="2">
        <v>13745</v>
      </c>
    </row>
    <row r="22" spans="1:3" x14ac:dyDescent="0.25">
      <c r="A22" s="2" t="s">
        <v>69</v>
      </c>
      <c r="B22" s="2"/>
      <c r="C22" s="2"/>
    </row>
    <row r="23" spans="1:3" x14ac:dyDescent="0.25">
      <c r="A23" s="2" t="s">
        <v>70</v>
      </c>
      <c r="B23" s="2"/>
      <c r="C23" s="2"/>
    </row>
    <row r="24" spans="1:3" x14ac:dyDescent="0.25">
      <c r="A24" s="2" t="s">
        <v>71</v>
      </c>
      <c r="B24" s="2"/>
      <c r="C24" s="2"/>
    </row>
    <row r="25" spans="1:3" x14ac:dyDescent="0.25">
      <c r="A25" s="2" t="s">
        <v>72</v>
      </c>
      <c r="B25" s="2" t="str">
        <f>VLOOKUP(A25,BS_Standalone!A:C,2,0)</f>
        <v>Borrowings</v>
      </c>
      <c r="C25" s="2">
        <f>VLOOKUP(A25,BS_Standalone!A:C,3,0)</f>
        <v>20223</v>
      </c>
    </row>
    <row r="26" spans="1:3" x14ac:dyDescent="0.25">
      <c r="A26" s="2" t="s">
        <v>73</v>
      </c>
      <c r="B26" s="2" t="str">
        <f>VLOOKUP(A26,BS_Standalone!A:C,2,0)</f>
        <v>Long-Term Provisions</v>
      </c>
      <c r="C26" s="2">
        <f>VLOOKUP(A26,BS_Standalone!A:C,3,0)</f>
        <v>13743</v>
      </c>
    </row>
    <row r="27" spans="1:3" x14ac:dyDescent="0.25">
      <c r="A27" s="2" t="s">
        <v>74</v>
      </c>
      <c r="B27" s="2"/>
      <c r="C27" s="2"/>
    </row>
    <row r="28" spans="1:3" x14ac:dyDescent="0.25">
      <c r="A28" s="2" t="s">
        <v>71</v>
      </c>
      <c r="B28" s="2"/>
      <c r="C28" s="2"/>
    </row>
    <row r="29" spans="1:3" x14ac:dyDescent="0.25">
      <c r="A29" s="2" t="s">
        <v>72</v>
      </c>
      <c r="B29" s="2" t="s">
        <v>72</v>
      </c>
      <c r="C29" s="2">
        <v>20209</v>
      </c>
    </row>
    <row r="30" spans="1:3" x14ac:dyDescent="0.25">
      <c r="A30" s="4" t="s">
        <v>75</v>
      </c>
      <c r="B30" s="4"/>
      <c r="C30" s="4"/>
    </row>
    <row r="31" spans="1:3" x14ac:dyDescent="0.25">
      <c r="A31" s="3" t="s">
        <v>76</v>
      </c>
      <c r="B31" s="3" t="str">
        <f>VLOOKUP(A31,BS_Standalone!A:C,2,0)</f>
        <v>Trade Payables</v>
      </c>
      <c r="C31" s="3">
        <f>VLOOKUP(A31,BS_Standalone!A:C,3,0)</f>
        <v>13779</v>
      </c>
    </row>
    <row r="32" spans="1:3" x14ac:dyDescent="0.25">
      <c r="A32" s="3" t="s">
        <v>77</v>
      </c>
      <c r="B32" s="3" t="str">
        <f>VLOOKUP(A32,BS_Standalone!A:C,2,0)</f>
        <v>Trade Payables</v>
      </c>
      <c r="C32" s="3">
        <f>VLOOKUP(A32,BS_Standalone!A:C,3,0)</f>
        <v>13779</v>
      </c>
    </row>
    <row r="33" spans="1:3" x14ac:dyDescent="0.25">
      <c r="A33" s="2" t="s">
        <v>78</v>
      </c>
      <c r="B33" s="2" t="str">
        <f>VLOOKUP(A33,BS_Standalone!A:C,2,0)</f>
        <v>Other Current Financial Liabilities</v>
      </c>
      <c r="C33" s="2">
        <f>VLOOKUP(A33,BS_Standalone!A:C,3,0)</f>
        <v>20214</v>
      </c>
    </row>
    <row r="34" spans="1:3" x14ac:dyDescent="0.25">
      <c r="A34" s="2" t="s">
        <v>79</v>
      </c>
      <c r="B34" s="2" t="str">
        <f>VLOOKUP(A34,BS_Standalone!A:C,2,0)</f>
        <v>Other liabilities</v>
      </c>
      <c r="C34" s="2">
        <f>VLOOKUP(A34,BS_Standalone!A:C,3,0)</f>
        <v>26450</v>
      </c>
    </row>
    <row r="35" spans="1:3" x14ac:dyDescent="0.25">
      <c r="A35" s="2" t="s">
        <v>73</v>
      </c>
      <c r="B35" s="2" t="s">
        <v>174</v>
      </c>
      <c r="C35" s="2">
        <v>13767</v>
      </c>
    </row>
  </sheetData>
  <conditionalFormatting sqref="C1:C1048576">
    <cfRule type="duplicateValues" dxfId="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zoomScaleNormal="100" workbookViewId="0"/>
  </sheetViews>
  <sheetFormatPr defaultColWidth="8.5703125" defaultRowHeight="15" x14ac:dyDescent="0.25"/>
  <cols>
    <col min="1" max="1" width="54.570312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80</v>
      </c>
      <c r="B2" s="2"/>
      <c r="C2" s="2"/>
    </row>
    <row r="3" spans="1:3" x14ac:dyDescent="0.25">
      <c r="A3" s="2" t="s">
        <v>81</v>
      </c>
      <c r="B3" s="2" t="s">
        <v>192</v>
      </c>
      <c r="C3" s="2">
        <v>17539</v>
      </c>
    </row>
    <row r="4" spans="1:3" x14ac:dyDescent="0.25">
      <c r="A4" s="2" t="s">
        <v>82</v>
      </c>
      <c r="B4" s="2"/>
      <c r="C4" s="2"/>
    </row>
    <row r="5" spans="1:3" x14ac:dyDescent="0.25">
      <c r="A5" s="2" t="s">
        <v>83</v>
      </c>
      <c r="B5" s="2" t="s">
        <v>176</v>
      </c>
      <c r="C5" s="2">
        <v>30399</v>
      </c>
    </row>
    <row r="6" spans="1:3" x14ac:dyDescent="0.25">
      <c r="A6" s="3" t="s">
        <v>84</v>
      </c>
      <c r="B6" s="3" t="s">
        <v>177</v>
      </c>
      <c r="C6" s="3">
        <v>30520</v>
      </c>
    </row>
    <row r="7" spans="1:3" x14ac:dyDescent="0.25">
      <c r="A7" s="2" t="s">
        <v>85</v>
      </c>
      <c r="B7" s="2" t="s">
        <v>85</v>
      </c>
      <c r="C7" s="2">
        <v>30481</v>
      </c>
    </row>
    <row r="8" spans="1:3" x14ac:dyDescent="0.25">
      <c r="A8" s="2" t="s">
        <v>86</v>
      </c>
      <c r="B8" s="2" t="s">
        <v>86</v>
      </c>
      <c r="C8" s="2">
        <v>30361</v>
      </c>
    </row>
    <row r="9" spans="1:3" x14ac:dyDescent="0.25">
      <c r="A9" s="2" t="s">
        <v>87</v>
      </c>
      <c r="B9" s="2" t="s">
        <v>208</v>
      </c>
      <c r="C9" s="4">
        <v>30479</v>
      </c>
    </row>
    <row r="10" spans="1:3" x14ac:dyDescent="0.25">
      <c r="A10" s="3" t="s">
        <v>88</v>
      </c>
      <c r="B10" s="3" t="s">
        <v>177</v>
      </c>
      <c r="C10" s="3">
        <v>30520</v>
      </c>
    </row>
    <row r="11" spans="1:3" x14ac:dyDescent="0.25">
      <c r="A11" s="3" t="s">
        <v>89</v>
      </c>
      <c r="B11" s="3" t="s">
        <v>193</v>
      </c>
      <c r="C11" s="3">
        <v>17542</v>
      </c>
    </row>
    <row r="12" spans="1:3" x14ac:dyDescent="0.25">
      <c r="A12" s="3" t="s">
        <v>90</v>
      </c>
      <c r="B12" s="3" t="s">
        <v>193</v>
      </c>
      <c r="C12" s="3">
        <v>17542</v>
      </c>
    </row>
    <row r="13" spans="1:3" x14ac:dyDescent="0.25">
      <c r="A13" s="3" t="s">
        <v>91</v>
      </c>
      <c r="B13" s="3" t="s">
        <v>193</v>
      </c>
      <c r="C13" s="3">
        <v>17542</v>
      </c>
    </row>
    <row r="14" spans="1:3" x14ac:dyDescent="0.25">
      <c r="A14" s="3" t="s">
        <v>92</v>
      </c>
      <c r="B14" s="3" t="s">
        <v>193</v>
      </c>
      <c r="C14" s="3">
        <v>17542</v>
      </c>
    </row>
    <row r="15" spans="1:3" x14ac:dyDescent="0.25">
      <c r="A15" s="2" t="s">
        <v>93</v>
      </c>
      <c r="B15" s="2"/>
      <c r="C15" s="2"/>
    </row>
    <row r="16" spans="1:3" x14ac:dyDescent="0.25">
      <c r="A16" s="2" t="s">
        <v>62</v>
      </c>
      <c r="B16" s="2" t="s">
        <v>178</v>
      </c>
      <c r="C16" s="2">
        <v>30674</v>
      </c>
    </row>
    <row r="17" spans="1:3" x14ac:dyDescent="0.25">
      <c r="A17" s="4" t="s">
        <v>94</v>
      </c>
      <c r="B17" s="4" t="s">
        <v>179</v>
      </c>
      <c r="C17" s="4">
        <v>30452</v>
      </c>
    </row>
    <row r="18" spans="1:3" x14ac:dyDescent="0.25">
      <c r="A18" s="3" t="s">
        <v>95</v>
      </c>
      <c r="B18" s="3" t="s">
        <v>180</v>
      </c>
      <c r="C18" s="3">
        <v>30518</v>
      </c>
    </row>
    <row r="19" spans="1:3" x14ac:dyDescent="0.25">
      <c r="A19" s="4" t="s">
        <v>96</v>
      </c>
      <c r="B19" s="4" t="s">
        <v>211</v>
      </c>
      <c r="C19" s="4">
        <v>30451</v>
      </c>
    </row>
    <row r="20" spans="1:3" x14ac:dyDescent="0.25">
      <c r="A20" s="3" t="s">
        <v>97</v>
      </c>
      <c r="B20" s="3" t="s">
        <v>180</v>
      </c>
      <c r="C20" s="3">
        <v>30518</v>
      </c>
    </row>
    <row r="21" spans="1:3" x14ac:dyDescent="0.25">
      <c r="A21" s="2" t="s">
        <v>61</v>
      </c>
      <c r="B21" s="2" t="s">
        <v>61</v>
      </c>
      <c r="C21" s="2">
        <v>30487</v>
      </c>
    </row>
    <row r="22" spans="1:3" x14ac:dyDescent="0.25">
      <c r="A22" s="2" t="s">
        <v>98</v>
      </c>
      <c r="B22" s="2" t="s">
        <v>181</v>
      </c>
      <c r="C22" s="2">
        <v>30675</v>
      </c>
    </row>
    <row r="23" spans="1:3" x14ac:dyDescent="0.25">
      <c r="A23" s="3" t="s">
        <v>99</v>
      </c>
      <c r="B23" s="3" t="s">
        <v>73</v>
      </c>
      <c r="C23" s="3">
        <v>30627</v>
      </c>
    </row>
    <row r="24" spans="1:3" x14ac:dyDescent="0.25">
      <c r="A24" s="2" t="s">
        <v>100</v>
      </c>
      <c r="B24" s="2" t="s">
        <v>182</v>
      </c>
      <c r="C24" s="2">
        <v>30519</v>
      </c>
    </row>
    <row r="25" spans="1:3" x14ac:dyDescent="0.25">
      <c r="A25" s="3" t="s">
        <v>101</v>
      </c>
      <c r="B25" s="3" t="s">
        <v>73</v>
      </c>
      <c r="C25" s="3">
        <v>30627</v>
      </c>
    </row>
    <row r="26" spans="1:3" x14ac:dyDescent="0.25">
      <c r="A26" s="2" t="s">
        <v>102</v>
      </c>
      <c r="B26" s="2" t="s">
        <v>183</v>
      </c>
      <c r="C26" s="2">
        <v>30454</v>
      </c>
    </row>
    <row r="27" spans="1:3" x14ac:dyDescent="0.25">
      <c r="A27" s="2" t="s">
        <v>103</v>
      </c>
      <c r="B27" s="2" t="s">
        <v>184</v>
      </c>
      <c r="C27" s="2">
        <v>30372</v>
      </c>
    </row>
    <row r="28" spans="1:3" x14ac:dyDescent="0.25">
      <c r="A28" s="2" t="s">
        <v>104</v>
      </c>
      <c r="B28" s="2" t="s">
        <v>185</v>
      </c>
      <c r="C28" s="2">
        <v>30422</v>
      </c>
    </row>
    <row r="29" spans="1:3" x14ac:dyDescent="0.25">
      <c r="A29" s="2" t="s">
        <v>105</v>
      </c>
      <c r="B29" s="2" t="s">
        <v>186</v>
      </c>
      <c r="C29" s="2">
        <v>17538</v>
      </c>
    </row>
    <row r="30" spans="1:3" x14ac:dyDescent="0.25">
      <c r="A30" s="2" t="s">
        <v>106</v>
      </c>
      <c r="B30" s="2"/>
      <c r="C30" s="2"/>
    </row>
    <row r="31" spans="1:3" x14ac:dyDescent="0.25">
      <c r="A31" s="2" t="s">
        <v>54</v>
      </c>
      <c r="B31" s="2" t="s">
        <v>194</v>
      </c>
      <c r="C31" s="2">
        <v>17556</v>
      </c>
    </row>
    <row r="32" spans="1:3" x14ac:dyDescent="0.25">
      <c r="A32" s="2" t="s">
        <v>107</v>
      </c>
      <c r="B32" s="2" t="s">
        <v>195</v>
      </c>
      <c r="C32" s="2">
        <v>30662</v>
      </c>
    </row>
    <row r="33" spans="1:3" x14ac:dyDescent="0.25">
      <c r="A33" s="2" t="s">
        <v>85</v>
      </c>
      <c r="B33" s="2" t="s">
        <v>196</v>
      </c>
      <c r="C33" s="2">
        <v>30485</v>
      </c>
    </row>
    <row r="34" spans="1:3" x14ac:dyDescent="0.25">
      <c r="A34" s="2" t="s">
        <v>108</v>
      </c>
      <c r="B34" s="2" t="s">
        <v>187</v>
      </c>
      <c r="C34" s="2">
        <v>17537</v>
      </c>
    </row>
    <row r="35" spans="1:3" x14ac:dyDescent="0.25">
      <c r="A35" s="2" t="s">
        <v>109</v>
      </c>
      <c r="B35" s="2"/>
      <c r="C35" s="2"/>
    </row>
    <row r="36" spans="1:3" x14ac:dyDescent="0.25">
      <c r="A36" s="2" t="s">
        <v>110</v>
      </c>
      <c r="B36" s="2" t="s">
        <v>197</v>
      </c>
      <c r="C36" s="2">
        <v>17555</v>
      </c>
    </row>
    <row r="37" spans="1:3" x14ac:dyDescent="0.25">
      <c r="A37" s="2" t="s">
        <v>111</v>
      </c>
      <c r="B37" s="2" t="s">
        <v>198</v>
      </c>
      <c r="C37" s="2">
        <v>17554</v>
      </c>
    </row>
    <row r="38" spans="1:3" x14ac:dyDescent="0.25">
      <c r="A38" s="2" t="s">
        <v>112</v>
      </c>
      <c r="B38" s="2" t="s">
        <v>112</v>
      </c>
      <c r="C38" s="4">
        <v>30484</v>
      </c>
    </row>
    <row r="39" spans="1:3" x14ac:dyDescent="0.25">
      <c r="A39" s="2" t="s">
        <v>113</v>
      </c>
      <c r="B39" s="2" t="s">
        <v>188</v>
      </c>
      <c r="C39" s="2">
        <v>17536</v>
      </c>
    </row>
    <row r="40" spans="1:3" x14ac:dyDescent="0.25">
      <c r="A40" s="2" t="s">
        <v>114</v>
      </c>
      <c r="B40" s="2" t="s">
        <v>189</v>
      </c>
      <c r="C40" s="2">
        <v>17541</v>
      </c>
    </row>
    <row r="41" spans="1:3" x14ac:dyDescent="0.25">
      <c r="A41" s="2" t="s">
        <v>115</v>
      </c>
      <c r="B41" s="2" t="s">
        <v>190</v>
      </c>
      <c r="C41" s="2">
        <v>17519</v>
      </c>
    </row>
    <row r="42" spans="1:3" x14ac:dyDescent="0.25">
      <c r="A42" s="2" t="s">
        <v>116</v>
      </c>
      <c r="B42" s="2" t="s">
        <v>191</v>
      </c>
      <c r="C42" s="2">
        <v>30371</v>
      </c>
    </row>
    <row r="43" spans="1:3" x14ac:dyDescent="0.25">
      <c r="A43" s="2" t="s">
        <v>117</v>
      </c>
      <c r="B43" s="2"/>
      <c r="C43" s="2"/>
    </row>
    <row r="44" spans="1:3" x14ac:dyDescent="0.25">
      <c r="A44" s="2" t="s">
        <v>118</v>
      </c>
      <c r="B44" s="2"/>
      <c r="C44" s="2"/>
    </row>
    <row r="45" spans="1:3" x14ac:dyDescent="0.25">
      <c r="A45" s="2" t="s">
        <v>119</v>
      </c>
      <c r="B45" s="2"/>
      <c r="C45" s="2"/>
    </row>
    <row r="46" spans="1:3" x14ac:dyDescent="0.25">
      <c r="A46" s="2" t="s">
        <v>120</v>
      </c>
      <c r="B46" s="2"/>
      <c r="C46" s="2"/>
    </row>
    <row r="47" spans="1:3" x14ac:dyDescent="0.25">
      <c r="A47" s="2" t="s">
        <v>121</v>
      </c>
      <c r="B47" s="2"/>
      <c r="C47" s="2"/>
    </row>
    <row r="48" spans="1:3" x14ac:dyDescent="0.25">
      <c r="A48" s="2" t="s">
        <v>122</v>
      </c>
      <c r="B48" s="2"/>
      <c r="C48" s="2"/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8"/>
  <sheetViews>
    <sheetView zoomScaleNormal="100" workbookViewId="0"/>
  </sheetViews>
  <sheetFormatPr defaultColWidth="8.5703125" defaultRowHeight="15" x14ac:dyDescent="0.25"/>
  <cols>
    <col min="1" max="1" width="54.570312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80</v>
      </c>
      <c r="B2" s="2"/>
      <c r="C2" s="2"/>
    </row>
    <row r="3" spans="1:3" x14ac:dyDescent="0.25">
      <c r="A3" s="2" t="s">
        <v>81</v>
      </c>
      <c r="B3" s="2" t="s">
        <v>192</v>
      </c>
      <c r="C3" s="2">
        <v>17539</v>
      </c>
    </row>
    <row r="4" spans="1:3" x14ac:dyDescent="0.25">
      <c r="A4" s="2" t="s">
        <v>82</v>
      </c>
      <c r="B4" s="2"/>
      <c r="C4" s="2"/>
    </row>
    <row r="5" spans="1:3" x14ac:dyDescent="0.25">
      <c r="A5" s="2" t="s">
        <v>83</v>
      </c>
      <c r="B5" s="2" t="s">
        <v>176</v>
      </c>
      <c r="C5" s="2">
        <v>30399</v>
      </c>
    </row>
    <row r="6" spans="1:3" x14ac:dyDescent="0.25">
      <c r="A6" s="3" t="s">
        <v>84</v>
      </c>
      <c r="B6" s="3" t="s">
        <v>177</v>
      </c>
      <c r="C6" s="3">
        <v>30520</v>
      </c>
    </row>
    <row r="7" spans="1:3" x14ac:dyDescent="0.25">
      <c r="A7" s="2" t="s">
        <v>85</v>
      </c>
      <c r="B7" s="2" t="s">
        <v>85</v>
      </c>
      <c r="C7" s="2">
        <v>30481</v>
      </c>
    </row>
    <row r="8" spans="1:3" x14ac:dyDescent="0.25">
      <c r="A8" s="2" t="s">
        <v>86</v>
      </c>
      <c r="B8" s="2" t="s">
        <v>86</v>
      </c>
      <c r="C8" s="2">
        <v>30361</v>
      </c>
    </row>
    <row r="9" spans="1:3" x14ac:dyDescent="0.25">
      <c r="A9" s="2" t="s">
        <v>87</v>
      </c>
      <c r="B9" s="2" t="s">
        <v>208</v>
      </c>
      <c r="C9" s="2">
        <v>30479</v>
      </c>
    </row>
    <row r="10" spans="1:3" x14ac:dyDescent="0.25">
      <c r="A10" s="3" t="s">
        <v>88</v>
      </c>
      <c r="B10" s="3" t="s">
        <v>177</v>
      </c>
      <c r="C10" s="3">
        <v>30520</v>
      </c>
    </row>
    <row r="11" spans="1:3" x14ac:dyDescent="0.25">
      <c r="A11" s="3" t="s">
        <v>89</v>
      </c>
      <c r="B11" s="3" t="s">
        <v>193</v>
      </c>
      <c r="C11" s="3">
        <v>17542</v>
      </c>
    </row>
    <row r="12" spans="1:3" x14ac:dyDescent="0.25">
      <c r="A12" s="3" t="s">
        <v>90</v>
      </c>
      <c r="B12" s="3" t="s">
        <v>193</v>
      </c>
      <c r="C12" s="3">
        <v>17542</v>
      </c>
    </row>
    <row r="13" spans="1:3" x14ac:dyDescent="0.25">
      <c r="A13" s="3" t="s">
        <v>91</v>
      </c>
      <c r="B13" s="3" t="s">
        <v>193</v>
      </c>
      <c r="C13" s="3">
        <v>17542</v>
      </c>
    </row>
    <row r="14" spans="1:3" x14ac:dyDescent="0.25">
      <c r="A14" s="3" t="s">
        <v>92</v>
      </c>
      <c r="B14" s="3" t="s">
        <v>193</v>
      </c>
      <c r="C14" s="3">
        <v>17542</v>
      </c>
    </row>
    <row r="15" spans="1:3" x14ac:dyDescent="0.25">
      <c r="A15" s="2" t="s">
        <v>93</v>
      </c>
      <c r="B15" s="2"/>
      <c r="C15" s="2"/>
    </row>
    <row r="16" spans="1:3" x14ac:dyDescent="0.25">
      <c r="A16" s="2" t="s">
        <v>62</v>
      </c>
      <c r="B16" s="2" t="s">
        <v>178</v>
      </c>
      <c r="C16" s="2">
        <v>30674</v>
      </c>
    </row>
    <row r="17" spans="1:3" x14ac:dyDescent="0.25">
      <c r="A17" s="4" t="s">
        <v>94</v>
      </c>
      <c r="B17" s="4" t="s">
        <v>179</v>
      </c>
      <c r="C17" s="4">
        <v>30452</v>
      </c>
    </row>
    <row r="18" spans="1:3" x14ac:dyDescent="0.25">
      <c r="A18" s="3" t="s">
        <v>95</v>
      </c>
      <c r="B18" s="3" t="s">
        <v>180</v>
      </c>
      <c r="C18" s="3">
        <v>30518</v>
      </c>
    </row>
    <row r="19" spans="1:3" x14ac:dyDescent="0.25">
      <c r="A19" s="4" t="s">
        <v>96</v>
      </c>
      <c r="B19" s="2" t="s">
        <v>211</v>
      </c>
      <c r="C19" s="4">
        <v>30451</v>
      </c>
    </row>
    <row r="20" spans="1:3" x14ac:dyDescent="0.25">
      <c r="A20" s="3" t="s">
        <v>97</v>
      </c>
      <c r="B20" s="3" t="s">
        <v>180</v>
      </c>
      <c r="C20" s="3">
        <v>30518</v>
      </c>
    </row>
    <row r="21" spans="1:3" x14ac:dyDescent="0.25">
      <c r="A21" s="2" t="s">
        <v>61</v>
      </c>
      <c r="B21" s="2" t="s">
        <v>61</v>
      </c>
      <c r="C21" s="2">
        <v>30487</v>
      </c>
    </row>
    <row r="22" spans="1:3" x14ac:dyDescent="0.25">
      <c r="A22" s="2" t="s">
        <v>98</v>
      </c>
      <c r="B22" s="2" t="s">
        <v>181</v>
      </c>
      <c r="C22" s="2">
        <v>30675</v>
      </c>
    </row>
    <row r="23" spans="1:3" x14ac:dyDescent="0.25">
      <c r="A23" s="3" t="s">
        <v>99</v>
      </c>
      <c r="B23" s="3" t="s">
        <v>73</v>
      </c>
      <c r="C23" s="3">
        <v>30627</v>
      </c>
    </row>
    <row r="24" spans="1:3" x14ac:dyDescent="0.25">
      <c r="A24" s="2" t="s">
        <v>100</v>
      </c>
      <c r="B24" s="2" t="s">
        <v>182</v>
      </c>
      <c r="C24" s="2">
        <v>30519</v>
      </c>
    </row>
    <row r="25" spans="1:3" x14ac:dyDescent="0.25">
      <c r="A25" s="3" t="s">
        <v>101</v>
      </c>
      <c r="B25" s="3" t="s">
        <v>73</v>
      </c>
      <c r="C25" s="3">
        <v>30627</v>
      </c>
    </row>
    <row r="26" spans="1:3" x14ac:dyDescent="0.25">
      <c r="A26" s="2" t="s">
        <v>102</v>
      </c>
      <c r="B26" s="2" t="s">
        <v>183</v>
      </c>
      <c r="C26" s="2">
        <v>30454</v>
      </c>
    </row>
    <row r="27" spans="1:3" x14ac:dyDescent="0.25">
      <c r="A27" s="2" t="s">
        <v>103</v>
      </c>
      <c r="B27" s="2" t="s">
        <v>184</v>
      </c>
      <c r="C27" s="2">
        <v>30372</v>
      </c>
    </row>
    <row r="28" spans="1:3" x14ac:dyDescent="0.25">
      <c r="A28" s="2" t="s">
        <v>104</v>
      </c>
      <c r="B28" s="2" t="s">
        <v>185</v>
      </c>
      <c r="C28" s="2">
        <v>30422</v>
      </c>
    </row>
    <row r="29" spans="1:3" x14ac:dyDescent="0.25">
      <c r="A29" s="2" t="s">
        <v>105</v>
      </c>
      <c r="B29" s="2" t="s">
        <v>186</v>
      </c>
      <c r="C29" s="2">
        <v>17538</v>
      </c>
    </row>
    <row r="30" spans="1:3" x14ac:dyDescent="0.25">
      <c r="A30" s="2" t="s">
        <v>106</v>
      </c>
      <c r="B30" s="2"/>
      <c r="C30" s="2"/>
    </row>
    <row r="31" spans="1:3" x14ac:dyDescent="0.25">
      <c r="A31" s="2" t="s">
        <v>54</v>
      </c>
      <c r="B31" s="2" t="s">
        <v>194</v>
      </c>
      <c r="C31" s="2">
        <v>17556</v>
      </c>
    </row>
    <row r="32" spans="1:3" x14ac:dyDescent="0.25">
      <c r="A32" s="2" t="s">
        <v>107</v>
      </c>
      <c r="B32" s="2" t="s">
        <v>195</v>
      </c>
      <c r="C32" s="2">
        <v>30662</v>
      </c>
    </row>
    <row r="33" spans="1:3" x14ac:dyDescent="0.25">
      <c r="A33" s="2" t="s">
        <v>85</v>
      </c>
      <c r="B33" s="2" t="s">
        <v>196</v>
      </c>
      <c r="C33" s="2">
        <v>30485</v>
      </c>
    </row>
    <row r="34" spans="1:3" x14ac:dyDescent="0.25">
      <c r="A34" s="2" t="s">
        <v>108</v>
      </c>
      <c r="B34" s="2" t="s">
        <v>187</v>
      </c>
      <c r="C34" s="2">
        <v>17537</v>
      </c>
    </row>
    <row r="35" spans="1:3" x14ac:dyDescent="0.25">
      <c r="A35" s="2" t="s">
        <v>109</v>
      </c>
      <c r="B35" s="2"/>
      <c r="C35" s="2"/>
    </row>
    <row r="36" spans="1:3" x14ac:dyDescent="0.25">
      <c r="A36" s="2" t="s">
        <v>132</v>
      </c>
      <c r="B36" s="2" t="s">
        <v>197</v>
      </c>
      <c r="C36" s="2">
        <v>17555</v>
      </c>
    </row>
    <row r="37" spans="1:3" x14ac:dyDescent="0.25">
      <c r="A37" s="2" t="s">
        <v>111</v>
      </c>
      <c r="B37" s="2" t="s">
        <v>198</v>
      </c>
      <c r="C37" s="2">
        <v>17554</v>
      </c>
    </row>
    <row r="38" spans="1:3" x14ac:dyDescent="0.25">
      <c r="A38" s="2" t="s">
        <v>112</v>
      </c>
      <c r="B38" s="2" t="s">
        <v>112</v>
      </c>
      <c r="C38" s="4">
        <v>30484</v>
      </c>
    </row>
    <row r="39" spans="1:3" x14ac:dyDescent="0.25">
      <c r="A39" s="2" t="s">
        <v>113</v>
      </c>
      <c r="B39" s="2" t="s">
        <v>188</v>
      </c>
      <c r="C39" s="2">
        <v>17536</v>
      </c>
    </row>
    <row r="40" spans="1:3" x14ac:dyDescent="0.25">
      <c r="A40" s="2" t="s">
        <v>114</v>
      </c>
      <c r="B40" s="2" t="s">
        <v>189</v>
      </c>
      <c r="C40" s="2">
        <v>17541</v>
      </c>
    </row>
    <row r="41" spans="1:3" x14ac:dyDescent="0.25">
      <c r="A41" s="2" t="s">
        <v>115</v>
      </c>
      <c r="B41" s="2" t="s">
        <v>190</v>
      </c>
      <c r="C41" s="2">
        <v>17519</v>
      </c>
    </row>
    <row r="42" spans="1:3" x14ac:dyDescent="0.25">
      <c r="A42" s="2" t="s">
        <v>116</v>
      </c>
      <c r="B42" s="2" t="s">
        <v>191</v>
      </c>
      <c r="C42" s="2">
        <v>30371</v>
      </c>
    </row>
    <row r="43" spans="1:3" x14ac:dyDescent="0.25">
      <c r="A43" s="2" t="s">
        <v>117</v>
      </c>
      <c r="B43" s="2"/>
      <c r="C43" s="2"/>
    </row>
    <row r="44" spans="1:3" x14ac:dyDescent="0.25">
      <c r="A44" s="2" t="s">
        <v>118</v>
      </c>
      <c r="B44" s="2"/>
      <c r="C44" s="2"/>
    </row>
    <row r="45" spans="1:3" x14ac:dyDescent="0.25">
      <c r="A45" s="2" t="s">
        <v>119</v>
      </c>
      <c r="B45" s="2"/>
      <c r="C45" s="2"/>
    </row>
    <row r="46" spans="1:3" x14ac:dyDescent="0.25">
      <c r="A46" s="2" t="s">
        <v>133</v>
      </c>
      <c r="B46" s="2"/>
      <c r="C46" s="2"/>
    </row>
    <row r="47" spans="1:3" x14ac:dyDescent="0.25">
      <c r="A47" s="2" t="s">
        <v>134</v>
      </c>
      <c r="B47" s="2"/>
      <c r="C47" s="2"/>
    </row>
    <row r="48" spans="1:3" x14ac:dyDescent="0.25">
      <c r="A48" s="2" t="s">
        <v>122</v>
      </c>
      <c r="B48" s="2"/>
      <c r="C48" s="2"/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zoomScaleNormal="100" workbookViewId="0"/>
  </sheetViews>
  <sheetFormatPr defaultColWidth="8.5703125" defaultRowHeight="15" x14ac:dyDescent="0.25"/>
  <cols>
    <col min="1" max="1" width="70" bestFit="1" customWidth="1"/>
    <col min="2" max="2" width="34.140625" bestFit="1" customWidth="1"/>
    <col min="3" max="3" width="6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34</v>
      </c>
      <c r="B2" s="2"/>
      <c r="C2" s="2"/>
    </row>
    <row r="3" spans="1:3" x14ac:dyDescent="0.25">
      <c r="A3" s="2" t="s">
        <v>35</v>
      </c>
      <c r="B3" s="2" t="s">
        <v>199</v>
      </c>
      <c r="C3" s="2"/>
    </row>
    <row r="4" spans="1:3" x14ac:dyDescent="0.25">
      <c r="A4" s="2" t="s">
        <v>36</v>
      </c>
      <c r="B4" s="2" t="s">
        <v>199</v>
      </c>
      <c r="C4" s="2"/>
    </row>
    <row r="5" spans="1:3" x14ac:dyDescent="0.25">
      <c r="A5" s="2" t="s">
        <v>37</v>
      </c>
      <c r="B5" s="2" t="s">
        <v>199</v>
      </c>
      <c r="C5" s="2"/>
    </row>
    <row r="6" spans="1:3" x14ac:dyDescent="0.25">
      <c r="A6" s="2" t="s">
        <v>38</v>
      </c>
      <c r="B6" s="2" t="s">
        <v>200</v>
      </c>
      <c r="C6" s="2">
        <v>8931</v>
      </c>
    </row>
    <row r="7" spans="1:3" x14ac:dyDescent="0.25">
      <c r="A7" s="2" t="s">
        <v>39</v>
      </c>
      <c r="B7" s="2"/>
      <c r="C7" s="2"/>
    </row>
    <row r="8" spans="1:3" x14ac:dyDescent="0.25">
      <c r="A8" s="2" t="s">
        <v>35</v>
      </c>
      <c r="B8" s="2" t="s">
        <v>199</v>
      </c>
      <c r="C8" s="2"/>
    </row>
    <row r="9" spans="1:3" x14ac:dyDescent="0.25">
      <c r="A9" s="2" t="s">
        <v>36</v>
      </c>
      <c r="B9" s="2" t="s">
        <v>199</v>
      </c>
      <c r="C9" s="2"/>
    </row>
    <row r="10" spans="1:3" x14ac:dyDescent="0.25">
      <c r="A10" s="2" t="s">
        <v>37</v>
      </c>
      <c r="B10" s="2" t="s">
        <v>199</v>
      </c>
      <c r="C10" s="2"/>
    </row>
    <row r="11" spans="1:3" x14ac:dyDescent="0.25">
      <c r="A11" s="2" t="s">
        <v>40</v>
      </c>
      <c r="B11" s="2" t="s">
        <v>213</v>
      </c>
      <c r="C11" s="4">
        <v>8919</v>
      </c>
    </row>
    <row r="12" spans="1:3" x14ac:dyDescent="0.25">
      <c r="A12" s="2" t="s">
        <v>41</v>
      </c>
      <c r="B12" s="2" t="s">
        <v>201</v>
      </c>
      <c r="C12" s="2">
        <v>8927</v>
      </c>
    </row>
    <row r="13" spans="1:3" x14ac:dyDescent="0.25">
      <c r="A13" s="2" t="s">
        <v>42</v>
      </c>
      <c r="B13" s="2" t="s">
        <v>202</v>
      </c>
      <c r="C13" s="2">
        <v>8929</v>
      </c>
    </row>
    <row r="14" spans="1:3" x14ac:dyDescent="0.25">
      <c r="A14" s="2" t="s">
        <v>43</v>
      </c>
      <c r="B14" s="2" t="s">
        <v>3</v>
      </c>
      <c r="C14" s="2">
        <v>14859</v>
      </c>
    </row>
    <row r="15" spans="1:3" x14ac:dyDescent="0.25">
      <c r="A15" s="2" t="s">
        <v>44</v>
      </c>
      <c r="B15" s="2"/>
      <c r="C15" s="2"/>
    </row>
    <row r="16" spans="1:3" x14ac:dyDescent="0.25">
      <c r="A16" s="2" t="s">
        <v>45</v>
      </c>
      <c r="B16" s="2" t="s">
        <v>203</v>
      </c>
      <c r="C16" s="2">
        <v>8926</v>
      </c>
    </row>
    <row r="17" spans="1:3" x14ac:dyDescent="0.25">
      <c r="A17" s="2" t="s">
        <v>46</v>
      </c>
      <c r="B17" s="2"/>
      <c r="C17" s="2"/>
    </row>
    <row r="18" spans="1:3" x14ac:dyDescent="0.25">
      <c r="A18" s="2" t="s">
        <v>47</v>
      </c>
      <c r="B18" s="2" t="s">
        <v>27</v>
      </c>
      <c r="C18" s="2">
        <v>8908</v>
      </c>
    </row>
    <row r="19" spans="1:3" x14ac:dyDescent="0.25">
      <c r="A19" s="2" t="s">
        <v>48</v>
      </c>
      <c r="B19" s="2"/>
      <c r="C19" s="2"/>
    </row>
    <row r="20" spans="1:3" x14ac:dyDescent="0.25">
      <c r="A20" s="2" t="s">
        <v>35</v>
      </c>
      <c r="B20" s="2" t="s">
        <v>199</v>
      </c>
      <c r="C20" s="2"/>
    </row>
    <row r="21" spans="1:3" x14ac:dyDescent="0.25">
      <c r="A21" s="2" t="s">
        <v>36</v>
      </c>
      <c r="B21" s="2" t="s">
        <v>199</v>
      </c>
      <c r="C21" s="2"/>
    </row>
    <row r="22" spans="1:3" x14ac:dyDescent="0.25">
      <c r="A22" s="2" t="s">
        <v>37</v>
      </c>
      <c r="B22" s="2" t="s">
        <v>199</v>
      </c>
      <c r="C22" s="2"/>
    </row>
    <row r="23" spans="1:3" x14ac:dyDescent="0.25">
      <c r="A23" s="2" t="s">
        <v>49</v>
      </c>
      <c r="B23" s="2" t="s">
        <v>204</v>
      </c>
      <c r="C23" s="2">
        <v>18580</v>
      </c>
    </row>
    <row r="24" spans="1:3" x14ac:dyDescent="0.25">
      <c r="A24" s="2" t="s">
        <v>40</v>
      </c>
      <c r="B24" s="2" t="s">
        <v>205</v>
      </c>
      <c r="C24" s="2">
        <v>18578</v>
      </c>
    </row>
    <row r="25" spans="1:3" x14ac:dyDescent="0.25">
      <c r="A25" s="2" t="s">
        <v>50</v>
      </c>
      <c r="B25" s="2"/>
      <c r="C25" s="2"/>
    </row>
    <row r="26" spans="1:3" x14ac:dyDescent="0.25">
      <c r="A26" s="2" t="s">
        <v>35</v>
      </c>
      <c r="B26" s="2" t="s">
        <v>199</v>
      </c>
      <c r="C26" s="2"/>
    </row>
    <row r="27" spans="1:3" x14ac:dyDescent="0.25">
      <c r="A27" s="2" t="s">
        <v>36</v>
      </c>
      <c r="B27" s="2" t="s">
        <v>199</v>
      </c>
      <c r="C27" s="2"/>
    </row>
    <row r="28" spans="1:3" x14ac:dyDescent="0.25">
      <c r="A28" s="2" t="s">
        <v>37</v>
      </c>
      <c r="B28" s="2" t="s">
        <v>199</v>
      </c>
      <c r="C28" s="2"/>
    </row>
    <row r="29" spans="1:3" x14ac:dyDescent="0.25">
      <c r="A29" s="2" t="s">
        <v>49</v>
      </c>
      <c r="B29" s="2" t="s">
        <v>206</v>
      </c>
      <c r="C29" s="2">
        <v>18581</v>
      </c>
    </row>
    <row r="30" spans="1:3" x14ac:dyDescent="0.25">
      <c r="A30" s="2" t="s">
        <v>40</v>
      </c>
      <c r="B30" s="2" t="s">
        <v>207</v>
      </c>
      <c r="C30" s="2">
        <v>18579</v>
      </c>
    </row>
    <row r="31" spans="1:3" x14ac:dyDescent="0.25">
      <c r="A31" s="2" t="s">
        <v>51</v>
      </c>
      <c r="B31" s="2"/>
      <c r="C31" s="2"/>
    </row>
    <row r="32" spans="1:3" x14ac:dyDescent="0.25">
      <c r="A32" s="2" t="s">
        <v>35</v>
      </c>
      <c r="B32" s="2" t="s">
        <v>199</v>
      </c>
      <c r="C32" s="2"/>
    </row>
    <row r="33" spans="1:3" x14ac:dyDescent="0.25">
      <c r="A33" s="2" t="s">
        <v>36</v>
      </c>
      <c r="B33" s="2" t="s">
        <v>199</v>
      </c>
      <c r="C33" s="2"/>
    </row>
    <row r="34" spans="1:3" x14ac:dyDescent="0.25">
      <c r="A34" s="2" t="s">
        <v>37</v>
      </c>
      <c r="B34" s="2" t="s">
        <v>199</v>
      </c>
      <c r="C34" s="2"/>
    </row>
    <row r="35" spans="1:3" x14ac:dyDescent="0.25">
      <c r="A35" s="2" t="s">
        <v>49</v>
      </c>
      <c r="B35" s="5" t="s">
        <v>202</v>
      </c>
      <c r="C35" s="6">
        <v>8918</v>
      </c>
    </row>
    <row r="36" spans="1:3" x14ac:dyDescent="0.25">
      <c r="A36" s="2" t="s">
        <v>40</v>
      </c>
      <c r="B36" s="7" t="s">
        <v>212</v>
      </c>
      <c r="C36" s="8">
        <v>8930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"/>
  <sheetViews>
    <sheetView zoomScaleNormal="100" workbookViewId="0"/>
  </sheetViews>
  <sheetFormatPr defaultColWidth="8.5703125" defaultRowHeight="15" x14ac:dyDescent="0.25"/>
  <cols>
    <col min="1" max="1" width="70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135</v>
      </c>
      <c r="B1" s="1" t="s">
        <v>136</v>
      </c>
      <c r="C1" s="1" t="s">
        <v>137</v>
      </c>
    </row>
    <row r="2" spans="1:3" x14ac:dyDescent="0.25">
      <c r="A2" s="2" t="s">
        <v>34</v>
      </c>
      <c r="B2" s="2"/>
      <c r="C2" s="2"/>
    </row>
    <row r="3" spans="1:3" x14ac:dyDescent="0.25">
      <c r="A3" s="2" t="s">
        <v>35</v>
      </c>
      <c r="B3" s="2" t="s">
        <v>199</v>
      </c>
      <c r="C3" s="2"/>
    </row>
    <row r="4" spans="1:3" x14ac:dyDescent="0.25">
      <c r="A4" s="2" t="s">
        <v>36</v>
      </c>
      <c r="B4" s="2" t="s">
        <v>199</v>
      </c>
      <c r="C4" s="2"/>
    </row>
    <row r="5" spans="1:3" x14ac:dyDescent="0.25">
      <c r="A5" s="2" t="s">
        <v>37</v>
      </c>
      <c r="B5" s="2" t="s">
        <v>199</v>
      </c>
      <c r="C5" s="2"/>
    </row>
    <row r="6" spans="1:3" x14ac:dyDescent="0.25">
      <c r="A6" s="2" t="s">
        <v>38</v>
      </c>
      <c r="B6" s="2" t="s">
        <v>200</v>
      </c>
      <c r="C6" s="2">
        <v>8931</v>
      </c>
    </row>
    <row r="7" spans="1:3" x14ac:dyDescent="0.25">
      <c r="A7" s="2" t="s">
        <v>128</v>
      </c>
      <c r="B7" s="2"/>
      <c r="C7" s="2"/>
    </row>
    <row r="8" spans="1:3" x14ac:dyDescent="0.25">
      <c r="A8" s="2" t="s">
        <v>35</v>
      </c>
      <c r="B8" s="2" t="s">
        <v>199</v>
      </c>
      <c r="C8" s="2"/>
    </row>
    <row r="9" spans="1:3" x14ac:dyDescent="0.25">
      <c r="A9" s="2" t="s">
        <v>36</v>
      </c>
      <c r="B9" s="2" t="s">
        <v>199</v>
      </c>
      <c r="C9" s="2"/>
    </row>
    <row r="10" spans="1:3" x14ac:dyDescent="0.25">
      <c r="A10" s="2" t="s">
        <v>37</v>
      </c>
      <c r="B10" s="2" t="s">
        <v>199</v>
      </c>
      <c r="C10" s="2"/>
    </row>
    <row r="11" spans="1:3" x14ac:dyDescent="0.25">
      <c r="A11" s="2" t="s">
        <v>40</v>
      </c>
      <c r="B11" s="2" t="s">
        <v>213</v>
      </c>
      <c r="C11" s="4">
        <v>8919</v>
      </c>
    </row>
    <row r="12" spans="1:3" x14ac:dyDescent="0.25">
      <c r="A12" s="2" t="s">
        <v>129</v>
      </c>
      <c r="B12" s="2" t="s">
        <v>201</v>
      </c>
      <c r="C12" s="2">
        <v>8927</v>
      </c>
    </row>
    <row r="13" spans="1:3" x14ac:dyDescent="0.25">
      <c r="A13" s="2" t="s">
        <v>42</v>
      </c>
      <c r="B13" s="2" t="s">
        <v>202</v>
      </c>
      <c r="C13" s="2">
        <v>8929</v>
      </c>
    </row>
    <row r="14" spans="1:3" x14ac:dyDescent="0.25">
      <c r="A14" s="2" t="s">
        <v>130</v>
      </c>
      <c r="B14" s="2" t="s">
        <v>85</v>
      </c>
      <c r="C14" s="2">
        <v>8928</v>
      </c>
    </row>
    <row r="15" spans="1:3" x14ac:dyDescent="0.25">
      <c r="A15" s="2" t="s">
        <v>44</v>
      </c>
      <c r="B15" s="2"/>
      <c r="C15" s="2"/>
    </row>
    <row r="16" spans="1:3" x14ac:dyDescent="0.25">
      <c r="A16" s="2" t="s">
        <v>45</v>
      </c>
      <c r="B16" s="2" t="s">
        <v>203</v>
      </c>
      <c r="C16" s="2">
        <v>8926</v>
      </c>
    </row>
    <row r="17" spans="1:3" x14ac:dyDescent="0.25">
      <c r="A17" s="2" t="s">
        <v>46</v>
      </c>
      <c r="B17" s="2"/>
      <c r="C17" s="2"/>
    </row>
    <row r="18" spans="1:3" x14ac:dyDescent="0.25">
      <c r="A18" s="2" t="s">
        <v>47</v>
      </c>
      <c r="B18" s="2" t="s">
        <v>27</v>
      </c>
      <c r="C18" s="2">
        <v>8908</v>
      </c>
    </row>
    <row r="19" spans="1:3" x14ac:dyDescent="0.25">
      <c r="A19" s="2" t="s">
        <v>48</v>
      </c>
      <c r="B19" s="2"/>
      <c r="C19" s="2"/>
    </row>
    <row r="20" spans="1:3" x14ac:dyDescent="0.25">
      <c r="A20" s="2" t="s">
        <v>35</v>
      </c>
      <c r="B20" s="2" t="s">
        <v>199</v>
      </c>
      <c r="C20" s="2"/>
    </row>
    <row r="21" spans="1:3" x14ac:dyDescent="0.25">
      <c r="A21" s="2" t="s">
        <v>36</v>
      </c>
      <c r="B21" s="2" t="s">
        <v>199</v>
      </c>
      <c r="C21" s="2"/>
    </row>
    <row r="22" spans="1:3" x14ac:dyDescent="0.25">
      <c r="A22" s="2" t="s">
        <v>37</v>
      </c>
      <c r="B22" s="2" t="s">
        <v>199</v>
      </c>
      <c r="C22" s="2"/>
    </row>
    <row r="23" spans="1:3" x14ac:dyDescent="0.25">
      <c r="A23" s="2" t="s">
        <v>49</v>
      </c>
      <c r="B23" s="2" t="s">
        <v>204</v>
      </c>
      <c r="C23" s="2">
        <v>18580</v>
      </c>
    </row>
    <row r="24" spans="1:3" x14ac:dyDescent="0.25">
      <c r="A24" s="2" t="s">
        <v>40</v>
      </c>
      <c r="B24" s="2" t="s">
        <v>34</v>
      </c>
      <c r="C24" s="2">
        <v>8920</v>
      </c>
    </row>
    <row r="25" spans="1:3" x14ac:dyDescent="0.25">
      <c r="A25" s="2" t="s">
        <v>50</v>
      </c>
      <c r="B25" s="2"/>
      <c r="C25" s="2"/>
    </row>
    <row r="26" spans="1:3" x14ac:dyDescent="0.25">
      <c r="A26" s="2" t="s">
        <v>35</v>
      </c>
      <c r="B26" s="2" t="s">
        <v>199</v>
      </c>
      <c r="C26" s="2"/>
    </row>
    <row r="27" spans="1:3" x14ac:dyDescent="0.25">
      <c r="A27" s="2" t="s">
        <v>36</v>
      </c>
      <c r="B27" s="2" t="s">
        <v>199</v>
      </c>
      <c r="C27" s="2"/>
    </row>
    <row r="28" spans="1:3" x14ac:dyDescent="0.25">
      <c r="A28" s="2" t="s">
        <v>37</v>
      </c>
      <c r="B28" s="2" t="s">
        <v>199</v>
      </c>
      <c r="C28" s="2"/>
    </row>
    <row r="29" spans="1:3" x14ac:dyDescent="0.25">
      <c r="A29" s="2" t="s">
        <v>49</v>
      </c>
      <c r="B29" s="2" t="s">
        <v>206</v>
      </c>
      <c r="C29" s="2">
        <v>18581</v>
      </c>
    </row>
    <row r="30" spans="1:3" x14ac:dyDescent="0.25">
      <c r="A30" s="2" t="s">
        <v>40</v>
      </c>
      <c r="B30" s="2" t="s">
        <v>207</v>
      </c>
      <c r="C30" s="2">
        <v>18579</v>
      </c>
    </row>
    <row r="31" spans="1:3" x14ac:dyDescent="0.25">
      <c r="A31" s="2" t="s">
        <v>51</v>
      </c>
      <c r="B31" s="2"/>
      <c r="C31" s="2"/>
    </row>
    <row r="32" spans="1:3" x14ac:dyDescent="0.25">
      <c r="A32" s="2" t="s">
        <v>35</v>
      </c>
      <c r="B32" s="2" t="s">
        <v>199</v>
      </c>
      <c r="C32" s="2"/>
    </row>
    <row r="33" spans="1:3" x14ac:dyDescent="0.25">
      <c r="A33" s="2" t="s">
        <v>36</v>
      </c>
      <c r="B33" s="2" t="s">
        <v>199</v>
      </c>
      <c r="C33" s="2"/>
    </row>
    <row r="34" spans="1:3" x14ac:dyDescent="0.25">
      <c r="A34" s="2" t="s">
        <v>37</v>
      </c>
      <c r="B34" s="2" t="s">
        <v>199</v>
      </c>
      <c r="C34" s="2"/>
    </row>
    <row r="35" spans="1:3" x14ac:dyDescent="0.25">
      <c r="A35" s="2" t="s">
        <v>49</v>
      </c>
      <c r="B35" s="2" t="s">
        <v>202</v>
      </c>
      <c r="C35" s="4">
        <v>8918</v>
      </c>
    </row>
    <row r="36" spans="1:3" x14ac:dyDescent="0.25">
      <c r="A36" s="2" t="s">
        <v>40</v>
      </c>
      <c r="B36" s="7" t="s">
        <v>212</v>
      </c>
      <c r="C36" s="8">
        <v>8930</v>
      </c>
    </row>
  </sheetData>
  <conditionalFormatting sqref="C36">
    <cfRule type="duplicateValues" dxfId="2" priority="2"/>
  </conditionalFormatting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11</cp:revision>
  <dcterms:created xsi:type="dcterms:W3CDTF">2026-01-01T10:46:20Z</dcterms:created>
  <dcterms:modified xsi:type="dcterms:W3CDTF">2026-01-21T09:40:09Z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2026-01-08T09:39:24Z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d56171ae-d3ea-44e6-b003-0b4b7b039a10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