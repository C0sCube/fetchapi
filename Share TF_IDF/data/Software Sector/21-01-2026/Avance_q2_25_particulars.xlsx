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4_20251231\"/>
    </mc:Choice>
  </mc:AlternateContent>
  <xr:revisionPtr revIDLastSave="0" documentId="13_ncr:1_{F9359A1B-7734-4A5F-AD74-C88A9249B60F}" xr6:coauthVersionLast="47" xr6:coauthVersionMax="47" xr10:uidLastSave="{00000000-0000-0000-0000-000000000000}"/>
  <bookViews>
    <workbookView xWindow="-120" yWindow="-120" windowWidth="20730" windowHeight="11040" firstSheet="4" activeTab="7" xr2:uid="{00000000-000D-0000-FFFF-FFFF00000000}"/>
  </bookViews>
  <sheets>
    <sheet name="P&amp;L - Standalone" sheetId="1" r:id="rId1"/>
    <sheet name="P&amp;L_Consolidated" sheetId="5" r:id="rId2"/>
    <sheet name="BS_Standalone" sheetId="2" r:id="rId3"/>
    <sheet name="BS_Consolidated" sheetId="7" r:id="rId4"/>
    <sheet name="CFS_Standalone" sheetId="4" r:id="rId5"/>
    <sheet name="CFS_Consolidated" sheetId="9" r:id="rId6"/>
    <sheet name="SR_Standalone" sheetId="10" r:id="rId7"/>
    <sheet name="SR_Consolidated" sheetId="11" r:id="rId8"/>
  </sheets>
  <externalReferences>
    <externalReference r:id="rId9"/>
  </externalReferences>
  <definedNames>
    <definedName name="_xlnm._FilterDatabase" localSheetId="3" hidden="1">BS_Consolidated!$A$1:$C$71</definedName>
    <definedName name="_xlnm._FilterDatabase" localSheetId="2" hidden="1">BS_Standalone!$A$1:$C$72</definedName>
    <definedName name="_xlnm._FilterDatabase" localSheetId="5" hidden="1">CFS_Consolidated!$A$1:$C$41</definedName>
    <definedName name="_xlnm._FilterDatabase" localSheetId="4" hidden="1">CFS_Standalone!$A$1:$C$42</definedName>
    <definedName name="_xlnm._FilterDatabase" localSheetId="0" hidden="1">'P&amp;L - Standalone'!$A$1:$C$1</definedName>
    <definedName name="_xlnm._FilterDatabase" localSheetId="1" hidden="1">'P&amp;L_Consolidated'!$A$1:$C$1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9" l="1"/>
  <c r="C3" i="9"/>
  <c r="B5" i="9"/>
  <c r="C5" i="9"/>
  <c r="B7" i="9"/>
  <c r="C7" i="9"/>
  <c r="B9" i="9"/>
  <c r="B10" i="9"/>
  <c r="B11" i="9"/>
  <c r="C11" i="9"/>
  <c r="B12" i="9"/>
  <c r="C12" i="9"/>
  <c r="B13" i="9"/>
  <c r="C13" i="9"/>
  <c r="B14" i="9"/>
  <c r="C14" i="9"/>
  <c r="B17" i="9"/>
  <c r="C17" i="9"/>
  <c r="B18" i="9"/>
  <c r="C18" i="9"/>
  <c r="B19" i="9"/>
  <c r="C19" i="9"/>
  <c r="B20" i="9"/>
  <c r="C20" i="9"/>
  <c r="B22" i="9"/>
  <c r="C22" i="9"/>
  <c r="B23" i="9"/>
  <c r="C23" i="9"/>
  <c r="B24" i="9"/>
  <c r="C24" i="9"/>
  <c r="B25" i="9"/>
  <c r="B29" i="9"/>
  <c r="C29" i="9"/>
  <c r="B30" i="9"/>
  <c r="B33" i="9"/>
  <c r="C33" i="9"/>
  <c r="B35" i="9"/>
  <c r="C35" i="9"/>
  <c r="B37" i="9"/>
  <c r="C37" i="9"/>
  <c r="B38" i="9"/>
  <c r="C38" i="9"/>
  <c r="B39" i="9"/>
  <c r="C39" i="9"/>
  <c r="B40" i="9"/>
  <c r="C40" i="9"/>
  <c r="B41" i="9"/>
  <c r="C41" i="9"/>
  <c r="B4" i="4"/>
  <c r="B4" i="9" s="1"/>
  <c r="B2" i="4"/>
  <c r="B2" i="9" s="1"/>
</calcChain>
</file>

<file path=xl/sharedStrings.xml><?xml version="1.0" encoding="utf-8"?>
<sst xmlns="http://schemas.openxmlformats.org/spreadsheetml/2006/main" count="564" uniqueCount="269">
  <si>
    <t>Income</t>
  </si>
  <si>
    <t>Revenue From Operations</t>
  </si>
  <si>
    <t>Other Income</t>
  </si>
  <si>
    <t>Total Income</t>
  </si>
  <si>
    <t>Expenses</t>
  </si>
  <si>
    <t>Cost of materials consumed</t>
  </si>
  <si>
    <t>Purchases of stock-in-trade</t>
  </si>
  <si>
    <t>Finance Cost</t>
  </si>
  <si>
    <t>Depreciation and amortisation expense</t>
  </si>
  <si>
    <t>Other expenses (Any item exceeding of the total expenses relating to continuing operations to be shown seoaratelv)</t>
  </si>
  <si>
    <t>Total Expenses</t>
  </si>
  <si>
    <t>Exceptional Items</t>
  </si>
  <si>
    <t>Tax Expenses</t>
  </si>
  <si>
    <t>Current Tax</t>
  </si>
  <si>
    <t>Deferred Tax</t>
  </si>
  <si>
    <t>Total Tax Expenses</t>
  </si>
  <si>
    <t>Tax Expenses of discountined operations</t>
  </si>
  <si>
    <t>Other Comprehensive Income/ (Loss)</t>
  </si>
  <si>
    <t>Amount of items that will not be reclassified to profit or loss</t>
  </si>
  <si>
    <t>Income tax relating to items that will not be reclassified to profit or loss</t>
  </si>
  <si>
    <t>Amount of items that will be reclassified to profit or loss</t>
  </si>
  <si>
    <t>Earnings Per Share (For continuing operations)</t>
  </si>
  <si>
    <t>Basic</t>
  </si>
  <si>
    <t>Diluted</t>
  </si>
  <si>
    <t>Non-Current Assets</t>
  </si>
  <si>
    <t>Property plant and equipment</t>
  </si>
  <si>
    <t>Capital work-in-progress</t>
  </si>
  <si>
    <t>Investment property</t>
  </si>
  <si>
    <t>Goodwill</t>
  </si>
  <si>
    <t>Other intangible assets</t>
  </si>
  <si>
    <t>Intangible assets under development</t>
  </si>
  <si>
    <t>Biological assets other than bearer plants</t>
  </si>
  <si>
    <t>Investments accounted for using equity method</t>
  </si>
  <si>
    <t>Non- Current Financial Assets</t>
  </si>
  <si>
    <t>Non-current investments</t>
  </si>
  <si>
    <t>Deferred tax assets (net)</t>
  </si>
  <si>
    <t>Other non-current assets</t>
  </si>
  <si>
    <t>Current assets</t>
  </si>
  <si>
    <t>Inventories</t>
  </si>
  <si>
    <t>Current financial asset</t>
  </si>
  <si>
    <t>Current investments</t>
  </si>
  <si>
    <t>Cash and cash equivalents</t>
  </si>
  <si>
    <t>Bank balance other than cash and cash equivalents</t>
  </si>
  <si>
    <t>Current tax assets (net)</t>
  </si>
  <si>
    <t>Other current assets</t>
  </si>
  <si>
    <t>Non-current assets classified as held for sale</t>
  </si>
  <si>
    <t>Regulatory deferral account debit balances and related deferred tax Assets</t>
  </si>
  <si>
    <t>Total Assets</t>
  </si>
  <si>
    <t>Equity and liabilities</t>
  </si>
  <si>
    <t>Equity</t>
  </si>
  <si>
    <t>Equity attributable to owners of parent</t>
  </si>
  <si>
    <t>Equity share capital</t>
  </si>
  <si>
    <t>Other equity</t>
  </si>
  <si>
    <t>Total equity attributable to owners of parent</t>
  </si>
  <si>
    <t>Non-controlling interest</t>
  </si>
  <si>
    <t>Non-current financial liabilities</t>
  </si>
  <si>
    <t>Total non-current financial liabilities</t>
  </si>
  <si>
    <t>Total non-current liabilities</t>
  </si>
  <si>
    <t>Current Liabilities</t>
  </si>
  <si>
    <t>Current financial liabilities</t>
  </si>
  <si>
    <t>Total current financial liabilities</t>
  </si>
  <si>
    <t>Other current liabilities</t>
  </si>
  <si>
    <t>Current tax liabilities (Net)</t>
  </si>
  <si>
    <t>Liabilities directly associated with assets in disposal group classified as held for sale</t>
  </si>
  <si>
    <t>Total Liabilities</t>
  </si>
  <si>
    <t>Cash flow from operating activities</t>
  </si>
  <si>
    <t>Profit/(Loss) before tax</t>
  </si>
  <si>
    <t>Adjustments for:</t>
  </si>
  <si>
    <t>Depreciation and amortization expense</t>
  </si>
  <si>
    <t>Intrest Income</t>
  </si>
  <si>
    <t>Finance cost</t>
  </si>
  <si>
    <t>Adjustment during the year</t>
  </si>
  <si>
    <t>Operating profits before working capital changes</t>
  </si>
  <si>
    <t>Adjustments for changes in:</t>
  </si>
  <si>
    <t>(Increase)/ Decrease in Trade receivables</t>
  </si>
  <si>
    <t>(Increase)/ Decrease in Inventories</t>
  </si>
  <si>
    <t>Increase/ (Decrease) in Loans</t>
  </si>
  <si>
    <t>(Increase)/ Decrease in other non current Financials asset</t>
  </si>
  <si>
    <t>(Increase)/ Decrease in other non current asset</t>
  </si>
  <si>
    <t>(Increase)/ Decrease in other current financial asset</t>
  </si>
  <si>
    <t>(Increase)/ Decrease in other current asset</t>
  </si>
  <si>
    <t>Increase/(Decrease) in Current Tax Asset (Net)</t>
  </si>
  <si>
    <t>Increase/ (Decrease) in Trade payables</t>
  </si>
  <si>
    <t>Increase/(Decrease) in Provision</t>
  </si>
  <si>
    <t>Increase/(Decrease) in other current Liabilities and Provision for expenses</t>
  </si>
  <si>
    <t>Cash generated from operations</t>
  </si>
  <si>
    <t>Income Taxes paid</t>
  </si>
  <si>
    <t>Net cash inflow/(outflow) from operating activities</t>
  </si>
  <si>
    <t>Cash flow from investing activities</t>
  </si>
  <si>
    <t>(Purchase) / Sales of non-current investments</t>
  </si>
  <si>
    <t>(Purchase) / Sales of current investments</t>
  </si>
  <si>
    <t>(Purchase) / Sales of Assets</t>
  </si>
  <si>
    <t>Interest Received/ Dividend Received</t>
  </si>
  <si>
    <t>Short term loans given</t>
  </si>
  <si>
    <t>Net cash outflow from investing activities</t>
  </si>
  <si>
    <t>Cash Flow from Financing activities</t>
  </si>
  <si>
    <t>Increase/(Decrease) in Short term borrowings</t>
  </si>
  <si>
    <t>Increase/(Decrease) in Long term borrowings</t>
  </si>
  <si>
    <t>Finance Cost paid</t>
  </si>
  <si>
    <t>Loans and advances &amp; others</t>
  </si>
  <si>
    <t>Net Adjustment in reserve &amp; surplus for the year</t>
  </si>
  <si>
    <t>Net cash inflow/(outflow) from Financing activities</t>
  </si>
  <si>
    <t>Cash and cash equivalents at the beginning of the financial year</t>
  </si>
  <si>
    <t>Cash and cash equivalents at the end of the financial year</t>
  </si>
  <si>
    <t>Employee Benefits Expenses</t>
  </si>
  <si>
    <t>Other expenses (Any item exceeding 10% of the total expenses relating to continuing operations to be shown separately)</t>
  </si>
  <si>
    <t>Profit/ (Loss) for a period from continuing operations</t>
  </si>
  <si>
    <t>Profit/ (Loss) for a period from dis -continuing operations</t>
  </si>
  <si>
    <t>ASSETS</t>
  </si>
  <si>
    <t>Total non-current financial assets</t>
  </si>
  <si>
    <t>Total Non-Current Assets</t>
  </si>
  <si>
    <t>Total current financial assets</t>
  </si>
  <si>
    <t>Total Current Assets</t>
  </si>
  <si>
    <t>Non controlling interest</t>
  </si>
  <si>
    <t>Total Equity</t>
  </si>
  <si>
    <t>Liabilities</t>
  </si>
  <si>
    <t>Non-Current Liabilities</t>
  </si>
  <si>
    <t>Total Equity and Liabilities</t>
  </si>
  <si>
    <t>Finance income</t>
  </si>
  <si>
    <t>(Increase)/ Decrease in other non current financial asset</t>
  </si>
  <si>
    <t>(Increase)/ Decrease Current Tax Asset</t>
  </si>
  <si>
    <t>(Increase)/ Decrease in other current Financial asset</t>
  </si>
  <si>
    <t>Increase/(Decrease) in other current Liabilities and Provision for exps</t>
  </si>
  <si>
    <t>Purchase / Sales of non-current investments</t>
  </si>
  <si>
    <t>Purchase / Sales of current investments</t>
  </si>
  <si>
    <t>Purchase of Assets</t>
  </si>
  <si>
    <t>lncrease/(Decrease) in Short term borrowings</t>
  </si>
  <si>
    <t>lncrease/(Decrease) in Long term borrowings</t>
  </si>
  <si>
    <t>Interest Income</t>
  </si>
  <si>
    <t>Proceeds from Short Term Borrowings</t>
  </si>
  <si>
    <t>Changes in inventories of finished goods, work-in-progress and stock-in-trade</t>
  </si>
  <si>
    <t>Profit / (Loss) before exceptional items and tax</t>
  </si>
  <si>
    <t>Profit / (loss) before tax</t>
  </si>
  <si>
    <t>Profit/(Loss) for a period from continuing operations</t>
  </si>
  <si>
    <t>Profit/ (Loss) for a period from discontinuing operations</t>
  </si>
  <si>
    <t>Profit/ (Loss) for a period from discontinuing operations (after tax)</t>
  </si>
  <si>
    <t xml:space="preserve">Total Comprehensive income for the period (comprising profit/loss) and other comprehensive income for the period) </t>
  </si>
  <si>
    <t>Paid -up Equity Share Capital (Face Value of Re.1/- each)</t>
  </si>
  <si>
    <t>Total</t>
  </si>
  <si>
    <t>Trade receivables, non-current</t>
  </si>
  <si>
    <t xml:space="preserve"> Loans, non-current</t>
  </si>
  <si>
    <t>Other non-current financial assets</t>
  </si>
  <si>
    <t>Total non-current  Assets</t>
  </si>
  <si>
    <t>Trade receivables, current</t>
  </si>
  <si>
    <t>Loans, current</t>
  </si>
  <si>
    <t xml:space="preserve"> Other current financial assets</t>
  </si>
  <si>
    <t>Non-current liabilities</t>
  </si>
  <si>
    <t>Borrowings, non-current</t>
  </si>
  <si>
    <t>Trade payables, non-current</t>
  </si>
  <si>
    <t>Other non-current financial liabilities</t>
  </si>
  <si>
    <t>Provisions, non-current</t>
  </si>
  <si>
    <t>Deferred tax liabilities (net)</t>
  </si>
  <si>
    <t>Deferred government grants, Non-current</t>
  </si>
  <si>
    <t>Other non-current liabilities</t>
  </si>
  <si>
    <t>Borrowings, current</t>
  </si>
  <si>
    <t>Trade payables, current</t>
  </si>
  <si>
    <t xml:space="preserve"> Other current financial liabilities</t>
  </si>
  <si>
    <t>Provisions, current</t>
  </si>
  <si>
    <t>Deferred government grants, Current</t>
  </si>
  <si>
    <t xml:space="preserve"> Total Current Liabilities</t>
  </si>
  <si>
    <t>Regulatory deferral account credit balances and related deferred tax liability</t>
  </si>
  <si>
    <t>Total Equity and Liabilites</t>
  </si>
  <si>
    <t>Net Increase/(Decrease) in Cash and Cash Equivalents</t>
  </si>
  <si>
    <t>Changes in inventories of finished goods, work-in- progress and stock-in-trade</t>
  </si>
  <si>
    <t>Profit I (Loss) before exceptional items and tax</t>
  </si>
  <si>
    <t>Profit I (Loss) before tax</t>
  </si>
  <si>
    <t>Profit/ (Loss) for a period from dis -continuing operations (after tax)</t>
  </si>
  <si>
    <t>Total Comprehensive income for the period (comprising profit/loss) and other comprehensive income for the period)</t>
  </si>
  <si>
    <t>Paid -up Equity Share Capital (Face Value of Rs.1/- each</t>
  </si>
  <si>
    <t>Property, plant and equipment</t>
  </si>
  <si>
    <t xml:space="preserve"> Total current liabilities</t>
  </si>
  <si>
    <t xml:space="preserve">Particulars </t>
  </si>
  <si>
    <t>Cogencis Field</t>
  </si>
  <si>
    <t>Field id</t>
  </si>
  <si>
    <t>Lable</t>
  </si>
  <si>
    <t>Gross Sales/Income from Operations</t>
  </si>
  <si>
    <t>Miscellaneous Income</t>
  </si>
  <si>
    <t>Basic EPS</t>
  </si>
  <si>
    <t>Diluted EPS</t>
  </si>
  <si>
    <t>Cost of Materials Consumed</t>
  </si>
  <si>
    <t>Purchase of Stock-in-Trade</t>
  </si>
  <si>
    <t>Changes in Inventories of Finished Goods, Work-In-Progress and Stock-In-Trade</t>
  </si>
  <si>
    <t>Finance Costs</t>
  </si>
  <si>
    <t>Employee Benefit Expense</t>
  </si>
  <si>
    <t>Depreciation, Depletion and Amortisation Expense</t>
  </si>
  <si>
    <t>Other Expenses</t>
  </si>
  <si>
    <t>Profit/(Loss) From Ordinary Activities before Tax</t>
  </si>
  <si>
    <t>Tax Expense</t>
  </si>
  <si>
    <t>Other Exceptional Items</t>
  </si>
  <si>
    <t>Total Exceptional Items</t>
  </si>
  <si>
    <t>Profit/(Loss) from Ordinary Activities after Finance Costs but before Exceptional Items</t>
  </si>
  <si>
    <t>Profit/(Loss) for the Period from Continuing Operations</t>
  </si>
  <si>
    <t>Net Profit From Discontinuing Operations (After Tax)</t>
  </si>
  <si>
    <t>Profit/(Loss) from Discontinuing Operations</t>
  </si>
  <si>
    <t>Tax Expense of Discontinuing Operations</t>
  </si>
  <si>
    <t>Items that will not be reclassified to Profit or Loss</t>
  </si>
  <si>
    <t>Income Tax related to items that will not be reclassified to Profit or Loss</t>
  </si>
  <si>
    <t>Items that will be reclassified to Profit or Loss</t>
  </si>
  <si>
    <t>Income Tax related to items that will be reclassified to Profit or Loss</t>
  </si>
  <si>
    <t>Total Comprehensive Gain (Loss) For the Year</t>
  </si>
  <si>
    <t>Paid-Up Equity Share Capital</t>
  </si>
  <si>
    <t>Income tax relating to items that will be reclassified to profit or loss</t>
  </si>
  <si>
    <t>Property, Plant &amp; Equipment</t>
  </si>
  <si>
    <t>Capital Work-In-Progress</t>
  </si>
  <si>
    <t>Investment Property</t>
  </si>
  <si>
    <t>Biological Assets other than bearer plants</t>
  </si>
  <si>
    <t>Other Non-Current Financial Assets</t>
  </si>
  <si>
    <t>Non-Current Investments</t>
  </si>
  <si>
    <t>Trade Receivables</t>
  </si>
  <si>
    <t>Loans Non-Current</t>
  </si>
  <si>
    <t>Deferred Tax Assets (Net)</t>
  </si>
  <si>
    <t>Other Non-Current Assets</t>
  </si>
  <si>
    <t>Current Investments</t>
  </si>
  <si>
    <t>Cash And Cash Equivalents</t>
  </si>
  <si>
    <t>Loans, Current</t>
  </si>
  <si>
    <t>Other Current Financial Assets</t>
  </si>
  <si>
    <t>Current Tax Assets (Net)</t>
  </si>
  <si>
    <t>Other Current Assets</t>
  </si>
  <si>
    <t>Assets classified as held for sale</t>
  </si>
  <si>
    <t>Regulatory Deferral Account Debit Balances and Related Deferred Tax Assets</t>
  </si>
  <si>
    <t>Share Capital</t>
  </si>
  <si>
    <t>Reserves And Surplus/Other Equity</t>
  </si>
  <si>
    <t>Total Share Holder's Funds</t>
  </si>
  <si>
    <t>Borrowings</t>
  </si>
  <si>
    <t>Trade Payables</t>
  </si>
  <si>
    <t>Other Non Current Financial Liabilities</t>
  </si>
  <si>
    <t>Long-Term Provisions</t>
  </si>
  <si>
    <t>Deferred Tax Liability (Net)</t>
  </si>
  <si>
    <t>Other Non-Current Liabilities</t>
  </si>
  <si>
    <t>Total Non-Current Liabilities</t>
  </si>
  <si>
    <t>Other Current Financial Liabilities</t>
  </si>
  <si>
    <t>Other liabilities</t>
  </si>
  <si>
    <t>Short-Term Provisions</t>
  </si>
  <si>
    <t>Current Tax Liabilities (Net)</t>
  </si>
  <si>
    <t>Total Current Liabilities</t>
  </si>
  <si>
    <t>Total Equity And Liabilities</t>
  </si>
  <si>
    <t>Goodwill On Consolidation</t>
  </si>
  <si>
    <t>Other Intangible Assets</t>
  </si>
  <si>
    <t>Net Profit Before Tax And Exceptional Item</t>
  </si>
  <si>
    <t>Depreciation and Amortisation Expense</t>
  </si>
  <si>
    <t>Interest Expense</t>
  </si>
  <si>
    <t>Trade And Other Receivables</t>
  </si>
  <si>
    <t>Loans And Advances</t>
  </si>
  <si>
    <t>Adjustments for other financial assets, non-current</t>
  </si>
  <si>
    <t>Other Current and Non Current Assets</t>
  </si>
  <si>
    <t>Adjustments for other financial assets, current</t>
  </si>
  <si>
    <t>Trade Payables And Others</t>
  </si>
  <si>
    <t>Provisions</t>
  </si>
  <si>
    <t>Other Current and Non Current Liabilities</t>
  </si>
  <si>
    <t>Cash Generated From Operations</t>
  </si>
  <si>
    <t>Income Tax Paid</t>
  </si>
  <si>
    <t>Net Cash Flow From Operating Activities</t>
  </si>
  <si>
    <t>Sale Of Investments</t>
  </si>
  <si>
    <t>Sale Of Fixed Assets (Tangible / Intangible)</t>
  </si>
  <si>
    <t>Interest Received</t>
  </si>
  <si>
    <t>Cash Advances and Loans Made to Other Parties</t>
  </si>
  <si>
    <t>Net Cash Flow From Investing Activities</t>
  </si>
  <si>
    <t>Proceeds From Long Term Borrowings</t>
  </si>
  <si>
    <t>Proceeds From Short Term Borrowings</t>
  </si>
  <si>
    <t>Interest Paid</t>
  </si>
  <si>
    <t>Others-Financing Activities</t>
  </si>
  <si>
    <t>Transfer On Amalgamation</t>
  </si>
  <si>
    <t>Net Cash Flow From Financing Activities</t>
  </si>
  <si>
    <t>Net increase (decrease) in cash and cash equivalents before effect of exchange rate changes</t>
  </si>
  <si>
    <t>Cash and Cash Equivalents at the Beginning of the Year</t>
  </si>
  <si>
    <t>Cash and Cash Equivalents at the End of the Year</t>
  </si>
  <si>
    <t>Purchase Of Investments</t>
  </si>
  <si>
    <t>Purchase Of Fixed Assets (Tangible / Intangible)</t>
  </si>
  <si>
    <t>Investment accounted for using Equity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</si>
</sst>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1" xfId="0" applyFont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2" borderId="1" xfId="0" applyFont="1" applyFill="1" applyBorder="1"/>
  </cellXfs>
  <cellStyles count="1">
    <cellStyle name="Normal" xfId="0" builtinId="0"/>
  </cellStyles>
  <dxfs count="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M:\CFD-Finance\Finstinct%20Output%20Processed%20File\Field%20Mapping\Batch%204_20251231\Affle3i_q2_25_particulars.xlsx" TargetMode="External"/><Relationship Id="rId1" Type="http://schemas.openxmlformats.org/officeDocument/2006/relationships/externalLinkPath" Target="Affle3i_q2_25_particula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&amp;L_Standalone"/>
      <sheetName val="P&amp;L_Consolidated"/>
      <sheetName val="BS_Standalone"/>
      <sheetName val="BS_Consolidated"/>
      <sheetName val="CFS_Standalone"/>
      <sheetName val="CFS_Consolidated"/>
      <sheetName val="SR_Standalone"/>
      <sheetName val="SR_Consolidated"/>
    </sheetNames>
    <sheetDataSet>
      <sheetData sheetId="0"/>
      <sheetData sheetId="1"/>
      <sheetData sheetId="2"/>
      <sheetData sheetId="3"/>
      <sheetData sheetId="4">
        <row r="1">
          <cell r="A1" t="str">
            <v xml:space="preserve">Particulars </v>
          </cell>
          <cell r="B1" t="str">
            <v>Cogencis Field</v>
          </cell>
        </row>
        <row r="2">
          <cell r="A2" t="str">
            <v>Cash flow from operating activities</v>
          </cell>
          <cell r="B2" t="str">
            <v>Lable</v>
          </cell>
        </row>
        <row r="3">
          <cell r="A3" t="str">
            <v>Profit before tax</v>
          </cell>
          <cell r="B3" t="str">
            <v>Net Profit Before Tax And Exceptional Item</v>
          </cell>
        </row>
        <row r="4">
          <cell r="A4" t="str">
            <v>Adjustments for:</v>
          </cell>
          <cell r="B4" t="str">
            <v>Lable</v>
          </cell>
        </row>
        <row r="5">
          <cell r="A5" t="str">
            <v>Depreciation and amortisation expense</v>
          </cell>
          <cell r="B5" t="str">
            <v>Depreciation and Amortisation Expense</v>
          </cell>
        </row>
        <row r="6">
          <cell r="A6" t="str">
            <v>Interest on lease liabilities</v>
          </cell>
          <cell r="B6" t="str">
            <v>Interest Expense</v>
          </cell>
        </row>
        <row r="7">
          <cell r="A7" t="str">
            <v>Impairment allowance of trade receivables and contract assets</v>
          </cell>
          <cell r="B7" t="str">
            <v>Provision For Doubtful Debts</v>
          </cell>
        </row>
        <row r="8">
          <cell r="A8" t="str">
            <v>Liabilities written back</v>
          </cell>
          <cell r="B8" t="str">
            <v>Other Provisions Written Off</v>
          </cell>
        </row>
        <row r="9">
          <cell r="A9" t="str">
            <v>Loss /(Gain) on disposal of property, plant and equipment (net)</v>
          </cell>
          <cell r="B9" t="str">
            <v>Loss On Sale Of Fixed Assets</v>
          </cell>
        </row>
        <row r="10">
          <cell r="A10" t="str">
            <v>Interest income</v>
          </cell>
          <cell r="B10" t="str">
            <v>Interest Income</v>
          </cell>
        </row>
        <row r="11">
          <cell r="A11" t="str">
            <v>Interest expense</v>
          </cell>
          <cell r="B11" t="str">
            <v>Interest Expense</v>
          </cell>
        </row>
        <row r="12">
          <cell r="A12" t="str">
            <v>Unrealised foreign exchange gain</v>
          </cell>
          <cell r="B12" t="str">
            <v>Foreign Exchange Gain / Loss</v>
          </cell>
        </row>
        <row r="13">
          <cell r="A13" t="str">
            <v>Share based payments</v>
          </cell>
          <cell r="B13" t="str">
            <v>Employees Stock Options Grants</v>
          </cell>
        </row>
        <row r="14">
          <cell r="A14" t="str">
            <v>Gain on overnight fund</v>
          </cell>
          <cell r="B14" t="str">
            <v>Profit / Loss from Deployment in Mutual Funds</v>
          </cell>
        </row>
        <row r="15">
          <cell r="A15" t="str">
            <v>Operating profit before working capital changes</v>
          </cell>
          <cell r="B15" t="str">
            <v>Operating Profit Before Working Capital Changes</v>
          </cell>
        </row>
        <row r="16">
          <cell r="A16" t="str">
            <v>Change in working capital:</v>
          </cell>
          <cell r="B16" t="str">
            <v>Lable</v>
          </cell>
        </row>
        <row r="17">
          <cell r="A17" t="str">
            <v>Contract assets</v>
          </cell>
          <cell r="B17" t="str">
            <v>Other Current and Non Current Assets</v>
          </cell>
        </row>
        <row r="18">
          <cell r="A18" t="str">
            <v>Trade receivables</v>
          </cell>
          <cell r="B18" t="str">
            <v>Trade And Other Receivables</v>
          </cell>
        </row>
        <row r="19">
          <cell r="A19" t="str">
            <v>Financial assets</v>
          </cell>
          <cell r="B19" t="str">
            <v>Adjustments for other financial assets, non-current</v>
          </cell>
        </row>
        <row r="20">
          <cell r="A20" t="str">
            <v>Other current assets</v>
          </cell>
          <cell r="B20" t="str">
            <v>Other Current and Non Current Assets</v>
          </cell>
        </row>
        <row r="21">
          <cell r="A21" t="str">
            <v>Contract liabilities</v>
          </cell>
          <cell r="B21" t="str">
            <v>Other Current and Non Current Liabilities</v>
          </cell>
        </row>
        <row r="22">
          <cell r="A22" t="str">
            <v>Trade payables</v>
          </cell>
          <cell r="B22" t="str">
            <v>Trade Payables And Others</v>
          </cell>
        </row>
        <row r="23">
          <cell r="A23" t="str">
            <v>Other financial liabilities</v>
          </cell>
          <cell r="B23" t="str">
            <v>Adjustments for other financial liabilities, non-current</v>
          </cell>
        </row>
        <row r="24">
          <cell r="A24" t="str">
            <v>Other current liabilities</v>
          </cell>
          <cell r="B24" t="str">
            <v>Other Current and Non Current Liabilities</v>
          </cell>
        </row>
        <row r="25">
          <cell r="A25" t="str">
            <v>Provisions</v>
          </cell>
          <cell r="B25" t="str">
            <v>Provisions</v>
          </cell>
        </row>
        <row r="26">
          <cell r="A26" t="str">
            <v>Net cash generated from operations</v>
          </cell>
          <cell r="B26" t="str">
            <v>Cash Generated From Operations</v>
          </cell>
        </row>
        <row r="27">
          <cell r="A27" t="str">
            <v>Direct taxes paid (net of refunds)</v>
          </cell>
          <cell r="B27" t="str">
            <v>Income Tax Paid</v>
          </cell>
        </row>
        <row r="28">
          <cell r="A28" t="str">
            <v>Net cash generated/(used in) from operating activities</v>
          </cell>
          <cell r="B28" t="str">
            <v>Net Cash Flow From Operating Activities</v>
          </cell>
        </row>
        <row r="29">
          <cell r="A29" t="str">
            <v>Cash flow from investing activities:</v>
          </cell>
          <cell r="B29" t="str">
            <v>Lable</v>
          </cell>
        </row>
        <row r="30">
          <cell r="A30" t="str">
            <v>Purchase of property, plant and equipment, other intangible assets including intangible assets under development</v>
          </cell>
          <cell r="B30" t="str">
            <v>Purchase Of Fixed Assets (Tangible / Intangible)</v>
          </cell>
        </row>
        <row r="31">
          <cell r="A31" t="str">
            <v>Proceeds from sale of property, plant and equipment</v>
          </cell>
          <cell r="B31" t="str">
            <v>Sale Of Fixed Assets (Tangible / Intangible)</v>
          </cell>
        </row>
        <row r="32">
          <cell r="A32" t="str">
            <v>Investments in bank deposits (halving original maturity of more than three months)</v>
          </cell>
          <cell r="B32" t="str">
            <v>Fixed Deposits</v>
          </cell>
        </row>
        <row r="33">
          <cell r="A33" t="str">
            <v>Redemption of bank deposits (having original maturity of more than three months)</v>
          </cell>
          <cell r="B33" t="str">
            <v>Fixed Deposits</v>
          </cell>
        </row>
        <row r="34">
          <cell r="A34" t="str">
            <v>Investments in bank deposits (having original maturity of more than one year)</v>
          </cell>
          <cell r="B34" t="str">
            <v>Fixed Deposits</v>
          </cell>
        </row>
        <row r="35">
          <cell r="A35" t="str">
            <v>Investments made during the period</v>
          </cell>
          <cell r="B35" t="str">
            <v>Others-Investing Activities</v>
          </cell>
        </row>
        <row r="36">
          <cell r="A36" t="str">
            <v>Interest income</v>
          </cell>
          <cell r="B36" t="str">
            <v>Interest Received</v>
          </cell>
        </row>
        <row r="37">
          <cell r="A37" t="str">
            <v>Loan given to related party</v>
          </cell>
          <cell r="B37" t="str">
            <v>Loans To Subsidiaries</v>
          </cell>
        </row>
        <row r="38">
          <cell r="A38" t="str">
            <v>Loan received back from related party</v>
          </cell>
          <cell r="B38" t="str">
            <v>Cash Receipts from Repayment of Advances and Loans Made to Other Parties</v>
          </cell>
        </row>
        <row r="39">
          <cell r="A39" t="str">
            <v>Gain on overnight fund</v>
          </cell>
          <cell r="B39" t="str">
            <v>Investment Income</v>
          </cell>
        </row>
        <row r="40">
          <cell r="A40" t="str">
            <v>Net cash (used in)/generated from investing activities</v>
          </cell>
          <cell r="B40" t="str">
            <v>Net Cash Flow From Investing Activities</v>
          </cell>
        </row>
        <row r="41">
          <cell r="A41" t="str">
            <v>Cash flow from financing activities:</v>
          </cell>
          <cell r="B41" t="str">
            <v>Lable</v>
          </cell>
        </row>
        <row r="42">
          <cell r="A42" t="str">
            <v>Interest expense</v>
          </cell>
          <cell r="B42" t="str">
            <v>Interest Paid</v>
          </cell>
        </row>
        <row r="43">
          <cell r="A43" t="str">
            <v>Interest on lease liabilities</v>
          </cell>
          <cell r="B43" t="str">
            <v>Interest Paid</v>
          </cell>
        </row>
        <row r="44">
          <cell r="A44" t="str">
            <v>Payment of principal portion of lease liabilities</v>
          </cell>
          <cell r="B44" t="str">
            <v>Payments of lease liabilities</v>
          </cell>
        </row>
        <row r="45">
          <cell r="A45" t="str">
            <v>Proceeds from issue of share capital (net of expenses)</v>
          </cell>
          <cell r="B45" t="str">
            <v>Proceeds From Issue Of Equity Shares (Inclu Share Premium)</v>
          </cell>
        </row>
        <row r="46">
          <cell r="A46" t="str">
            <v>Proceeds from issue of share capital under ESOP scheme (net)</v>
          </cell>
          <cell r="B46" t="str">
            <v>Proceeds From Issue Of Equity Shares (Inclu Share Premium)</v>
          </cell>
        </row>
        <row r="47">
          <cell r="A47" t="str">
            <v>Net cash generated from financing activities</v>
          </cell>
          <cell r="B47" t="str">
            <v>Net Cash Flow From Financing Activities</v>
          </cell>
        </row>
        <row r="48">
          <cell r="A48" t="str">
            <v>Net change in cash and cash equivalent</v>
          </cell>
          <cell r="B48" t="str">
            <v>Net increase (decrease) in cash and cash equivalents before effect of exchange rate changes</v>
          </cell>
        </row>
        <row r="49">
          <cell r="A49" t="str">
            <v>Effect of exchange difference on cash and cash equivalents held in foreign currency</v>
          </cell>
          <cell r="B49" t="str">
            <v>Effect of Exchange Fluctuation Translation Reserve</v>
          </cell>
        </row>
        <row r="50">
          <cell r="A50" t="str">
            <v>Cash and cash equivalents as at the beginning of the year</v>
          </cell>
          <cell r="B50" t="str">
            <v>Cash and Cash Equivalents at the Beginning of the Year</v>
          </cell>
        </row>
        <row r="51">
          <cell r="A51" t="str">
            <v>Cash and cash equivalents as at the end of the period</v>
          </cell>
          <cell r="B51" t="str">
            <v>Cash and Cash Equivalents at the End of the Year</v>
          </cell>
        </row>
        <row r="52">
          <cell r="A52" t="str">
            <v>Components of cash and cash equivalents:</v>
          </cell>
          <cell r="B52" t="str">
            <v>Lable</v>
          </cell>
        </row>
        <row r="53">
          <cell r="A53" t="str">
            <v>Balance with banks</v>
          </cell>
          <cell r="B53" t="str">
            <v>Ignore this field</v>
          </cell>
        </row>
        <row r="54">
          <cell r="A54" t="str">
            <v>On current account</v>
          </cell>
          <cell r="B54" t="str">
            <v>Ignore this field</v>
          </cell>
        </row>
        <row r="55">
          <cell r="A55" t="str">
            <v>Cash in hand</v>
          </cell>
          <cell r="B55" t="str">
            <v>Ignore this field</v>
          </cell>
        </row>
        <row r="56">
          <cell r="A56" t="str">
            <v>Deposits with original maturity for less than three months</v>
          </cell>
          <cell r="B56" t="str">
            <v>Ignore this field</v>
          </cell>
        </row>
        <row r="57">
          <cell r="A57" t="str">
            <v>Total cash and cash equivalents</v>
          </cell>
          <cell r="B57" t="str">
            <v>Ignore this field</v>
          </cell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workbookViewId="0">
      <selection activeCell="B1" sqref="B1:C1048576"/>
    </sheetView>
  </sheetViews>
  <sheetFormatPr defaultRowHeight="15" x14ac:dyDescent="0.25"/>
  <cols>
    <col min="1" max="2" width="49.42578125" customWidth="1"/>
    <col min="3" max="3" width="7.5703125" bestFit="1" customWidth="1"/>
  </cols>
  <sheetData>
    <row r="1" spans="1:3" x14ac:dyDescent="0.25">
      <c r="A1" s="1" t="s">
        <v>171</v>
      </c>
      <c r="B1" s="2" t="s">
        <v>172</v>
      </c>
      <c r="C1" s="3" t="s">
        <v>173</v>
      </c>
    </row>
    <row r="2" spans="1:3" x14ac:dyDescent="0.25">
      <c r="A2" s="4" t="s">
        <v>0</v>
      </c>
      <c r="B2" s="4" t="s">
        <v>174</v>
      </c>
      <c r="C2" s="4"/>
    </row>
    <row r="3" spans="1:3" x14ac:dyDescent="0.25">
      <c r="A3" s="4" t="s">
        <v>1</v>
      </c>
      <c r="B3" s="4" t="s">
        <v>175</v>
      </c>
      <c r="C3" s="4">
        <v>256</v>
      </c>
    </row>
    <row r="4" spans="1:3" x14ac:dyDescent="0.25">
      <c r="A4" s="4" t="s">
        <v>2</v>
      </c>
      <c r="B4" s="4" t="s">
        <v>176</v>
      </c>
      <c r="C4" s="4">
        <v>265</v>
      </c>
    </row>
    <row r="5" spans="1:3" x14ac:dyDescent="0.25">
      <c r="A5" s="4" t="s">
        <v>3</v>
      </c>
      <c r="B5" s="4" t="s">
        <v>3</v>
      </c>
      <c r="C5" s="4">
        <v>25238</v>
      </c>
    </row>
    <row r="6" spans="1:3" x14ac:dyDescent="0.25">
      <c r="A6" s="4" t="s">
        <v>4</v>
      </c>
      <c r="B6" s="4" t="s">
        <v>174</v>
      </c>
      <c r="C6" s="4"/>
    </row>
    <row r="7" spans="1:3" x14ac:dyDescent="0.25">
      <c r="A7" s="4" t="s">
        <v>5</v>
      </c>
      <c r="B7" s="4" t="s">
        <v>179</v>
      </c>
      <c r="C7" s="5">
        <v>230</v>
      </c>
    </row>
    <row r="8" spans="1:3" x14ac:dyDescent="0.25">
      <c r="A8" s="4" t="s">
        <v>6</v>
      </c>
      <c r="B8" s="4" t="s">
        <v>180</v>
      </c>
      <c r="C8" s="5">
        <v>307</v>
      </c>
    </row>
    <row r="9" spans="1:3" x14ac:dyDescent="0.25">
      <c r="A9" s="4" t="s">
        <v>130</v>
      </c>
      <c r="B9" s="4" t="s">
        <v>181</v>
      </c>
      <c r="C9" s="5">
        <v>227</v>
      </c>
    </row>
    <row r="10" spans="1:3" x14ac:dyDescent="0.25">
      <c r="A10" s="4" t="s">
        <v>7</v>
      </c>
      <c r="B10" s="4" t="s">
        <v>182</v>
      </c>
      <c r="C10" s="5">
        <v>246</v>
      </c>
    </row>
    <row r="11" spans="1:3" x14ac:dyDescent="0.25">
      <c r="A11" s="4" t="s">
        <v>104</v>
      </c>
      <c r="B11" s="4" t="s">
        <v>183</v>
      </c>
      <c r="C11" s="5">
        <v>238</v>
      </c>
    </row>
    <row r="12" spans="1:3" x14ac:dyDescent="0.25">
      <c r="A12" s="4" t="s">
        <v>8</v>
      </c>
      <c r="B12" s="4" t="s">
        <v>184</v>
      </c>
      <c r="C12" s="5">
        <v>232</v>
      </c>
    </row>
    <row r="13" spans="1:3" x14ac:dyDescent="0.25">
      <c r="A13" s="4" t="s">
        <v>9</v>
      </c>
      <c r="B13" s="4" t="s">
        <v>185</v>
      </c>
      <c r="C13" s="5">
        <v>279</v>
      </c>
    </row>
    <row r="14" spans="1:3" x14ac:dyDescent="0.25">
      <c r="A14" s="4" t="s">
        <v>10</v>
      </c>
      <c r="B14" s="4" t="s">
        <v>10</v>
      </c>
      <c r="C14" s="4">
        <v>320</v>
      </c>
    </row>
    <row r="15" spans="1:3" x14ac:dyDescent="0.25">
      <c r="A15" s="4" t="s">
        <v>131</v>
      </c>
      <c r="B15" s="4" t="s">
        <v>190</v>
      </c>
      <c r="C15" s="4">
        <v>294</v>
      </c>
    </row>
    <row r="16" spans="1:3" x14ac:dyDescent="0.25">
      <c r="A16" s="4" t="s">
        <v>11</v>
      </c>
      <c r="B16" s="4" t="s">
        <v>188</v>
      </c>
      <c r="C16" s="4">
        <v>278</v>
      </c>
    </row>
    <row r="17" spans="1:3" x14ac:dyDescent="0.25">
      <c r="A17" s="6" t="s">
        <v>189</v>
      </c>
      <c r="B17" s="6" t="s">
        <v>189</v>
      </c>
      <c r="C17" s="6">
        <v>319</v>
      </c>
    </row>
    <row r="18" spans="1:3" x14ac:dyDescent="0.25">
      <c r="A18" s="4" t="s">
        <v>132</v>
      </c>
      <c r="B18" s="4" t="s">
        <v>186</v>
      </c>
      <c r="C18" s="4">
        <v>296</v>
      </c>
    </row>
    <row r="19" spans="1:3" x14ac:dyDescent="0.25">
      <c r="A19" s="4" t="s">
        <v>12</v>
      </c>
      <c r="B19" s="4" t="s">
        <v>174</v>
      </c>
      <c r="C19" s="4"/>
    </row>
    <row r="20" spans="1:3" x14ac:dyDescent="0.25">
      <c r="A20" s="4" t="s">
        <v>13</v>
      </c>
      <c r="B20" s="4" t="s">
        <v>187</v>
      </c>
      <c r="C20" s="4">
        <v>318</v>
      </c>
    </row>
    <row r="21" spans="1:3" x14ac:dyDescent="0.25">
      <c r="A21" s="4" t="s">
        <v>14</v>
      </c>
      <c r="B21" s="4" t="s">
        <v>14</v>
      </c>
      <c r="C21" s="4">
        <v>231</v>
      </c>
    </row>
    <row r="22" spans="1:3" x14ac:dyDescent="0.25">
      <c r="A22" s="4" t="s">
        <v>15</v>
      </c>
      <c r="B22" s="4" t="s">
        <v>174</v>
      </c>
      <c r="C22" s="4"/>
    </row>
    <row r="23" spans="1:3" x14ac:dyDescent="0.25">
      <c r="A23" s="4" t="s">
        <v>133</v>
      </c>
      <c r="B23" s="4" t="s">
        <v>191</v>
      </c>
      <c r="C23" s="4">
        <v>20017</v>
      </c>
    </row>
    <row r="24" spans="1:3" x14ac:dyDescent="0.25">
      <c r="A24" s="4" t="s">
        <v>134</v>
      </c>
      <c r="B24" s="4" t="s">
        <v>193</v>
      </c>
      <c r="C24" s="5">
        <v>20016</v>
      </c>
    </row>
    <row r="25" spans="1:3" x14ac:dyDescent="0.25">
      <c r="A25" s="4" t="s">
        <v>16</v>
      </c>
      <c r="B25" s="4" t="s">
        <v>194</v>
      </c>
      <c r="C25" s="5">
        <v>20018</v>
      </c>
    </row>
    <row r="26" spans="1:3" x14ac:dyDescent="0.25">
      <c r="A26" s="4" t="s">
        <v>135</v>
      </c>
      <c r="B26" s="4" t="s">
        <v>192</v>
      </c>
      <c r="C26" s="4">
        <v>20015</v>
      </c>
    </row>
    <row r="27" spans="1:3" x14ac:dyDescent="0.25">
      <c r="A27" s="4" t="s">
        <v>17</v>
      </c>
      <c r="B27" s="4" t="s">
        <v>174</v>
      </c>
      <c r="C27" s="4"/>
    </row>
    <row r="28" spans="1:3" x14ac:dyDescent="0.25">
      <c r="A28" s="4" t="s">
        <v>18</v>
      </c>
      <c r="B28" s="4" t="s">
        <v>195</v>
      </c>
      <c r="C28" s="4">
        <v>22293</v>
      </c>
    </row>
    <row r="29" spans="1:3" x14ac:dyDescent="0.25">
      <c r="A29" s="4" t="s">
        <v>19</v>
      </c>
      <c r="B29" s="4" t="s">
        <v>196</v>
      </c>
      <c r="C29" s="5">
        <v>22295</v>
      </c>
    </row>
    <row r="30" spans="1:3" x14ac:dyDescent="0.25">
      <c r="A30" s="4" t="s">
        <v>20</v>
      </c>
      <c r="B30" s="4" t="s">
        <v>197</v>
      </c>
      <c r="C30" s="5">
        <v>22294</v>
      </c>
    </row>
    <row r="31" spans="1:3" x14ac:dyDescent="0.25">
      <c r="A31" s="4" t="s">
        <v>201</v>
      </c>
      <c r="B31" s="4" t="s">
        <v>198</v>
      </c>
      <c r="C31" s="5">
        <v>22296</v>
      </c>
    </row>
    <row r="32" spans="1:3" x14ac:dyDescent="0.25">
      <c r="A32" s="4" t="s">
        <v>136</v>
      </c>
      <c r="B32" s="4" t="s">
        <v>199</v>
      </c>
      <c r="C32" s="4">
        <v>20019</v>
      </c>
    </row>
    <row r="33" spans="1:3" x14ac:dyDescent="0.25">
      <c r="A33" s="4" t="s">
        <v>137</v>
      </c>
      <c r="B33" s="4" t="s">
        <v>200</v>
      </c>
      <c r="C33" s="4">
        <v>282</v>
      </c>
    </row>
    <row r="34" spans="1:3" x14ac:dyDescent="0.25">
      <c r="A34" s="4" t="s">
        <v>21</v>
      </c>
      <c r="B34" s="4" t="s">
        <v>174</v>
      </c>
      <c r="C34" s="4"/>
    </row>
    <row r="35" spans="1:3" x14ac:dyDescent="0.25">
      <c r="A35" s="4" t="s">
        <v>22</v>
      </c>
      <c r="B35" s="4" t="s">
        <v>177</v>
      </c>
      <c r="C35" s="4">
        <v>222</v>
      </c>
    </row>
    <row r="36" spans="1:3" x14ac:dyDescent="0.25">
      <c r="A36" s="4" t="s">
        <v>23</v>
      </c>
      <c r="B36" s="4" t="s">
        <v>178</v>
      </c>
      <c r="C36" s="4">
        <v>234</v>
      </c>
    </row>
  </sheetData>
  <conditionalFormatting sqref="C1:C1048576">
    <cfRule type="duplicateValues" dxfId="43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6"/>
  <sheetViews>
    <sheetView topLeftCell="A13" workbookViewId="0">
      <selection activeCell="B1" sqref="B1:C1048576"/>
    </sheetView>
  </sheetViews>
  <sheetFormatPr defaultRowHeight="15" x14ac:dyDescent="0.25"/>
  <cols>
    <col min="1" max="2" width="55.85546875" customWidth="1"/>
    <col min="3" max="3" width="7.5703125" bestFit="1" customWidth="1"/>
  </cols>
  <sheetData>
    <row r="1" spans="1:3" x14ac:dyDescent="0.25">
      <c r="A1" s="1" t="s">
        <v>171</v>
      </c>
      <c r="B1" s="2" t="s">
        <v>172</v>
      </c>
      <c r="C1" s="3" t="s">
        <v>173</v>
      </c>
    </row>
    <row r="2" spans="1:3" x14ac:dyDescent="0.25">
      <c r="A2" s="4" t="s">
        <v>0</v>
      </c>
      <c r="B2" s="4" t="s">
        <v>174</v>
      </c>
      <c r="C2" s="4"/>
    </row>
    <row r="3" spans="1:3" x14ac:dyDescent="0.25">
      <c r="A3" s="4" t="s">
        <v>1</v>
      </c>
      <c r="B3" s="4" t="s">
        <v>175</v>
      </c>
      <c r="C3" s="4">
        <v>256</v>
      </c>
    </row>
    <row r="4" spans="1:3" x14ac:dyDescent="0.25">
      <c r="A4" s="4" t="s">
        <v>2</v>
      </c>
      <c r="B4" s="4" t="s">
        <v>176</v>
      </c>
      <c r="C4" s="4">
        <v>265</v>
      </c>
    </row>
    <row r="5" spans="1:3" x14ac:dyDescent="0.25">
      <c r="A5" s="4" t="s">
        <v>3</v>
      </c>
      <c r="B5" s="4" t="s">
        <v>3</v>
      </c>
      <c r="C5" s="4">
        <v>25238</v>
      </c>
    </row>
    <row r="6" spans="1:3" x14ac:dyDescent="0.25">
      <c r="A6" s="4" t="s">
        <v>4</v>
      </c>
      <c r="B6" s="4" t="s">
        <v>174</v>
      </c>
      <c r="C6" s="4"/>
    </row>
    <row r="7" spans="1:3" x14ac:dyDescent="0.25">
      <c r="A7" s="4" t="s">
        <v>5</v>
      </c>
      <c r="B7" s="4" t="s">
        <v>179</v>
      </c>
      <c r="C7" s="4">
        <v>230</v>
      </c>
    </row>
    <row r="8" spans="1:3" x14ac:dyDescent="0.25">
      <c r="A8" s="4" t="s">
        <v>6</v>
      </c>
      <c r="B8" s="4" t="s">
        <v>180</v>
      </c>
      <c r="C8" s="4">
        <v>307</v>
      </c>
    </row>
    <row r="9" spans="1:3" x14ac:dyDescent="0.25">
      <c r="A9" s="4" t="s">
        <v>163</v>
      </c>
      <c r="B9" s="4" t="s">
        <v>181</v>
      </c>
      <c r="C9" s="5">
        <v>227</v>
      </c>
    </row>
    <row r="10" spans="1:3" x14ac:dyDescent="0.25">
      <c r="A10" s="4" t="s">
        <v>7</v>
      </c>
      <c r="B10" s="4" t="s">
        <v>182</v>
      </c>
      <c r="C10" s="4">
        <v>246</v>
      </c>
    </row>
    <row r="11" spans="1:3" x14ac:dyDescent="0.25">
      <c r="A11" s="4" t="s">
        <v>104</v>
      </c>
      <c r="B11" s="4" t="s">
        <v>183</v>
      </c>
      <c r="C11" s="4">
        <v>238</v>
      </c>
    </row>
    <row r="12" spans="1:3" x14ac:dyDescent="0.25">
      <c r="A12" s="4" t="s">
        <v>8</v>
      </c>
      <c r="B12" s="4" t="s">
        <v>184</v>
      </c>
      <c r="C12" s="4">
        <v>232</v>
      </c>
    </row>
    <row r="13" spans="1:3" x14ac:dyDescent="0.25">
      <c r="A13" s="4" t="s">
        <v>105</v>
      </c>
      <c r="B13" s="4" t="s">
        <v>185</v>
      </c>
      <c r="C13" s="5">
        <v>279</v>
      </c>
    </row>
    <row r="14" spans="1:3" x14ac:dyDescent="0.25">
      <c r="A14" s="4" t="s">
        <v>10</v>
      </c>
      <c r="B14" s="4" t="s">
        <v>10</v>
      </c>
      <c r="C14" s="4">
        <v>320</v>
      </c>
    </row>
    <row r="15" spans="1:3" x14ac:dyDescent="0.25">
      <c r="A15" s="4" t="s">
        <v>164</v>
      </c>
      <c r="B15" s="4" t="s">
        <v>190</v>
      </c>
      <c r="C15" s="4">
        <v>294</v>
      </c>
    </row>
    <row r="16" spans="1:3" x14ac:dyDescent="0.25">
      <c r="A16" s="4" t="s">
        <v>11</v>
      </c>
      <c r="B16" s="4" t="s">
        <v>188</v>
      </c>
      <c r="C16" s="4">
        <v>278</v>
      </c>
    </row>
    <row r="17" spans="1:3" x14ac:dyDescent="0.25">
      <c r="A17" s="6" t="s">
        <v>189</v>
      </c>
      <c r="B17" s="6" t="s">
        <v>189</v>
      </c>
      <c r="C17" s="6">
        <v>319</v>
      </c>
    </row>
    <row r="18" spans="1:3" x14ac:dyDescent="0.25">
      <c r="A18" s="4" t="s">
        <v>165</v>
      </c>
      <c r="B18" s="4" t="s">
        <v>186</v>
      </c>
      <c r="C18" s="4">
        <v>296</v>
      </c>
    </row>
    <row r="19" spans="1:3" x14ac:dyDescent="0.25">
      <c r="A19" s="4" t="s">
        <v>12</v>
      </c>
      <c r="B19" s="4" t="s">
        <v>174</v>
      </c>
      <c r="C19" s="4"/>
    </row>
    <row r="20" spans="1:3" x14ac:dyDescent="0.25">
      <c r="A20" s="4" t="s">
        <v>13</v>
      </c>
      <c r="B20" s="4" t="s">
        <v>187</v>
      </c>
      <c r="C20" s="4">
        <v>318</v>
      </c>
    </row>
    <row r="21" spans="1:3" x14ac:dyDescent="0.25">
      <c r="A21" s="4" t="s">
        <v>14</v>
      </c>
      <c r="B21" s="4" t="s">
        <v>14</v>
      </c>
      <c r="C21" s="4">
        <v>231</v>
      </c>
    </row>
    <row r="22" spans="1:3" x14ac:dyDescent="0.25">
      <c r="A22" s="4" t="s">
        <v>15</v>
      </c>
      <c r="B22" s="4" t="s">
        <v>174</v>
      </c>
      <c r="C22" s="4"/>
    </row>
    <row r="23" spans="1:3" x14ac:dyDescent="0.25">
      <c r="A23" s="4" t="s">
        <v>106</v>
      </c>
      <c r="B23" s="4" t="s">
        <v>191</v>
      </c>
      <c r="C23" s="4">
        <v>20017</v>
      </c>
    </row>
    <row r="24" spans="1:3" x14ac:dyDescent="0.25">
      <c r="A24" s="4" t="s">
        <v>107</v>
      </c>
      <c r="B24" s="4" t="s">
        <v>193</v>
      </c>
      <c r="C24" s="5">
        <v>20016</v>
      </c>
    </row>
    <row r="25" spans="1:3" x14ac:dyDescent="0.25">
      <c r="A25" s="4" t="s">
        <v>16</v>
      </c>
      <c r="B25" s="4" t="s">
        <v>194</v>
      </c>
      <c r="C25" s="5">
        <v>20018</v>
      </c>
    </row>
    <row r="26" spans="1:3" x14ac:dyDescent="0.25">
      <c r="A26" s="4" t="s">
        <v>166</v>
      </c>
      <c r="B26" s="4" t="s">
        <v>192</v>
      </c>
      <c r="C26" s="4">
        <v>20015</v>
      </c>
    </row>
    <row r="27" spans="1:3" x14ac:dyDescent="0.25">
      <c r="A27" s="4" t="s">
        <v>17</v>
      </c>
      <c r="B27" s="4" t="s">
        <v>174</v>
      </c>
      <c r="C27" s="4"/>
    </row>
    <row r="28" spans="1:3" x14ac:dyDescent="0.25">
      <c r="A28" s="4" t="s">
        <v>18</v>
      </c>
      <c r="B28" s="4" t="s">
        <v>195</v>
      </c>
      <c r="C28" s="4">
        <v>22293</v>
      </c>
    </row>
    <row r="29" spans="1:3" x14ac:dyDescent="0.25">
      <c r="A29" s="4" t="s">
        <v>19</v>
      </c>
      <c r="B29" s="4" t="s">
        <v>196</v>
      </c>
      <c r="C29" s="4">
        <v>22295</v>
      </c>
    </row>
    <row r="30" spans="1:3" x14ac:dyDescent="0.25">
      <c r="A30" s="4" t="s">
        <v>20</v>
      </c>
      <c r="B30" s="4" t="s">
        <v>197</v>
      </c>
      <c r="C30" s="4">
        <v>22294</v>
      </c>
    </row>
    <row r="31" spans="1:3" x14ac:dyDescent="0.25">
      <c r="A31" s="4" t="s">
        <v>201</v>
      </c>
      <c r="B31" s="4" t="s">
        <v>198</v>
      </c>
      <c r="C31" s="5">
        <v>22296</v>
      </c>
    </row>
    <row r="32" spans="1:3" x14ac:dyDescent="0.25">
      <c r="A32" s="4" t="s">
        <v>167</v>
      </c>
      <c r="B32" s="4" t="s">
        <v>199</v>
      </c>
      <c r="C32" s="4">
        <v>20019</v>
      </c>
    </row>
    <row r="33" spans="1:3" x14ac:dyDescent="0.25">
      <c r="A33" s="4" t="s">
        <v>168</v>
      </c>
      <c r="B33" s="4" t="s">
        <v>200</v>
      </c>
      <c r="C33" s="4">
        <v>282</v>
      </c>
    </row>
    <row r="34" spans="1:3" x14ac:dyDescent="0.25">
      <c r="A34" s="4" t="s">
        <v>21</v>
      </c>
      <c r="B34" s="4" t="s">
        <v>174</v>
      </c>
      <c r="C34" s="4"/>
    </row>
    <row r="35" spans="1:3" x14ac:dyDescent="0.25">
      <c r="A35" s="4" t="s">
        <v>22</v>
      </c>
      <c r="B35" s="4" t="s">
        <v>177</v>
      </c>
      <c r="C35" s="4">
        <v>222</v>
      </c>
    </row>
    <row r="36" spans="1:3" x14ac:dyDescent="0.25">
      <c r="A36" s="4" t="s">
        <v>23</v>
      </c>
      <c r="B36" s="4" t="s">
        <v>178</v>
      </c>
      <c r="C36" s="4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2"/>
  <sheetViews>
    <sheetView workbookViewId="0">
      <selection activeCell="B1" sqref="B1:C1048576"/>
    </sheetView>
  </sheetViews>
  <sheetFormatPr defaultRowHeight="15" x14ac:dyDescent="0.25"/>
  <cols>
    <col min="1" max="1" width="46" customWidth="1"/>
    <col min="2" max="2" width="54" customWidth="1"/>
    <col min="3" max="3" width="7.5703125" bestFit="1" customWidth="1"/>
  </cols>
  <sheetData>
    <row r="1" spans="1:3" x14ac:dyDescent="0.25">
      <c r="A1" s="1" t="s">
        <v>171</v>
      </c>
      <c r="B1" s="2" t="s">
        <v>172</v>
      </c>
      <c r="C1" s="3" t="s">
        <v>173</v>
      </c>
    </row>
    <row r="2" spans="1:3" x14ac:dyDescent="0.25">
      <c r="A2" s="4" t="s">
        <v>108</v>
      </c>
      <c r="B2" s="4" t="s">
        <v>174</v>
      </c>
      <c r="C2" s="4"/>
    </row>
    <row r="3" spans="1:3" x14ac:dyDescent="0.25">
      <c r="A3" s="4" t="s">
        <v>24</v>
      </c>
      <c r="B3" s="4" t="s">
        <v>174</v>
      </c>
      <c r="C3" s="4"/>
    </row>
    <row r="4" spans="1:3" x14ac:dyDescent="0.25">
      <c r="A4" s="4" t="s">
        <v>25</v>
      </c>
      <c r="B4" s="4" t="s">
        <v>202</v>
      </c>
      <c r="C4" s="5">
        <v>20222</v>
      </c>
    </row>
    <row r="5" spans="1:3" x14ac:dyDescent="0.25">
      <c r="A5" s="4" t="s">
        <v>26</v>
      </c>
      <c r="B5" s="4" t="s">
        <v>203</v>
      </c>
      <c r="C5" s="5">
        <v>13720</v>
      </c>
    </row>
    <row r="6" spans="1:3" x14ac:dyDescent="0.25">
      <c r="A6" s="4" t="s">
        <v>27</v>
      </c>
      <c r="B6" s="4" t="s">
        <v>204</v>
      </c>
      <c r="C6" s="5">
        <v>25736</v>
      </c>
    </row>
    <row r="7" spans="1:3" x14ac:dyDescent="0.25">
      <c r="A7" s="4" t="s">
        <v>28</v>
      </c>
      <c r="B7" s="4" t="s">
        <v>28</v>
      </c>
      <c r="C7" s="4">
        <v>20220</v>
      </c>
    </row>
    <row r="8" spans="1:3" x14ac:dyDescent="0.25">
      <c r="A8" s="4" t="s">
        <v>29</v>
      </c>
      <c r="B8" s="4" t="s">
        <v>237</v>
      </c>
      <c r="C8" s="4">
        <v>20221</v>
      </c>
    </row>
    <row r="9" spans="1:3" x14ac:dyDescent="0.25">
      <c r="A9" s="4" t="s">
        <v>30</v>
      </c>
      <c r="B9" s="4" t="s">
        <v>30</v>
      </c>
      <c r="C9" s="4">
        <v>13736</v>
      </c>
    </row>
    <row r="10" spans="1:3" x14ac:dyDescent="0.25">
      <c r="A10" s="4" t="s">
        <v>31</v>
      </c>
      <c r="B10" s="4" t="s">
        <v>205</v>
      </c>
      <c r="C10" s="5">
        <v>20219</v>
      </c>
    </row>
    <row r="11" spans="1:3" x14ac:dyDescent="0.25">
      <c r="A11" s="4" t="s">
        <v>32</v>
      </c>
      <c r="B11" s="4" t="s">
        <v>268</v>
      </c>
      <c r="C11" s="4"/>
    </row>
    <row r="12" spans="1:3" x14ac:dyDescent="0.25">
      <c r="A12" s="4" t="s">
        <v>138</v>
      </c>
      <c r="B12" s="4" t="s">
        <v>174</v>
      </c>
      <c r="C12" s="4"/>
    </row>
    <row r="13" spans="1:3" x14ac:dyDescent="0.25">
      <c r="A13" s="4" t="s">
        <v>33</v>
      </c>
      <c r="B13" s="4" t="s">
        <v>174</v>
      </c>
      <c r="C13" s="5"/>
    </row>
    <row r="14" spans="1:3" x14ac:dyDescent="0.25">
      <c r="A14" s="4" t="s">
        <v>34</v>
      </c>
      <c r="B14" s="4" t="s">
        <v>207</v>
      </c>
      <c r="C14" s="5">
        <v>13748</v>
      </c>
    </row>
    <row r="15" spans="1:3" x14ac:dyDescent="0.25">
      <c r="A15" s="4" t="s">
        <v>139</v>
      </c>
      <c r="B15" s="4" t="s">
        <v>208</v>
      </c>
      <c r="C15" s="5">
        <v>20218</v>
      </c>
    </row>
    <row r="16" spans="1:3" x14ac:dyDescent="0.25">
      <c r="A16" s="4" t="s">
        <v>140</v>
      </c>
      <c r="B16" s="4" t="s">
        <v>209</v>
      </c>
      <c r="C16" s="5">
        <v>20217</v>
      </c>
    </row>
    <row r="17" spans="1:3" x14ac:dyDescent="0.25">
      <c r="A17" s="4" t="s">
        <v>141</v>
      </c>
      <c r="B17" s="4" t="s">
        <v>206</v>
      </c>
      <c r="C17" s="5">
        <v>20216</v>
      </c>
    </row>
    <row r="18" spans="1:3" x14ac:dyDescent="0.25">
      <c r="A18" s="4" t="s">
        <v>109</v>
      </c>
      <c r="B18" s="2"/>
      <c r="C18" s="7"/>
    </row>
    <row r="19" spans="1:3" x14ac:dyDescent="0.25">
      <c r="A19" s="4" t="s">
        <v>35</v>
      </c>
      <c r="B19" s="4" t="s">
        <v>210</v>
      </c>
      <c r="C19" s="5">
        <v>13726</v>
      </c>
    </row>
    <row r="20" spans="1:3" x14ac:dyDescent="0.25">
      <c r="A20" s="4" t="s">
        <v>36</v>
      </c>
      <c r="B20" s="4" t="s">
        <v>211</v>
      </c>
      <c r="C20" s="5">
        <v>13753</v>
      </c>
    </row>
    <row r="21" spans="1:3" x14ac:dyDescent="0.25">
      <c r="A21" s="4" t="s">
        <v>142</v>
      </c>
      <c r="B21" s="4" t="s">
        <v>110</v>
      </c>
      <c r="C21" s="4">
        <v>13777</v>
      </c>
    </row>
    <row r="22" spans="1:3" x14ac:dyDescent="0.25">
      <c r="A22" s="4" t="s">
        <v>37</v>
      </c>
      <c r="B22" s="4" t="s">
        <v>174</v>
      </c>
      <c r="C22" s="4"/>
    </row>
    <row r="23" spans="1:3" x14ac:dyDescent="0.25">
      <c r="A23" s="4" t="s">
        <v>38</v>
      </c>
      <c r="B23" s="4" t="s">
        <v>38</v>
      </c>
      <c r="C23" s="5">
        <v>13737</v>
      </c>
    </row>
    <row r="24" spans="1:3" x14ac:dyDescent="0.25">
      <c r="A24" s="4" t="s">
        <v>39</v>
      </c>
      <c r="B24" s="4" t="s">
        <v>174</v>
      </c>
      <c r="C24" s="4"/>
    </row>
    <row r="25" spans="1:3" x14ac:dyDescent="0.25">
      <c r="A25" s="4" t="s">
        <v>40</v>
      </c>
      <c r="B25" s="4" t="s">
        <v>212</v>
      </c>
      <c r="C25" s="5">
        <v>13724</v>
      </c>
    </row>
    <row r="26" spans="1:3" x14ac:dyDescent="0.25">
      <c r="A26" s="4" t="s">
        <v>143</v>
      </c>
      <c r="B26" s="4" t="s">
        <v>208</v>
      </c>
      <c r="C26" s="5">
        <v>13780</v>
      </c>
    </row>
    <row r="27" spans="1:3" x14ac:dyDescent="0.25">
      <c r="A27" s="4" t="s">
        <v>41</v>
      </c>
      <c r="B27" s="4" t="s">
        <v>213</v>
      </c>
      <c r="C27" s="5">
        <v>13722</v>
      </c>
    </row>
    <row r="28" spans="1:3" x14ac:dyDescent="0.25">
      <c r="A28" s="4" t="s">
        <v>42</v>
      </c>
      <c r="B28" s="4" t="s">
        <v>42</v>
      </c>
      <c r="C28" s="5">
        <v>29788</v>
      </c>
    </row>
    <row r="29" spans="1:3" x14ac:dyDescent="0.25">
      <c r="A29" s="4" t="s">
        <v>144</v>
      </c>
      <c r="B29" s="4" t="s">
        <v>214</v>
      </c>
      <c r="C29" s="5">
        <v>20230</v>
      </c>
    </row>
    <row r="30" spans="1:3" x14ac:dyDescent="0.25">
      <c r="A30" s="4" t="s">
        <v>145</v>
      </c>
      <c r="B30" s="4" t="s">
        <v>215</v>
      </c>
      <c r="C30" s="5">
        <v>20231</v>
      </c>
    </row>
    <row r="31" spans="1:3" x14ac:dyDescent="0.25">
      <c r="A31" s="4" t="s">
        <v>111</v>
      </c>
      <c r="B31" s="4"/>
      <c r="C31" s="4"/>
    </row>
    <row r="32" spans="1:3" x14ac:dyDescent="0.25">
      <c r="A32" s="4" t="s">
        <v>43</v>
      </c>
      <c r="B32" s="4" t="s">
        <v>216</v>
      </c>
      <c r="C32" s="5">
        <v>20228</v>
      </c>
    </row>
    <row r="33" spans="1:3" x14ac:dyDescent="0.25">
      <c r="A33" s="4" t="s">
        <v>44</v>
      </c>
      <c r="B33" s="4" t="s">
        <v>217</v>
      </c>
      <c r="C33" s="5">
        <v>13750</v>
      </c>
    </row>
    <row r="34" spans="1:3" x14ac:dyDescent="0.25">
      <c r="A34" s="4" t="s">
        <v>112</v>
      </c>
      <c r="B34" s="4" t="s">
        <v>112</v>
      </c>
      <c r="C34" s="4">
        <v>13774</v>
      </c>
    </row>
    <row r="35" spans="1:3" x14ac:dyDescent="0.25">
      <c r="A35" s="4" t="s">
        <v>45</v>
      </c>
      <c r="B35" s="4" t="s">
        <v>218</v>
      </c>
      <c r="C35" s="5">
        <v>20208</v>
      </c>
    </row>
    <row r="36" spans="1:3" x14ac:dyDescent="0.25">
      <c r="A36" s="4" t="s">
        <v>46</v>
      </c>
      <c r="B36" s="4" t="s">
        <v>219</v>
      </c>
      <c r="C36" s="5">
        <v>33087</v>
      </c>
    </row>
    <row r="37" spans="1:3" x14ac:dyDescent="0.25">
      <c r="A37" s="4" t="s">
        <v>47</v>
      </c>
      <c r="B37" s="4" t="s">
        <v>47</v>
      </c>
      <c r="C37" s="4">
        <v>13771</v>
      </c>
    </row>
    <row r="38" spans="1:3" x14ac:dyDescent="0.25">
      <c r="A38" s="4" t="s">
        <v>48</v>
      </c>
      <c r="B38" s="4" t="s">
        <v>174</v>
      </c>
      <c r="C38" s="5"/>
    </row>
    <row r="39" spans="1:3" x14ac:dyDescent="0.25">
      <c r="A39" s="4" t="s">
        <v>49</v>
      </c>
      <c r="B39" s="4" t="s">
        <v>174</v>
      </c>
      <c r="C39" s="4"/>
    </row>
    <row r="40" spans="1:3" x14ac:dyDescent="0.25">
      <c r="A40" s="4" t="s">
        <v>50</v>
      </c>
      <c r="B40" s="4" t="s">
        <v>174</v>
      </c>
      <c r="C40" s="4"/>
    </row>
    <row r="41" spans="1:3" x14ac:dyDescent="0.25">
      <c r="A41" s="4" t="s">
        <v>51</v>
      </c>
      <c r="B41" s="4" t="s">
        <v>220</v>
      </c>
      <c r="C41" s="5">
        <v>13765</v>
      </c>
    </row>
    <row r="42" spans="1:3" x14ac:dyDescent="0.25">
      <c r="A42" s="4" t="s">
        <v>52</v>
      </c>
      <c r="B42" s="4" t="s">
        <v>221</v>
      </c>
      <c r="C42" s="5">
        <v>13762</v>
      </c>
    </row>
    <row r="43" spans="1:3" x14ac:dyDescent="0.25">
      <c r="A43" s="4" t="s">
        <v>53</v>
      </c>
      <c r="B43" s="4"/>
      <c r="C43" s="4"/>
    </row>
    <row r="44" spans="1:3" x14ac:dyDescent="0.25">
      <c r="A44" s="4" t="s">
        <v>54</v>
      </c>
      <c r="B44" s="4" t="s">
        <v>54</v>
      </c>
      <c r="C44" s="4"/>
    </row>
    <row r="45" spans="1:3" x14ac:dyDescent="0.25">
      <c r="A45" s="4" t="s">
        <v>114</v>
      </c>
      <c r="B45" s="4" t="s">
        <v>222</v>
      </c>
      <c r="C45" s="4">
        <v>13773</v>
      </c>
    </row>
    <row r="46" spans="1:3" x14ac:dyDescent="0.25">
      <c r="A46" s="4" t="s">
        <v>115</v>
      </c>
      <c r="B46" s="4" t="s">
        <v>174</v>
      </c>
      <c r="C46" s="4"/>
    </row>
    <row r="47" spans="1:3" x14ac:dyDescent="0.25">
      <c r="A47" s="4" t="s">
        <v>146</v>
      </c>
      <c r="B47" s="4" t="s">
        <v>174</v>
      </c>
      <c r="C47" s="4"/>
    </row>
    <row r="48" spans="1:3" x14ac:dyDescent="0.25">
      <c r="A48" s="4" t="s">
        <v>55</v>
      </c>
      <c r="B48" s="4" t="s">
        <v>174</v>
      </c>
      <c r="C48" s="4"/>
    </row>
    <row r="49" spans="1:3" x14ac:dyDescent="0.25">
      <c r="A49" s="4" t="s">
        <v>147</v>
      </c>
      <c r="B49" s="4" t="s">
        <v>223</v>
      </c>
      <c r="C49" s="5">
        <v>20223</v>
      </c>
    </row>
    <row r="50" spans="1:3" x14ac:dyDescent="0.25">
      <c r="A50" s="4" t="s">
        <v>148</v>
      </c>
      <c r="B50" s="4" t="s">
        <v>224</v>
      </c>
      <c r="C50" s="5">
        <v>20227</v>
      </c>
    </row>
    <row r="51" spans="1:3" x14ac:dyDescent="0.25">
      <c r="A51" s="4" t="s">
        <v>149</v>
      </c>
      <c r="B51" s="4" t="s">
        <v>225</v>
      </c>
      <c r="C51" s="5">
        <v>20226</v>
      </c>
    </row>
    <row r="52" spans="1:3" x14ac:dyDescent="0.25">
      <c r="A52" s="4" t="s">
        <v>56</v>
      </c>
      <c r="B52" s="4"/>
      <c r="C52" s="4"/>
    </row>
    <row r="53" spans="1:3" x14ac:dyDescent="0.25">
      <c r="A53" s="4" t="s">
        <v>150</v>
      </c>
      <c r="B53" s="4" t="s">
        <v>226</v>
      </c>
      <c r="C53" s="4">
        <v>13743</v>
      </c>
    </row>
    <row r="54" spans="1:3" x14ac:dyDescent="0.25">
      <c r="A54" s="4" t="s">
        <v>151</v>
      </c>
      <c r="B54" s="4" t="s">
        <v>227</v>
      </c>
      <c r="C54" s="5">
        <v>13727</v>
      </c>
    </row>
    <row r="55" spans="1:3" x14ac:dyDescent="0.25">
      <c r="A55" s="4" t="s">
        <v>152</v>
      </c>
      <c r="B55" s="4" t="s">
        <v>152</v>
      </c>
      <c r="C55" s="5">
        <v>33070</v>
      </c>
    </row>
    <row r="56" spans="1:3" x14ac:dyDescent="0.25">
      <c r="A56" s="4" t="s">
        <v>153</v>
      </c>
      <c r="B56" s="4" t="s">
        <v>228</v>
      </c>
      <c r="C56" s="4">
        <v>26449</v>
      </c>
    </row>
    <row r="57" spans="1:3" x14ac:dyDescent="0.25">
      <c r="A57" s="4" t="s">
        <v>57</v>
      </c>
      <c r="B57" s="4" t="s">
        <v>229</v>
      </c>
      <c r="C57" s="4">
        <v>13778</v>
      </c>
    </row>
    <row r="58" spans="1:3" x14ac:dyDescent="0.25">
      <c r="A58" s="4" t="s">
        <v>58</v>
      </c>
      <c r="B58" s="4" t="s">
        <v>174</v>
      </c>
      <c r="C58" s="4"/>
    </row>
    <row r="59" spans="1:3" x14ac:dyDescent="0.25">
      <c r="A59" s="4" t="s">
        <v>59</v>
      </c>
      <c r="B59" s="4" t="s">
        <v>174</v>
      </c>
      <c r="C59" s="4"/>
    </row>
    <row r="60" spans="1:3" x14ac:dyDescent="0.25">
      <c r="A60" s="4" t="s">
        <v>154</v>
      </c>
      <c r="B60" s="4" t="s">
        <v>223</v>
      </c>
      <c r="C60" s="4">
        <v>20209</v>
      </c>
    </row>
    <row r="61" spans="1:3" x14ac:dyDescent="0.25">
      <c r="A61" s="4" t="s">
        <v>155</v>
      </c>
      <c r="B61" s="4" t="s">
        <v>224</v>
      </c>
      <c r="C61" s="4">
        <v>13779</v>
      </c>
    </row>
    <row r="62" spans="1:3" x14ac:dyDescent="0.25">
      <c r="A62" s="4" t="s">
        <v>156</v>
      </c>
      <c r="B62" s="4" t="s">
        <v>230</v>
      </c>
      <c r="C62" s="4">
        <v>20214</v>
      </c>
    </row>
    <row r="63" spans="1:3" x14ac:dyDescent="0.25">
      <c r="A63" s="4" t="s">
        <v>60</v>
      </c>
      <c r="B63" s="4"/>
      <c r="C63" s="4"/>
    </row>
    <row r="64" spans="1:3" x14ac:dyDescent="0.25">
      <c r="A64" s="4" t="s">
        <v>61</v>
      </c>
      <c r="B64" s="4" t="s">
        <v>231</v>
      </c>
      <c r="C64" s="5">
        <v>26450</v>
      </c>
    </row>
    <row r="65" spans="1:3" x14ac:dyDescent="0.25">
      <c r="A65" s="4" t="s">
        <v>157</v>
      </c>
      <c r="B65" s="4" t="s">
        <v>232</v>
      </c>
      <c r="C65" s="5">
        <v>13767</v>
      </c>
    </row>
    <row r="66" spans="1:3" x14ac:dyDescent="0.25">
      <c r="A66" s="4" t="s">
        <v>62</v>
      </c>
      <c r="B66" s="4" t="s">
        <v>233</v>
      </c>
      <c r="C66" s="5">
        <v>20211</v>
      </c>
    </row>
    <row r="67" spans="1:3" x14ac:dyDescent="0.25">
      <c r="A67" s="4" t="s">
        <v>158</v>
      </c>
      <c r="B67" s="4" t="s">
        <v>158</v>
      </c>
      <c r="C67" s="5">
        <v>33069</v>
      </c>
    </row>
    <row r="68" spans="1:3" x14ac:dyDescent="0.25">
      <c r="A68" s="4" t="s">
        <v>159</v>
      </c>
      <c r="B68" s="4" t="s">
        <v>234</v>
      </c>
      <c r="C68" s="4">
        <v>13775</v>
      </c>
    </row>
    <row r="69" spans="1:3" x14ac:dyDescent="0.25">
      <c r="A69" s="4" t="s">
        <v>63</v>
      </c>
      <c r="B69" s="4" t="s">
        <v>63</v>
      </c>
      <c r="C69" s="4">
        <v>25685</v>
      </c>
    </row>
    <row r="70" spans="1:3" x14ac:dyDescent="0.25">
      <c r="A70" s="4" t="s">
        <v>160</v>
      </c>
      <c r="B70" s="4" t="s">
        <v>160</v>
      </c>
      <c r="C70" s="4">
        <v>33088</v>
      </c>
    </row>
    <row r="71" spans="1:3" x14ac:dyDescent="0.25">
      <c r="A71" s="4" t="s">
        <v>64</v>
      </c>
      <c r="B71" s="4"/>
      <c r="C71" s="4"/>
    </row>
    <row r="72" spans="1:3" x14ac:dyDescent="0.25">
      <c r="A72" s="4" t="s">
        <v>161</v>
      </c>
      <c r="B72" s="4" t="s">
        <v>235</v>
      </c>
      <c r="C72" s="4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1"/>
  <sheetViews>
    <sheetView workbookViewId="0">
      <selection activeCell="B1" sqref="B1"/>
    </sheetView>
  </sheetViews>
  <sheetFormatPr defaultRowHeight="15" x14ac:dyDescent="0.25"/>
  <cols>
    <col min="1" max="1" width="35.28515625" customWidth="1"/>
    <col min="2" max="2" width="46.140625" customWidth="1"/>
    <col min="3" max="3" width="7.5703125" bestFit="1" customWidth="1"/>
  </cols>
  <sheetData>
    <row r="1" spans="1:3" x14ac:dyDescent="0.25">
      <c r="A1" s="1" t="s">
        <v>171</v>
      </c>
      <c r="B1" s="2" t="s">
        <v>172</v>
      </c>
      <c r="C1" s="3" t="s">
        <v>173</v>
      </c>
    </row>
    <row r="2" spans="1:3" x14ac:dyDescent="0.25">
      <c r="A2" s="4" t="s">
        <v>108</v>
      </c>
      <c r="B2" s="4" t="s">
        <v>174</v>
      </c>
      <c r="C2" s="4"/>
    </row>
    <row r="3" spans="1:3" x14ac:dyDescent="0.25">
      <c r="A3" s="4" t="s">
        <v>24</v>
      </c>
      <c r="B3" s="4" t="s">
        <v>174</v>
      </c>
      <c r="C3" s="4"/>
    </row>
    <row r="4" spans="1:3" x14ac:dyDescent="0.25">
      <c r="A4" s="4" t="s">
        <v>169</v>
      </c>
      <c r="B4" s="4" t="s">
        <v>202</v>
      </c>
      <c r="C4" s="5">
        <v>20222</v>
      </c>
    </row>
    <row r="5" spans="1:3" x14ac:dyDescent="0.25">
      <c r="A5" s="4" t="s">
        <v>26</v>
      </c>
      <c r="B5" s="4" t="s">
        <v>203</v>
      </c>
      <c r="C5" s="4">
        <v>13720</v>
      </c>
    </row>
    <row r="6" spans="1:3" x14ac:dyDescent="0.25">
      <c r="A6" s="4" t="s">
        <v>27</v>
      </c>
      <c r="B6" s="4" t="s">
        <v>204</v>
      </c>
      <c r="C6" s="4">
        <v>25736</v>
      </c>
    </row>
    <row r="7" spans="1:3" x14ac:dyDescent="0.25">
      <c r="A7" s="4" t="s">
        <v>28</v>
      </c>
      <c r="B7" s="4" t="s">
        <v>236</v>
      </c>
      <c r="C7" s="5">
        <v>13734</v>
      </c>
    </row>
    <row r="8" spans="1:3" x14ac:dyDescent="0.25">
      <c r="A8" s="4" t="s">
        <v>29</v>
      </c>
      <c r="B8" s="4" t="s">
        <v>237</v>
      </c>
      <c r="C8" s="4">
        <v>20221</v>
      </c>
    </row>
    <row r="9" spans="1:3" x14ac:dyDescent="0.25">
      <c r="A9" s="4" t="s">
        <v>30</v>
      </c>
      <c r="B9" s="4" t="s">
        <v>30</v>
      </c>
      <c r="C9" s="4">
        <v>13736</v>
      </c>
    </row>
    <row r="10" spans="1:3" x14ac:dyDescent="0.25">
      <c r="A10" s="4" t="s">
        <v>31</v>
      </c>
      <c r="B10" s="4" t="s">
        <v>205</v>
      </c>
      <c r="C10" s="4">
        <v>20219</v>
      </c>
    </row>
    <row r="11" spans="1:3" x14ac:dyDescent="0.25">
      <c r="A11" s="4" t="s">
        <v>32</v>
      </c>
      <c r="B11" s="4" t="s">
        <v>268</v>
      </c>
      <c r="C11" s="4"/>
    </row>
    <row r="12" spans="1:3" x14ac:dyDescent="0.25">
      <c r="A12" s="4" t="s">
        <v>33</v>
      </c>
      <c r="B12" s="4" t="s">
        <v>174</v>
      </c>
      <c r="C12" s="4"/>
    </row>
    <row r="13" spans="1:3" x14ac:dyDescent="0.25">
      <c r="A13" s="4" t="s">
        <v>34</v>
      </c>
      <c r="B13" s="4" t="s">
        <v>207</v>
      </c>
      <c r="C13" s="4">
        <v>13748</v>
      </c>
    </row>
    <row r="14" spans="1:3" x14ac:dyDescent="0.25">
      <c r="A14" s="4" t="s">
        <v>139</v>
      </c>
      <c r="B14" s="4" t="s">
        <v>208</v>
      </c>
      <c r="C14" s="4">
        <v>20218</v>
      </c>
    </row>
    <row r="15" spans="1:3" x14ac:dyDescent="0.25">
      <c r="A15" s="4" t="s">
        <v>140</v>
      </c>
      <c r="B15" s="4" t="s">
        <v>209</v>
      </c>
      <c r="C15" s="4">
        <v>20217</v>
      </c>
    </row>
    <row r="16" spans="1:3" x14ac:dyDescent="0.25">
      <c r="A16" s="4" t="s">
        <v>141</v>
      </c>
      <c r="B16" s="4" t="s">
        <v>206</v>
      </c>
      <c r="C16" s="4">
        <v>20216</v>
      </c>
    </row>
    <row r="17" spans="1:3" x14ac:dyDescent="0.25">
      <c r="A17" s="4" t="s">
        <v>109</v>
      </c>
      <c r="B17" s="4"/>
      <c r="C17" s="4"/>
    </row>
    <row r="18" spans="1:3" x14ac:dyDescent="0.25">
      <c r="A18" s="4" t="s">
        <v>35</v>
      </c>
      <c r="B18" s="4" t="s">
        <v>210</v>
      </c>
      <c r="C18" s="4">
        <v>13726</v>
      </c>
    </row>
    <row r="19" spans="1:3" x14ac:dyDescent="0.25">
      <c r="A19" s="4" t="s">
        <v>36</v>
      </c>
      <c r="B19" s="4" t="s">
        <v>211</v>
      </c>
      <c r="C19" s="4">
        <v>13753</v>
      </c>
    </row>
    <row r="20" spans="1:3" x14ac:dyDescent="0.25">
      <c r="A20" s="4" t="s">
        <v>110</v>
      </c>
      <c r="B20" s="4" t="s">
        <v>110</v>
      </c>
      <c r="C20" s="4">
        <v>13777</v>
      </c>
    </row>
    <row r="21" spans="1:3" x14ac:dyDescent="0.25">
      <c r="A21" s="4" t="s">
        <v>37</v>
      </c>
      <c r="B21" s="4" t="s">
        <v>174</v>
      </c>
      <c r="C21" s="4"/>
    </row>
    <row r="22" spans="1:3" x14ac:dyDescent="0.25">
      <c r="A22" s="4" t="s">
        <v>38</v>
      </c>
      <c r="B22" s="4" t="s">
        <v>38</v>
      </c>
      <c r="C22" s="4">
        <v>13737</v>
      </c>
    </row>
    <row r="23" spans="1:3" x14ac:dyDescent="0.25">
      <c r="A23" s="4" t="s">
        <v>39</v>
      </c>
      <c r="B23" s="4" t="s">
        <v>174</v>
      </c>
      <c r="C23" s="4"/>
    </row>
    <row r="24" spans="1:3" x14ac:dyDescent="0.25">
      <c r="A24" s="4" t="s">
        <v>40</v>
      </c>
      <c r="B24" s="4" t="s">
        <v>212</v>
      </c>
      <c r="C24" s="4">
        <v>13724</v>
      </c>
    </row>
    <row r="25" spans="1:3" x14ac:dyDescent="0.25">
      <c r="A25" s="4" t="s">
        <v>143</v>
      </c>
      <c r="B25" s="4" t="s">
        <v>208</v>
      </c>
      <c r="C25" s="4">
        <v>13780</v>
      </c>
    </row>
    <row r="26" spans="1:3" x14ac:dyDescent="0.25">
      <c r="A26" s="4" t="s">
        <v>41</v>
      </c>
      <c r="B26" s="4" t="s">
        <v>213</v>
      </c>
      <c r="C26" s="4">
        <v>13722</v>
      </c>
    </row>
    <row r="27" spans="1:3" x14ac:dyDescent="0.25">
      <c r="A27" s="4" t="s">
        <v>42</v>
      </c>
      <c r="B27" s="4" t="s">
        <v>42</v>
      </c>
      <c r="C27" s="4">
        <v>29788</v>
      </c>
    </row>
    <row r="28" spans="1:3" x14ac:dyDescent="0.25">
      <c r="A28" s="4" t="s">
        <v>144</v>
      </c>
      <c r="B28" s="4" t="s">
        <v>214</v>
      </c>
      <c r="C28" s="4">
        <v>20230</v>
      </c>
    </row>
    <row r="29" spans="1:3" x14ac:dyDescent="0.25">
      <c r="A29" s="4" t="s">
        <v>145</v>
      </c>
      <c r="B29" s="4" t="s">
        <v>215</v>
      </c>
      <c r="C29" s="4">
        <v>20231</v>
      </c>
    </row>
    <row r="30" spans="1:3" x14ac:dyDescent="0.25">
      <c r="A30" s="4" t="s">
        <v>111</v>
      </c>
      <c r="B30" s="4"/>
      <c r="C30" s="4"/>
    </row>
    <row r="31" spans="1:3" x14ac:dyDescent="0.25">
      <c r="A31" s="4" t="s">
        <v>43</v>
      </c>
      <c r="B31" s="4" t="s">
        <v>216</v>
      </c>
      <c r="C31" s="4">
        <v>20228</v>
      </c>
    </row>
    <row r="32" spans="1:3" x14ac:dyDescent="0.25">
      <c r="A32" s="4" t="s">
        <v>44</v>
      </c>
      <c r="B32" s="4" t="s">
        <v>217</v>
      </c>
      <c r="C32" s="4">
        <v>13750</v>
      </c>
    </row>
    <row r="33" spans="1:3" x14ac:dyDescent="0.25">
      <c r="A33" s="4" t="s">
        <v>112</v>
      </c>
      <c r="B33" s="4" t="s">
        <v>112</v>
      </c>
      <c r="C33" s="4">
        <v>13774</v>
      </c>
    </row>
    <row r="34" spans="1:3" x14ac:dyDescent="0.25">
      <c r="A34" s="4" t="s">
        <v>45</v>
      </c>
      <c r="B34" s="4" t="s">
        <v>218</v>
      </c>
      <c r="C34" s="4">
        <v>20208</v>
      </c>
    </row>
    <row r="35" spans="1:3" x14ac:dyDescent="0.25">
      <c r="A35" s="4" t="s">
        <v>46</v>
      </c>
      <c r="B35" s="4" t="s">
        <v>219</v>
      </c>
      <c r="C35" s="4">
        <v>33087</v>
      </c>
    </row>
    <row r="36" spans="1:3" x14ac:dyDescent="0.25">
      <c r="A36" s="4" t="s">
        <v>47</v>
      </c>
      <c r="B36" s="4" t="s">
        <v>47</v>
      </c>
      <c r="C36" s="4">
        <v>13771</v>
      </c>
    </row>
    <row r="37" spans="1:3" x14ac:dyDescent="0.25">
      <c r="A37" s="4" t="s">
        <v>48</v>
      </c>
      <c r="B37" s="4" t="s">
        <v>174</v>
      </c>
      <c r="C37" s="4"/>
    </row>
    <row r="38" spans="1:3" x14ac:dyDescent="0.25">
      <c r="A38" s="4" t="s">
        <v>49</v>
      </c>
      <c r="B38" s="4" t="s">
        <v>174</v>
      </c>
      <c r="C38" s="4"/>
    </row>
    <row r="39" spans="1:3" x14ac:dyDescent="0.25">
      <c r="A39" s="4" t="s">
        <v>50</v>
      </c>
      <c r="B39" s="4" t="s">
        <v>174</v>
      </c>
      <c r="C39" s="4"/>
    </row>
    <row r="40" spans="1:3" x14ac:dyDescent="0.25">
      <c r="A40" s="4" t="s">
        <v>51</v>
      </c>
      <c r="B40" s="4" t="s">
        <v>220</v>
      </c>
      <c r="C40" s="4">
        <v>13765</v>
      </c>
    </row>
    <row r="41" spans="1:3" x14ac:dyDescent="0.25">
      <c r="A41" s="4" t="s">
        <v>52</v>
      </c>
      <c r="B41" s="4" t="s">
        <v>221</v>
      </c>
      <c r="C41" s="4">
        <v>13762</v>
      </c>
    </row>
    <row r="42" spans="1:3" x14ac:dyDescent="0.25">
      <c r="A42" s="4" t="s">
        <v>53</v>
      </c>
      <c r="B42" s="4"/>
      <c r="C42" s="4"/>
    </row>
    <row r="43" spans="1:3" x14ac:dyDescent="0.25">
      <c r="A43" s="4" t="s">
        <v>113</v>
      </c>
      <c r="B43" s="4" t="s">
        <v>113</v>
      </c>
      <c r="C43" s="4"/>
    </row>
    <row r="44" spans="1:3" x14ac:dyDescent="0.25">
      <c r="A44" s="4" t="s">
        <v>114</v>
      </c>
      <c r="B44" s="4" t="s">
        <v>222</v>
      </c>
      <c r="C44" s="4">
        <v>13773</v>
      </c>
    </row>
    <row r="45" spans="1:3" x14ac:dyDescent="0.25">
      <c r="A45" s="4" t="s">
        <v>115</v>
      </c>
      <c r="B45" s="4" t="s">
        <v>174</v>
      </c>
      <c r="C45" s="4"/>
    </row>
    <row r="46" spans="1:3" x14ac:dyDescent="0.25">
      <c r="A46" s="4" t="s">
        <v>116</v>
      </c>
      <c r="B46" s="4" t="s">
        <v>174</v>
      </c>
      <c r="C46" s="4"/>
    </row>
    <row r="47" spans="1:3" x14ac:dyDescent="0.25">
      <c r="A47" s="4" t="s">
        <v>55</v>
      </c>
      <c r="B47" s="4" t="s">
        <v>174</v>
      </c>
      <c r="C47" s="4"/>
    </row>
    <row r="48" spans="1:3" x14ac:dyDescent="0.25">
      <c r="A48" s="4" t="s">
        <v>147</v>
      </c>
      <c r="B48" s="4" t="s">
        <v>223</v>
      </c>
      <c r="C48" s="4">
        <v>20223</v>
      </c>
    </row>
    <row r="49" spans="1:3" x14ac:dyDescent="0.25">
      <c r="A49" s="4" t="s">
        <v>148</v>
      </c>
      <c r="B49" s="4" t="s">
        <v>224</v>
      </c>
      <c r="C49" s="4">
        <v>20227</v>
      </c>
    </row>
    <row r="50" spans="1:3" x14ac:dyDescent="0.25">
      <c r="A50" s="4" t="s">
        <v>149</v>
      </c>
      <c r="B50" s="4" t="s">
        <v>225</v>
      </c>
      <c r="C50" s="4">
        <v>20226</v>
      </c>
    </row>
    <row r="51" spans="1:3" x14ac:dyDescent="0.25">
      <c r="A51" s="4" t="s">
        <v>56</v>
      </c>
      <c r="B51" s="4"/>
      <c r="C51" s="4"/>
    </row>
    <row r="52" spans="1:3" x14ac:dyDescent="0.25">
      <c r="A52" s="4" t="s">
        <v>150</v>
      </c>
      <c r="B52" s="4" t="s">
        <v>226</v>
      </c>
      <c r="C52" s="4">
        <v>13743</v>
      </c>
    </row>
    <row r="53" spans="1:3" x14ac:dyDescent="0.25">
      <c r="A53" s="4" t="s">
        <v>151</v>
      </c>
      <c r="B53" s="4" t="s">
        <v>227</v>
      </c>
      <c r="C53" s="4">
        <v>13727</v>
      </c>
    </row>
    <row r="54" spans="1:3" x14ac:dyDescent="0.25">
      <c r="A54" s="4" t="s">
        <v>152</v>
      </c>
      <c r="B54" s="4" t="s">
        <v>152</v>
      </c>
      <c r="C54" s="4">
        <v>33070</v>
      </c>
    </row>
    <row r="55" spans="1:3" x14ac:dyDescent="0.25">
      <c r="A55" s="4" t="s">
        <v>153</v>
      </c>
      <c r="B55" s="4" t="s">
        <v>228</v>
      </c>
      <c r="C55" s="4">
        <v>26449</v>
      </c>
    </row>
    <row r="56" spans="1:3" x14ac:dyDescent="0.25">
      <c r="A56" s="4" t="s">
        <v>57</v>
      </c>
      <c r="B56" s="4" t="s">
        <v>229</v>
      </c>
      <c r="C56" s="4">
        <v>13778</v>
      </c>
    </row>
    <row r="57" spans="1:3" x14ac:dyDescent="0.25">
      <c r="A57" s="4" t="s">
        <v>58</v>
      </c>
      <c r="B57" s="4" t="s">
        <v>174</v>
      </c>
      <c r="C57" s="4"/>
    </row>
    <row r="58" spans="1:3" x14ac:dyDescent="0.25">
      <c r="A58" s="4" t="s">
        <v>59</v>
      </c>
      <c r="B58" s="4" t="s">
        <v>174</v>
      </c>
      <c r="C58" s="4"/>
    </row>
    <row r="59" spans="1:3" x14ac:dyDescent="0.25">
      <c r="A59" s="4" t="s">
        <v>154</v>
      </c>
      <c r="B59" s="4" t="s">
        <v>223</v>
      </c>
      <c r="C59" s="4">
        <v>20209</v>
      </c>
    </row>
    <row r="60" spans="1:3" x14ac:dyDescent="0.25">
      <c r="A60" s="4" t="s">
        <v>155</v>
      </c>
      <c r="B60" s="4" t="s">
        <v>224</v>
      </c>
      <c r="C60" s="4">
        <v>13779</v>
      </c>
    </row>
    <row r="61" spans="1:3" x14ac:dyDescent="0.25">
      <c r="A61" s="4" t="s">
        <v>156</v>
      </c>
      <c r="B61" s="4" t="s">
        <v>230</v>
      </c>
      <c r="C61" s="4">
        <v>20214</v>
      </c>
    </row>
    <row r="62" spans="1:3" x14ac:dyDescent="0.25">
      <c r="A62" s="4" t="s">
        <v>60</v>
      </c>
      <c r="B62" s="4"/>
      <c r="C62" s="4"/>
    </row>
    <row r="63" spans="1:3" x14ac:dyDescent="0.25">
      <c r="A63" s="4" t="s">
        <v>61</v>
      </c>
      <c r="B63" s="4" t="s">
        <v>231</v>
      </c>
      <c r="C63" s="4">
        <v>26450</v>
      </c>
    </row>
    <row r="64" spans="1:3" x14ac:dyDescent="0.25">
      <c r="A64" s="4" t="s">
        <v>157</v>
      </c>
      <c r="B64" s="4" t="s">
        <v>232</v>
      </c>
      <c r="C64" s="4">
        <v>13767</v>
      </c>
    </row>
    <row r="65" spans="1:3" x14ac:dyDescent="0.25">
      <c r="A65" s="4" t="s">
        <v>62</v>
      </c>
      <c r="B65" s="4" t="s">
        <v>233</v>
      </c>
      <c r="C65" s="4">
        <v>20211</v>
      </c>
    </row>
    <row r="66" spans="1:3" x14ac:dyDescent="0.25">
      <c r="A66" s="4" t="s">
        <v>158</v>
      </c>
      <c r="B66" s="4" t="s">
        <v>158</v>
      </c>
      <c r="C66" s="4">
        <v>33069</v>
      </c>
    </row>
    <row r="67" spans="1:3" x14ac:dyDescent="0.25">
      <c r="A67" s="4" t="s">
        <v>170</v>
      </c>
      <c r="B67" s="4" t="s">
        <v>234</v>
      </c>
      <c r="C67" s="4">
        <v>13775</v>
      </c>
    </row>
    <row r="68" spans="1:3" x14ac:dyDescent="0.25">
      <c r="A68" s="4" t="s">
        <v>63</v>
      </c>
      <c r="B68" s="4" t="s">
        <v>63</v>
      </c>
      <c r="C68" s="4">
        <v>25685</v>
      </c>
    </row>
    <row r="69" spans="1:3" x14ac:dyDescent="0.25">
      <c r="A69" s="4" t="s">
        <v>160</v>
      </c>
      <c r="B69" s="4" t="s">
        <v>160</v>
      </c>
      <c r="C69" s="4">
        <v>33088</v>
      </c>
    </row>
    <row r="70" spans="1:3" x14ac:dyDescent="0.25">
      <c r="A70" s="4" t="s">
        <v>64</v>
      </c>
      <c r="B70" s="4"/>
      <c r="C70" s="4"/>
    </row>
    <row r="71" spans="1:3" x14ac:dyDescent="0.25">
      <c r="A71" s="4" t="s">
        <v>117</v>
      </c>
      <c r="B71" s="4" t="s">
        <v>235</v>
      </c>
      <c r="C71" s="4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2"/>
  <sheetViews>
    <sheetView workbookViewId="0">
      <selection activeCell="B7" sqref="B7"/>
    </sheetView>
  </sheetViews>
  <sheetFormatPr defaultRowHeight="15" x14ac:dyDescent="0.25"/>
  <cols>
    <col min="1" max="2" width="55.42578125" customWidth="1"/>
    <col min="3" max="3" width="7.5703125" bestFit="1" customWidth="1"/>
  </cols>
  <sheetData>
    <row r="1" spans="1:3" x14ac:dyDescent="0.25">
      <c r="A1" s="1" t="s">
        <v>171</v>
      </c>
      <c r="B1" s="2" t="s">
        <v>172</v>
      </c>
      <c r="C1" s="3" t="s">
        <v>173</v>
      </c>
    </row>
    <row r="2" spans="1:3" x14ac:dyDescent="0.25">
      <c r="A2" s="4" t="s">
        <v>65</v>
      </c>
      <c r="B2" s="4" t="str">
        <f>_xlfn.XLOOKUP(A2,[1]CFS_Standalone!$A:$A,[1]CFS_Standalone!$B:$B)</f>
        <v>Lable</v>
      </c>
      <c r="C2" s="4"/>
    </row>
    <row r="3" spans="1:3" x14ac:dyDescent="0.25">
      <c r="A3" s="4" t="s">
        <v>66</v>
      </c>
      <c r="B3" s="4" t="s">
        <v>238</v>
      </c>
      <c r="C3" s="4">
        <v>17539</v>
      </c>
    </row>
    <row r="4" spans="1:3" x14ac:dyDescent="0.25">
      <c r="A4" s="4" t="s">
        <v>67</v>
      </c>
      <c r="B4" s="4" t="str">
        <f>_xlfn.XLOOKUP(A4,[1]CFS_Standalone!$A:$A,[1]CFS_Standalone!$B:$B)</f>
        <v>Lable</v>
      </c>
      <c r="C4" s="4"/>
    </row>
    <row r="5" spans="1:3" x14ac:dyDescent="0.25">
      <c r="A5" s="4" t="s">
        <v>68</v>
      </c>
      <c r="B5" s="4" t="s">
        <v>239</v>
      </c>
      <c r="C5" s="4">
        <v>30399</v>
      </c>
    </row>
    <row r="6" spans="1:3" x14ac:dyDescent="0.25">
      <c r="A6" s="4" t="s">
        <v>69</v>
      </c>
      <c r="B6" s="4" t="s">
        <v>128</v>
      </c>
      <c r="C6" s="4">
        <v>30481</v>
      </c>
    </row>
    <row r="7" spans="1:3" x14ac:dyDescent="0.25">
      <c r="A7" s="4" t="s">
        <v>70</v>
      </c>
      <c r="B7" s="4" t="s">
        <v>240</v>
      </c>
      <c r="C7" s="4">
        <v>30479</v>
      </c>
    </row>
    <row r="8" spans="1:3" x14ac:dyDescent="0.25">
      <c r="A8" s="4" t="s">
        <v>71</v>
      </c>
      <c r="B8" s="4"/>
      <c r="C8" s="4"/>
    </row>
    <row r="9" spans="1:3" x14ac:dyDescent="0.25">
      <c r="A9" s="4" t="s">
        <v>72</v>
      </c>
      <c r="B9" s="4" t="s">
        <v>174</v>
      </c>
      <c r="C9" s="4"/>
    </row>
    <row r="10" spans="1:3" x14ac:dyDescent="0.25">
      <c r="A10" s="4" t="s">
        <v>73</v>
      </c>
      <c r="B10" s="4" t="s">
        <v>174</v>
      </c>
      <c r="C10" s="4"/>
    </row>
    <row r="11" spans="1:3" x14ac:dyDescent="0.25">
      <c r="A11" s="4" t="s">
        <v>74</v>
      </c>
      <c r="B11" s="4" t="s">
        <v>241</v>
      </c>
      <c r="C11" s="4">
        <v>30674</v>
      </c>
    </row>
    <row r="12" spans="1:3" x14ac:dyDescent="0.25">
      <c r="A12" s="4" t="s">
        <v>75</v>
      </c>
      <c r="B12" s="4" t="s">
        <v>38</v>
      </c>
      <c r="C12" s="4">
        <v>30487</v>
      </c>
    </row>
    <row r="13" spans="1:3" x14ac:dyDescent="0.25">
      <c r="A13" s="4" t="s">
        <v>76</v>
      </c>
      <c r="B13" s="4" t="s">
        <v>242</v>
      </c>
      <c r="C13" s="4">
        <v>30497</v>
      </c>
    </row>
    <row r="14" spans="1:3" x14ac:dyDescent="0.25">
      <c r="A14" s="4" t="s">
        <v>77</v>
      </c>
      <c r="B14" s="4" t="s">
        <v>243</v>
      </c>
      <c r="C14" s="4">
        <v>30452</v>
      </c>
    </row>
    <row r="15" spans="1:3" x14ac:dyDescent="0.25">
      <c r="A15" s="6" t="s">
        <v>78</v>
      </c>
      <c r="B15" s="6" t="s">
        <v>244</v>
      </c>
      <c r="C15" s="6">
        <v>30518</v>
      </c>
    </row>
    <row r="16" spans="1:3" x14ac:dyDescent="0.25">
      <c r="A16" s="4" t="s">
        <v>79</v>
      </c>
      <c r="B16" s="4" t="s">
        <v>245</v>
      </c>
      <c r="C16" s="5">
        <v>30451</v>
      </c>
    </row>
    <row r="17" spans="1:3" x14ac:dyDescent="0.25">
      <c r="A17" s="6" t="s">
        <v>80</v>
      </c>
      <c r="B17" s="6" t="s">
        <v>244</v>
      </c>
      <c r="C17" s="6">
        <v>30518</v>
      </c>
    </row>
    <row r="18" spans="1:3" x14ac:dyDescent="0.25">
      <c r="A18" s="6" t="s">
        <v>81</v>
      </c>
      <c r="B18" s="6" t="s">
        <v>244</v>
      </c>
      <c r="C18" s="6">
        <v>30518</v>
      </c>
    </row>
    <row r="19" spans="1:3" x14ac:dyDescent="0.25">
      <c r="A19" s="4" t="s">
        <v>82</v>
      </c>
      <c r="B19" s="4" t="s">
        <v>246</v>
      </c>
      <c r="C19" s="5">
        <v>30675</v>
      </c>
    </row>
    <row r="20" spans="1:3" x14ac:dyDescent="0.25">
      <c r="A20" s="4" t="s">
        <v>83</v>
      </c>
      <c r="B20" s="4" t="s">
        <v>247</v>
      </c>
      <c r="C20" s="5">
        <v>30627</v>
      </c>
    </row>
    <row r="21" spans="1:3" x14ac:dyDescent="0.25">
      <c r="A21" s="4" t="s">
        <v>84</v>
      </c>
      <c r="B21" s="4" t="s">
        <v>248</v>
      </c>
      <c r="C21" s="5">
        <v>30519</v>
      </c>
    </row>
    <row r="22" spans="1:3" x14ac:dyDescent="0.25">
      <c r="A22" s="4" t="s">
        <v>85</v>
      </c>
      <c r="B22" s="4" t="s">
        <v>249</v>
      </c>
      <c r="C22" s="4">
        <v>30372</v>
      </c>
    </row>
    <row r="23" spans="1:3" x14ac:dyDescent="0.25">
      <c r="A23" s="4" t="s">
        <v>86</v>
      </c>
      <c r="B23" s="4" t="s">
        <v>250</v>
      </c>
      <c r="C23" s="5">
        <v>30422</v>
      </c>
    </row>
    <row r="24" spans="1:3" x14ac:dyDescent="0.25">
      <c r="A24" s="4" t="s">
        <v>87</v>
      </c>
      <c r="B24" s="2" t="s">
        <v>251</v>
      </c>
      <c r="C24" s="7">
        <v>17538</v>
      </c>
    </row>
    <row r="25" spans="1:3" x14ac:dyDescent="0.25">
      <c r="A25" s="4" t="s">
        <v>88</v>
      </c>
      <c r="B25" s="4" t="s">
        <v>174</v>
      </c>
      <c r="C25" s="4"/>
    </row>
    <row r="26" spans="1:3" x14ac:dyDescent="0.25">
      <c r="A26" s="6" t="s">
        <v>89</v>
      </c>
      <c r="B26" s="6" t="s">
        <v>252</v>
      </c>
      <c r="C26" s="6">
        <v>17563</v>
      </c>
    </row>
    <row r="27" spans="1:3" x14ac:dyDescent="0.25">
      <c r="A27" s="6" t="s">
        <v>90</v>
      </c>
      <c r="B27" s="6" t="s">
        <v>252</v>
      </c>
      <c r="C27" s="6">
        <v>17563</v>
      </c>
    </row>
    <row r="28" spans="1:3" x14ac:dyDescent="0.25">
      <c r="A28" s="4" t="s">
        <v>91</v>
      </c>
      <c r="B28" s="4" t="s">
        <v>253</v>
      </c>
      <c r="C28" s="5">
        <v>30662</v>
      </c>
    </row>
    <row r="29" spans="1:3" x14ac:dyDescent="0.25">
      <c r="A29" s="4" t="s">
        <v>92</v>
      </c>
      <c r="B29" s="4" t="s">
        <v>254</v>
      </c>
      <c r="C29" s="5">
        <v>30485</v>
      </c>
    </row>
    <row r="30" spans="1:3" x14ac:dyDescent="0.25">
      <c r="A30" s="4" t="s">
        <v>93</v>
      </c>
      <c r="B30" s="4" t="s">
        <v>255</v>
      </c>
      <c r="C30" s="5">
        <v>30368</v>
      </c>
    </row>
    <row r="31" spans="1:3" x14ac:dyDescent="0.25">
      <c r="A31" s="4" t="s">
        <v>94</v>
      </c>
      <c r="B31" s="4" t="s">
        <v>256</v>
      </c>
      <c r="C31" s="4">
        <v>17537</v>
      </c>
    </row>
    <row r="32" spans="1:3" x14ac:dyDescent="0.25">
      <c r="A32" s="4" t="s">
        <v>95</v>
      </c>
      <c r="B32" s="4" t="s">
        <v>174</v>
      </c>
      <c r="C32" s="4"/>
    </row>
    <row r="33" spans="1:3" x14ac:dyDescent="0.25">
      <c r="A33" s="4" t="s">
        <v>96</v>
      </c>
      <c r="B33" s="4" t="s">
        <v>258</v>
      </c>
      <c r="C33" s="5">
        <v>17555</v>
      </c>
    </row>
    <row r="34" spans="1:3" x14ac:dyDescent="0.25">
      <c r="A34" s="4" t="s">
        <v>97</v>
      </c>
      <c r="B34" s="4" t="s">
        <v>257</v>
      </c>
      <c r="C34" s="5">
        <v>17554</v>
      </c>
    </row>
    <row r="35" spans="1:3" x14ac:dyDescent="0.25">
      <c r="A35" s="4" t="s">
        <v>98</v>
      </c>
      <c r="B35" s="4" t="s">
        <v>259</v>
      </c>
      <c r="C35" s="5">
        <v>30484</v>
      </c>
    </row>
    <row r="36" spans="1:3" x14ac:dyDescent="0.25">
      <c r="A36" s="6" t="s">
        <v>69</v>
      </c>
      <c r="B36" s="6" t="s">
        <v>260</v>
      </c>
      <c r="C36" s="6">
        <v>17543</v>
      </c>
    </row>
    <row r="37" spans="1:3" x14ac:dyDescent="0.25">
      <c r="A37" s="6" t="s">
        <v>99</v>
      </c>
      <c r="B37" s="6" t="s">
        <v>260</v>
      </c>
      <c r="C37" s="6">
        <v>17543</v>
      </c>
    </row>
    <row r="38" spans="1:3" x14ac:dyDescent="0.25">
      <c r="A38" s="4" t="s">
        <v>100</v>
      </c>
      <c r="B38" s="4" t="s">
        <v>261</v>
      </c>
      <c r="C38" s="4">
        <v>17566</v>
      </c>
    </row>
    <row r="39" spans="1:3" x14ac:dyDescent="0.25">
      <c r="A39" s="4" t="s">
        <v>101</v>
      </c>
      <c r="B39" s="4" t="s">
        <v>262</v>
      </c>
      <c r="C39" s="4">
        <v>17536</v>
      </c>
    </row>
    <row r="40" spans="1:3" x14ac:dyDescent="0.25">
      <c r="A40" s="4" t="s">
        <v>162</v>
      </c>
      <c r="B40" s="4" t="s">
        <v>263</v>
      </c>
      <c r="C40" s="4">
        <v>30458</v>
      </c>
    </row>
    <row r="41" spans="1:3" x14ac:dyDescent="0.25">
      <c r="A41" s="4" t="s">
        <v>102</v>
      </c>
      <c r="B41" s="4" t="s">
        <v>264</v>
      </c>
      <c r="C41" s="5">
        <v>17519</v>
      </c>
    </row>
    <row r="42" spans="1:3" x14ac:dyDescent="0.25">
      <c r="A42" s="4" t="s">
        <v>103</v>
      </c>
      <c r="B42" s="4" t="s">
        <v>265</v>
      </c>
      <c r="C42" s="4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1"/>
  <sheetViews>
    <sheetView workbookViewId="0">
      <selection activeCell="B1" sqref="B1"/>
    </sheetView>
  </sheetViews>
  <sheetFormatPr defaultRowHeight="15" x14ac:dyDescent="0.25"/>
  <cols>
    <col min="1" max="1" width="64" bestFit="1" customWidth="1"/>
    <col min="2" max="2" width="59.7109375" customWidth="1"/>
    <col min="3" max="3" width="7.5703125" bestFit="1" customWidth="1"/>
  </cols>
  <sheetData>
    <row r="1" spans="1:3" x14ac:dyDescent="0.25">
      <c r="A1" s="1" t="s">
        <v>171</v>
      </c>
      <c r="B1" s="2" t="s">
        <v>172</v>
      </c>
      <c r="C1" s="3" t="s">
        <v>173</v>
      </c>
    </row>
    <row r="2" spans="1:3" x14ac:dyDescent="0.25">
      <c r="A2" s="4" t="s">
        <v>65</v>
      </c>
      <c r="B2" s="4" t="str">
        <f>_xlfn.XLOOKUP(A2,CFS_Standalone!A:A,CFS_Standalone!B:B)</f>
        <v>Lable</v>
      </c>
      <c r="C2" s="4"/>
    </row>
    <row r="3" spans="1:3" x14ac:dyDescent="0.25">
      <c r="A3" s="4" t="s">
        <v>66</v>
      </c>
      <c r="B3" s="4" t="str">
        <f>_xlfn.XLOOKUP(A3,CFS_Standalone!A:A,CFS_Standalone!B:B)</f>
        <v>Net Profit Before Tax And Exceptional Item</v>
      </c>
      <c r="C3" s="4">
        <f>_xlfn.XLOOKUP(A3,CFS_Standalone!A:A,CFS_Standalone!C:C)</f>
        <v>17539</v>
      </c>
    </row>
    <row r="4" spans="1:3" x14ac:dyDescent="0.25">
      <c r="A4" s="4" t="s">
        <v>67</v>
      </c>
      <c r="B4" s="4" t="str">
        <f>_xlfn.XLOOKUP(A4,CFS_Standalone!A:A,CFS_Standalone!B:B)</f>
        <v>Lable</v>
      </c>
      <c r="C4" s="4"/>
    </row>
    <row r="5" spans="1:3" x14ac:dyDescent="0.25">
      <c r="A5" s="4" t="s">
        <v>68</v>
      </c>
      <c r="B5" s="4" t="str">
        <f>_xlfn.XLOOKUP(A5,CFS_Standalone!A:A,CFS_Standalone!B:B)</f>
        <v>Depreciation and Amortisation Expense</v>
      </c>
      <c r="C5" s="4">
        <f>_xlfn.XLOOKUP(A5,CFS_Standalone!A:A,CFS_Standalone!C:C)</f>
        <v>30399</v>
      </c>
    </row>
    <row r="6" spans="1:3" x14ac:dyDescent="0.25">
      <c r="A6" s="4" t="s">
        <v>118</v>
      </c>
      <c r="B6" s="4" t="s">
        <v>128</v>
      </c>
      <c r="C6" s="4">
        <v>30481</v>
      </c>
    </row>
    <row r="7" spans="1:3" x14ac:dyDescent="0.25">
      <c r="A7" s="4" t="s">
        <v>70</v>
      </c>
      <c r="B7" s="4" t="str">
        <f>_xlfn.XLOOKUP(A7,CFS_Standalone!A:A,CFS_Standalone!B:B)</f>
        <v>Interest Expense</v>
      </c>
      <c r="C7" s="4">
        <f>_xlfn.XLOOKUP(A7,CFS_Standalone!A:A,CFS_Standalone!C:C)</f>
        <v>30479</v>
      </c>
    </row>
    <row r="8" spans="1:3" x14ac:dyDescent="0.25">
      <c r="A8" s="4" t="s">
        <v>71</v>
      </c>
      <c r="B8" s="4"/>
      <c r="C8" s="4"/>
    </row>
    <row r="9" spans="1:3" x14ac:dyDescent="0.25">
      <c r="A9" s="4" t="s">
        <v>72</v>
      </c>
      <c r="B9" s="4" t="str">
        <f>_xlfn.XLOOKUP(A9,CFS_Standalone!A:A,CFS_Standalone!B:B)</f>
        <v>Lable</v>
      </c>
      <c r="C9" s="4"/>
    </row>
    <row r="10" spans="1:3" x14ac:dyDescent="0.25">
      <c r="A10" s="4" t="s">
        <v>73</v>
      </c>
      <c r="B10" s="4" t="str">
        <f>_xlfn.XLOOKUP(A10,CFS_Standalone!A:A,CFS_Standalone!B:B)</f>
        <v>Lable</v>
      </c>
      <c r="C10" s="4"/>
    </row>
    <row r="11" spans="1:3" x14ac:dyDescent="0.25">
      <c r="A11" s="4" t="s">
        <v>74</v>
      </c>
      <c r="B11" s="4" t="str">
        <f>_xlfn.XLOOKUP(A11,CFS_Standalone!A:A,CFS_Standalone!B:B)</f>
        <v>Trade And Other Receivables</v>
      </c>
      <c r="C11" s="4">
        <f>_xlfn.XLOOKUP(A11,CFS_Standalone!A:A,CFS_Standalone!C:C)</f>
        <v>30674</v>
      </c>
    </row>
    <row r="12" spans="1:3" x14ac:dyDescent="0.25">
      <c r="A12" s="4" t="s">
        <v>75</v>
      </c>
      <c r="B12" s="4" t="str">
        <f>_xlfn.XLOOKUP(A12,CFS_Standalone!A:A,CFS_Standalone!B:B)</f>
        <v>Inventories</v>
      </c>
      <c r="C12" s="4">
        <f>_xlfn.XLOOKUP(A12,CFS_Standalone!A:A,CFS_Standalone!C:C)</f>
        <v>30487</v>
      </c>
    </row>
    <row r="13" spans="1:3" x14ac:dyDescent="0.25">
      <c r="A13" s="4" t="s">
        <v>76</v>
      </c>
      <c r="B13" s="4" t="str">
        <f>_xlfn.XLOOKUP(A13,CFS_Standalone!A:A,CFS_Standalone!B:B)</f>
        <v>Loans And Advances</v>
      </c>
      <c r="C13" s="4">
        <f>_xlfn.XLOOKUP(A13,CFS_Standalone!A:A,CFS_Standalone!C:C)</f>
        <v>30497</v>
      </c>
    </row>
    <row r="14" spans="1:3" x14ac:dyDescent="0.25">
      <c r="A14" s="6" t="s">
        <v>78</v>
      </c>
      <c r="B14" s="6" t="str">
        <f>_xlfn.XLOOKUP(A14,CFS_Standalone!A:A,CFS_Standalone!B:B)</f>
        <v>Other Current and Non Current Assets</v>
      </c>
      <c r="C14" s="6">
        <f>_xlfn.XLOOKUP(A14,CFS_Standalone!A:A,CFS_Standalone!C:C)</f>
        <v>30518</v>
      </c>
    </row>
    <row r="15" spans="1:3" x14ac:dyDescent="0.25">
      <c r="A15" s="4" t="s">
        <v>119</v>
      </c>
      <c r="B15" s="4" t="s">
        <v>243</v>
      </c>
      <c r="C15" s="4">
        <v>30452</v>
      </c>
    </row>
    <row r="16" spans="1:3" x14ac:dyDescent="0.25">
      <c r="A16" s="6" t="s">
        <v>120</v>
      </c>
      <c r="B16" s="6" t="s">
        <v>244</v>
      </c>
      <c r="C16" s="6">
        <v>30518</v>
      </c>
    </row>
    <row r="17" spans="1:3" x14ac:dyDescent="0.25">
      <c r="A17" s="6" t="s">
        <v>80</v>
      </c>
      <c r="B17" s="6" t="str">
        <f>_xlfn.XLOOKUP(A17,CFS_Standalone!A:A,CFS_Standalone!B:B)</f>
        <v>Other Current and Non Current Assets</v>
      </c>
      <c r="C17" s="6">
        <f>_xlfn.XLOOKUP(A17,CFS_Standalone!A:A,CFS_Standalone!C:C)</f>
        <v>30518</v>
      </c>
    </row>
    <row r="18" spans="1:3" x14ac:dyDescent="0.25">
      <c r="A18" s="4" t="s">
        <v>121</v>
      </c>
      <c r="B18" s="4" t="str">
        <f>_xlfn.XLOOKUP(A18,CFS_Standalone!A:A,CFS_Standalone!B:B)</f>
        <v>Adjustments for other financial assets, current</v>
      </c>
      <c r="C18" s="4">
        <f>_xlfn.XLOOKUP(A18,CFS_Standalone!A:A,CFS_Standalone!C:C)</f>
        <v>30451</v>
      </c>
    </row>
    <row r="19" spans="1:3" x14ac:dyDescent="0.25">
      <c r="A19" s="4" t="s">
        <v>82</v>
      </c>
      <c r="B19" s="4" t="str">
        <f>_xlfn.XLOOKUP(A19,CFS_Standalone!A:A,CFS_Standalone!B:B)</f>
        <v>Trade Payables And Others</v>
      </c>
      <c r="C19" s="4">
        <f>_xlfn.XLOOKUP(A19,CFS_Standalone!A:A,CFS_Standalone!C:C)</f>
        <v>30675</v>
      </c>
    </row>
    <row r="20" spans="1:3" x14ac:dyDescent="0.25">
      <c r="A20" s="4" t="s">
        <v>83</v>
      </c>
      <c r="B20" s="4" t="str">
        <f>_xlfn.XLOOKUP(A20,CFS_Standalone!A:A,CFS_Standalone!B:B)</f>
        <v>Provisions</v>
      </c>
      <c r="C20" s="4">
        <f>_xlfn.XLOOKUP(A20,CFS_Standalone!A:A,CFS_Standalone!C:C)</f>
        <v>30627</v>
      </c>
    </row>
    <row r="21" spans="1:3" x14ac:dyDescent="0.25">
      <c r="A21" s="4" t="s">
        <v>122</v>
      </c>
      <c r="B21" s="4" t="s">
        <v>248</v>
      </c>
      <c r="C21" s="4">
        <v>30519</v>
      </c>
    </row>
    <row r="22" spans="1:3" x14ac:dyDescent="0.25">
      <c r="A22" s="4" t="s">
        <v>85</v>
      </c>
      <c r="B22" s="4" t="str">
        <f>_xlfn.XLOOKUP(A22,CFS_Standalone!A:A,CFS_Standalone!B:B)</f>
        <v>Cash Generated From Operations</v>
      </c>
      <c r="C22" s="4">
        <f>_xlfn.XLOOKUP(A22,CFS_Standalone!A:A,CFS_Standalone!C:C)</f>
        <v>30372</v>
      </c>
    </row>
    <row r="23" spans="1:3" x14ac:dyDescent="0.25">
      <c r="A23" s="4" t="s">
        <v>86</v>
      </c>
      <c r="B23" s="4" t="str">
        <f>_xlfn.XLOOKUP(A23,CFS_Standalone!A:A,CFS_Standalone!B:B)</f>
        <v>Income Tax Paid</v>
      </c>
      <c r="C23" s="4">
        <f>_xlfn.XLOOKUP(A23,CFS_Standalone!A:A,CFS_Standalone!C:C)</f>
        <v>30422</v>
      </c>
    </row>
    <row r="24" spans="1:3" x14ac:dyDescent="0.25">
      <c r="A24" s="4" t="s">
        <v>87</v>
      </c>
      <c r="B24" s="4" t="str">
        <f>_xlfn.XLOOKUP(A24,CFS_Standalone!A:A,CFS_Standalone!B:B)</f>
        <v>Net Cash Flow From Operating Activities</v>
      </c>
      <c r="C24" s="4">
        <f>_xlfn.XLOOKUP(A24,CFS_Standalone!A:A,CFS_Standalone!C:C)</f>
        <v>17538</v>
      </c>
    </row>
    <row r="25" spans="1:3" x14ac:dyDescent="0.25">
      <c r="A25" s="4" t="s">
        <v>88</v>
      </c>
      <c r="B25" s="4" t="str">
        <f>_xlfn.XLOOKUP(A25,CFS_Standalone!A:A,CFS_Standalone!B:B)</f>
        <v>Lable</v>
      </c>
      <c r="C25" s="4"/>
    </row>
    <row r="26" spans="1:3" x14ac:dyDescent="0.25">
      <c r="A26" s="6" t="s">
        <v>123</v>
      </c>
      <c r="B26" s="6" t="s">
        <v>266</v>
      </c>
      <c r="C26" s="6">
        <v>17557</v>
      </c>
    </row>
    <row r="27" spans="1:3" x14ac:dyDescent="0.25">
      <c r="A27" s="6" t="s">
        <v>124</v>
      </c>
      <c r="B27" s="6" t="s">
        <v>266</v>
      </c>
      <c r="C27" s="6">
        <v>17557</v>
      </c>
    </row>
    <row r="28" spans="1:3" x14ac:dyDescent="0.25">
      <c r="A28" s="4" t="s">
        <v>125</v>
      </c>
      <c r="B28" s="4" t="s">
        <v>267</v>
      </c>
      <c r="C28" s="5">
        <v>17556</v>
      </c>
    </row>
    <row r="29" spans="1:3" x14ac:dyDescent="0.25">
      <c r="A29" s="4" t="s">
        <v>94</v>
      </c>
      <c r="B29" s="4" t="str">
        <f>_xlfn.XLOOKUP(A29,CFS_Standalone!A:A,CFS_Standalone!B:B)</f>
        <v>Net Cash Flow From Investing Activities</v>
      </c>
      <c r="C29" s="4">
        <f>_xlfn.XLOOKUP(A29,CFS_Standalone!A:A,CFS_Standalone!C:C)</f>
        <v>17537</v>
      </c>
    </row>
    <row r="30" spans="1:3" x14ac:dyDescent="0.25">
      <c r="A30" s="4" t="s">
        <v>95</v>
      </c>
      <c r="B30" s="4" t="str">
        <f>_xlfn.XLOOKUP(A30,CFS_Standalone!A:A,CFS_Standalone!B:B)</f>
        <v>Lable</v>
      </c>
      <c r="C30" s="4"/>
    </row>
    <row r="31" spans="1:3" x14ac:dyDescent="0.25">
      <c r="A31" s="6" t="s">
        <v>126</v>
      </c>
      <c r="B31" s="6" t="s">
        <v>258</v>
      </c>
      <c r="C31" s="6">
        <v>17555</v>
      </c>
    </row>
    <row r="32" spans="1:3" x14ac:dyDescent="0.25">
      <c r="A32" s="4" t="s">
        <v>127</v>
      </c>
      <c r="B32" s="4" t="s">
        <v>257</v>
      </c>
      <c r="C32" s="4">
        <v>17554</v>
      </c>
    </row>
    <row r="33" spans="1:3" x14ac:dyDescent="0.25">
      <c r="A33" s="4" t="s">
        <v>98</v>
      </c>
      <c r="B33" s="4" t="str">
        <f>_xlfn.XLOOKUP(A33,CFS_Standalone!A:A,CFS_Standalone!B:B)</f>
        <v>Interest Paid</v>
      </c>
      <c r="C33" s="4">
        <f>_xlfn.XLOOKUP(A33,CFS_Standalone!A:A,CFS_Standalone!C:C)</f>
        <v>30484</v>
      </c>
    </row>
    <row r="34" spans="1:3" x14ac:dyDescent="0.25">
      <c r="A34" s="6" t="s">
        <v>128</v>
      </c>
      <c r="B34" s="6" t="s">
        <v>260</v>
      </c>
      <c r="C34" s="6">
        <v>17543</v>
      </c>
    </row>
    <row r="35" spans="1:3" x14ac:dyDescent="0.25">
      <c r="A35" s="6" t="s">
        <v>99</v>
      </c>
      <c r="B35" s="6" t="str">
        <f>_xlfn.XLOOKUP(A35,CFS_Standalone!A:A,CFS_Standalone!B:B)</f>
        <v>Others-Financing Activities</v>
      </c>
      <c r="C35" s="6">
        <f>_xlfn.XLOOKUP(A35,CFS_Standalone!A:A,CFS_Standalone!C:C)</f>
        <v>17543</v>
      </c>
    </row>
    <row r="36" spans="1:3" x14ac:dyDescent="0.25">
      <c r="A36" s="6" t="s">
        <v>129</v>
      </c>
      <c r="B36" s="6" t="s">
        <v>258</v>
      </c>
      <c r="C36" s="6">
        <v>17555</v>
      </c>
    </row>
    <row r="37" spans="1:3" x14ac:dyDescent="0.25">
      <c r="A37" s="4" t="s">
        <v>100</v>
      </c>
      <c r="B37" s="4" t="str">
        <f>_xlfn.XLOOKUP(A37,CFS_Standalone!A:A,CFS_Standalone!B:B)</f>
        <v>Transfer On Amalgamation</v>
      </c>
      <c r="C37" s="4">
        <f>_xlfn.XLOOKUP(A37,CFS_Standalone!A:A,CFS_Standalone!C:C)</f>
        <v>17566</v>
      </c>
    </row>
    <row r="38" spans="1:3" x14ac:dyDescent="0.25">
      <c r="A38" s="4" t="s">
        <v>101</v>
      </c>
      <c r="B38" s="4" t="str">
        <f>_xlfn.XLOOKUP(A38,CFS_Standalone!A:A,CFS_Standalone!B:B)</f>
        <v>Net Cash Flow From Financing Activities</v>
      </c>
      <c r="C38" s="4">
        <f>_xlfn.XLOOKUP(A38,CFS_Standalone!A:A,CFS_Standalone!C:C)</f>
        <v>17536</v>
      </c>
    </row>
    <row r="39" spans="1:3" x14ac:dyDescent="0.25">
      <c r="A39" s="4" t="s">
        <v>162</v>
      </c>
      <c r="B39" s="4" t="str">
        <f>_xlfn.XLOOKUP(A39,CFS_Standalone!A:A,CFS_Standalone!B:B)</f>
        <v>Net increase (decrease) in cash and cash equivalents before effect of exchange rate changes</v>
      </c>
      <c r="C39" s="4">
        <f>_xlfn.XLOOKUP(A39,CFS_Standalone!A:A,CFS_Standalone!C:C)</f>
        <v>30458</v>
      </c>
    </row>
    <row r="40" spans="1:3" x14ac:dyDescent="0.25">
      <c r="A40" s="4" t="s">
        <v>102</v>
      </c>
      <c r="B40" s="4" t="str">
        <f>_xlfn.XLOOKUP(A40,CFS_Standalone!A:A,CFS_Standalone!B:B)</f>
        <v>Cash and Cash Equivalents at the Beginning of the Year</v>
      </c>
      <c r="C40" s="4">
        <f>_xlfn.XLOOKUP(A40,CFS_Standalone!A:A,CFS_Standalone!C:C)</f>
        <v>17519</v>
      </c>
    </row>
    <row r="41" spans="1:3" x14ac:dyDescent="0.25">
      <c r="A41" s="4" t="s">
        <v>103</v>
      </c>
      <c r="B41" s="4" t="str">
        <f>_xlfn.XLOOKUP(A41,CFS_Standalone!A:A,CFS_Standalone!B:B)</f>
        <v>Cash and Cash Equivalents at the End of the Year</v>
      </c>
      <c r="C41" s="4">
        <f>_xlfn.XLOOKUP(A41,CFS_Standalone!A:A,CFS_Standalone!C:C)</f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FDC68-DDD7-454C-A7F2-1AA2E8883575}">
  <dimension ref="A1:C1"/>
  <sheetViews>
    <sheetView workbookViewId="0"/>
  </sheetViews>
  <sheetFormatPr defaultRowHeight="15" x14ac:dyDescent="0.25"/>
  <sheetData>
    <row r="1" spans="1:3" x14ac:dyDescent="0.25">
      <c r="A1" s="1" t="s">
        <v>171</v>
      </c>
      <c r="B1" s="2" t="s">
        <v>172</v>
      </c>
      <c r="C1" s="3" t="s">
        <v>173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07356-6B17-4E74-A44E-6A7DB52DBBD6}">
  <dimension ref="A1:C1"/>
  <sheetViews>
    <sheetView tabSelected="1" workbookViewId="0"/>
  </sheetViews>
  <sheetFormatPr defaultRowHeight="15" x14ac:dyDescent="0.25"/>
  <sheetData>
    <row r="1" spans="1:3" x14ac:dyDescent="0.25">
      <c r="A1" s="1" t="s">
        <v>171</v>
      </c>
      <c r="B1" s="2" t="s">
        <v>172</v>
      </c>
      <c r="C1" s="3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 - 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2025-12-31T09:20:45Z</dcterms:created>
  <dcterms:modified xsi:type="dcterms:W3CDTF">2026-01-20T11:23:21Z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2026-01-01T10:15:07Z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06a63d79-59aa-4d94-b20c-e409663687f3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