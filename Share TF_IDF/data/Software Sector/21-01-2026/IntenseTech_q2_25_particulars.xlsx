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8AA7D9DC-0822-4DED-9E40-2DE8580488C9}" xr6:coauthVersionLast="47" xr6:coauthVersionMax="47" xr10:uidLastSave="{00000000-0000-0000-0000-000000000000}"/>
  <bookViews>
    <workbookView xWindow="-120" yWindow="-120" windowWidth="20730" windowHeight="11040" tabRatio="500" firstSheet="5" activeTab="7" xr2:uid="{00000000-000D-0000-FFFF-FFFF00000000}"/>
  </bookViews>
  <sheets>
    <sheet name="P&amp;L_Standalone" sheetId="4" r:id="rId1"/>
    <sheet name="P&amp;L_Consolidated" sheetId="1" r:id="rId2"/>
    <sheet name="BS_Standalone" sheetId="5" r:id="rId3"/>
    <sheet name="BS_Consolidated" sheetId="2" r:id="rId4"/>
    <sheet name="CFS_Standalone" sheetId="6" r:id="rId5"/>
    <sheet name="CFS_Consolidated" sheetId="3" r:id="rId6"/>
    <sheet name="SR_Standalone" sheetId="8" r:id="rId7"/>
    <sheet name="SR_Consolidated" sheetId="7" r:id="rId8"/>
  </sheets>
  <definedNames>
    <definedName name="_xlnm._FilterDatabase" localSheetId="5" hidden="1">CFS_Consolidated!$A$2:$D$34</definedName>
    <definedName name="_xlnm._FilterDatabase" localSheetId="1" hidden="1">'P&amp;L_Consolidated'!$A$1:$D$34</definedName>
    <definedName name="_xlnm._FilterDatabase" localSheetId="0" hidden="1">'P&amp;L_Standalone'!$A$1:$D$34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2" l="1"/>
  <c r="C40" i="2"/>
  <c r="B40" i="2"/>
  <c r="C39" i="2"/>
  <c r="B39" i="2"/>
  <c r="C38" i="2"/>
  <c r="B38" i="2"/>
  <c r="D35" i="2"/>
  <c r="D34" i="2"/>
  <c r="C33" i="2"/>
  <c r="B33" i="2"/>
  <c r="C32" i="2"/>
  <c r="B32" i="2"/>
  <c r="C31" i="2"/>
  <c r="B31" i="2"/>
  <c r="D30" i="2"/>
  <c r="D29" i="2"/>
  <c r="D28" i="2"/>
  <c r="C27" i="2"/>
  <c r="B27" i="2"/>
  <c r="C26" i="2"/>
  <c r="B26" i="2"/>
  <c r="C25" i="2"/>
  <c r="B25" i="2"/>
  <c r="D24" i="2"/>
  <c r="D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D15" i="2"/>
  <c r="D14" i="2"/>
  <c r="C13" i="2"/>
  <c r="B13" i="2"/>
  <c r="C12" i="2"/>
  <c r="B12" i="2"/>
  <c r="C11" i="2"/>
  <c r="B11" i="2"/>
  <c r="C10" i="2"/>
  <c r="B10" i="2"/>
  <c r="C9" i="2"/>
  <c r="B9" i="2"/>
  <c r="D8" i="2"/>
  <c r="C7" i="2"/>
  <c r="B7" i="2"/>
  <c r="C6" i="2"/>
  <c r="B6" i="2"/>
  <c r="C5" i="2"/>
  <c r="B5" i="2"/>
  <c r="D4" i="2"/>
  <c r="D3" i="2"/>
</calcChain>
</file>

<file path=xl/sharedStrings.xml><?xml version="1.0" encoding="utf-8"?>
<sst xmlns="http://schemas.openxmlformats.org/spreadsheetml/2006/main" count="405" uniqueCount="171">
  <si>
    <t>Income</t>
  </si>
  <si>
    <t>Revenue from Operations</t>
  </si>
  <si>
    <t>Other Income</t>
  </si>
  <si>
    <t>Total Income</t>
  </si>
  <si>
    <t>Expenses</t>
  </si>
  <si>
    <t>Operating Expenses</t>
  </si>
  <si>
    <t>IT Infrastructure Cost</t>
  </si>
  <si>
    <t>Employee Benefit Expenses</t>
  </si>
  <si>
    <t>Financial Costs</t>
  </si>
  <si>
    <t>Depreciation and Amortisation Expenses</t>
  </si>
  <si>
    <t>Other Expenses</t>
  </si>
  <si>
    <t>Professional , Consultants &amp; Related Expenses</t>
  </si>
  <si>
    <t>General Admin &amp; Other Expenses</t>
  </si>
  <si>
    <t>Total Expenses</t>
  </si>
  <si>
    <t>Profit before Tax</t>
  </si>
  <si>
    <t>Tax Expense</t>
  </si>
  <si>
    <t>Income Tax</t>
  </si>
  <si>
    <t>Deferred Tax charge</t>
  </si>
  <si>
    <t>Total Tax Liability</t>
  </si>
  <si>
    <t>Profit for the period</t>
  </si>
  <si>
    <t>Other comprehensive income</t>
  </si>
  <si>
    <t>Items that will not be reclassified subsequently to profit or loss</t>
  </si>
  <si>
    <t>Remeasurement of the net defined benefit (liability) / asset (net of tax)</t>
  </si>
  <si>
    <r>
      <rPr>
        <sz val="11"/>
        <color theme="1"/>
        <rFont val="Calibri"/>
        <family val="2"/>
        <charset val="1"/>
      </rPr>
      <t xml:space="preserve">Items that will be reclassified </t>
    </r>
    <r>
      <rPr>
        <sz val="11"/>
        <color theme="1"/>
        <rFont val="Calibri"/>
        <family val="2"/>
      </rPr>
      <t>subsequently</t>
    </r>
    <r>
      <rPr>
        <sz val="11"/>
        <color theme="1"/>
        <rFont val="Calibri"/>
        <family val="2"/>
        <charset val="1"/>
      </rPr>
      <t xml:space="preserve"> to profit or loss</t>
    </r>
  </si>
  <si>
    <t>Exchange differences on translation of foreign operations &amp; Remeasurement of foreign transactions</t>
  </si>
  <si>
    <t>Equity instruments through other comprehensive income, net</t>
  </si>
  <si>
    <t>Other comprehensive income for the period, net of tax</t>
  </si>
  <si>
    <t>Total comprehensive income for the period</t>
  </si>
  <si>
    <t>Paid-up share capital (Face Value ₹2/- each fully paid)</t>
  </si>
  <si>
    <t>Other Equity</t>
  </si>
  <si>
    <t xml:space="preserve">Earnings per equity share (Face Value ₹2/ - each) </t>
  </si>
  <si>
    <t>Basic ₹</t>
  </si>
  <si>
    <t>Diluted ₹</t>
  </si>
  <si>
    <t>ASSETS</t>
  </si>
  <si>
    <t>Non-Current Assets</t>
  </si>
  <si>
    <t>Property, Plant and Equipment</t>
  </si>
  <si>
    <t>Tangible Assets</t>
  </si>
  <si>
    <t>Intangible Assets</t>
  </si>
  <si>
    <t>Intangible Assets Under Development</t>
  </si>
  <si>
    <t>Financial Assets</t>
  </si>
  <si>
    <t>Investments</t>
  </si>
  <si>
    <t>Others Financials Assets</t>
  </si>
  <si>
    <t>Deferred tax assets (net)</t>
  </si>
  <si>
    <t>Other non-current assets</t>
  </si>
  <si>
    <t>Total Non-Current Assets</t>
  </si>
  <si>
    <t>Current Assets</t>
  </si>
  <si>
    <t>Trade Receivables</t>
  </si>
  <si>
    <t>Cash &amp; Cash equivalents</t>
  </si>
  <si>
    <t>Other Financial Assets</t>
  </si>
  <si>
    <t>Current tax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</si>
  <si>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</si>
  <si>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</si>
  <si>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</si>
  <si>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</si>
  <si>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</si>
  <si>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</si>
  <si>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Total Equity</t>
  </si>
  <si>
    <t>Liabilities</t>
  </si>
  <si>
    <t>Non-Current Liabilities</t>
  </si>
  <si>
    <t>Financial liabilities</t>
  </si>
  <si>
    <t>Borrowings</t>
  </si>
  <si>
    <t>Provisions</t>
  </si>
  <si>
    <t>Total Non-current Liabilities</t>
  </si>
  <si>
    <t>Current Liabilities</t>
  </si>
  <si>
    <t>Trade Payables</t>
  </si>
  <si>
    <t>Other current liabilities</t>
  </si>
  <si>
    <t>Total Current Liabilities</t>
  </si>
  <si>
    <t>Total Equity and Liabilities</t>
  </si>
  <si>
    <t>Cash Flow from Operating Activities</t>
  </si>
  <si>
    <t>Net Profit/(Loss) before tax</t>
  </si>
  <si>
    <t>Adjustment for:</t>
  </si>
  <si>
    <t>Depreciation &amp; Amortisation Expense</t>
  </si>
  <si>
    <t>Equity instruments through other comprehensive income</t>
  </si>
  <si>
    <t>Re-measurement gains/(losses) on employee defined benefit plans</t>
  </si>
  <si>
    <t>Operating Profit/(Loss) before working capital changes</t>
  </si>
  <si>
    <t>(Increase)/Decrease in Trade Receivables</t>
  </si>
  <si>
    <t>(Increase)/Decrease in Other Current Assets</t>
  </si>
  <si>
    <t>Increase/(Decrease) in Current Liabilities</t>
  </si>
  <si>
    <t>Cash generated from Operations</t>
  </si>
  <si>
    <t>Prior Period Items</t>
  </si>
  <si>
    <t>Net Cash Flow generated / (used in) from Operating Activities</t>
  </si>
  <si>
    <t>Cash Flow from Investing Activities</t>
  </si>
  <si>
    <t>(Increase)/Decrease in Fixed Assets</t>
  </si>
  <si>
    <t>(Increase)/Decrease in Non-current Investments</t>
  </si>
  <si>
    <r>
      <rPr>
        <sz val="11"/>
        <color theme="1"/>
        <rFont val="Calibri"/>
        <family val="2"/>
      </rPr>
      <t>(Increase)/Decrease</t>
    </r>
    <r>
      <rPr>
        <sz val="11"/>
        <color theme="1"/>
        <rFont val="Calibri"/>
        <family val="2"/>
        <charset val="1"/>
      </rPr>
      <t xml:space="preserve"> in Fixed Deposits Mutual Funds and other Non current assets</t>
    </r>
  </si>
  <si>
    <t>Increase/(Decrease) In Non-current Liabilities</t>
  </si>
  <si>
    <t>Other Income Received</t>
  </si>
  <si>
    <t>Net Cash Flow generated / (used in) from Investing Activities</t>
  </si>
  <si>
    <t>Cash Flow from Financing Activities</t>
  </si>
  <si>
    <t>Increase/(Decrease) in Share Capital</t>
  </si>
  <si>
    <t>Increase/(Decrease) in Other Equity</t>
  </si>
  <si>
    <t>Effect of exchange differences on transiation of foreign currency cash and cash equivalents</t>
  </si>
  <si>
    <t>Dividend</t>
  </si>
  <si>
    <t>Net Cash Flow generated / (used in) from Financing Activities</t>
  </si>
  <si>
    <t>Net increase / (decrease) in cash and cash equivalents</t>
  </si>
  <si>
    <t>Cash &amp; Cash equivalents (Opening Balance)</t>
  </si>
  <si>
    <t>Cash &amp; Cash equivalents (Closing Balance)</t>
  </si>
  <si>
    <t>Other comprehensive Income</t>
  </si>
  <si>
    <r>
      <rPr>
        <sz val="11"/>
        <color theme="1"/>
        <rFont val="Calibri"/>
        <family val="2"/>
        <charset val="1"/>
      </rPr>
      <t xml:space="preserve">Items that will not be </t>
    </r>
    <r>
      <rPr>
        <sz val="11"/>
        <color theme="1"/>
        <rFont val="Calibri"/>
        <family val="2"/>
      </rPr>
      <t xml:space="preserve">reclassified subsequently </t>
    </r>
    <r>
      <rPr>
        <sz val="11"/>
        <color theme="1"/>
        <rFont val="Calibri"/>
        <family val="2"/>
        <charset val="1"/>
      </rPr>
      <t>to profit or loss</t>
    </r>
  </si>
  <si>
    <t>Items that will be reclassified subsequently to profit or loss</t>
  </si>
  <si>
    <t>Exchange differences on Remeasurement of foreign transactions</t>
  </si>
  <si>
    <t>Paid-up share capital (Face Value ₹ 2/- each fully paid)</t>
  </si>
  <si>
    <t xml:space="preserve">Earnings per equity share (Face Value ₹ 2/- each) </t>
  </si>
  <si>
    <t>Exchange differences on translation of foreign operations</t>
  </si>
  <si>
    <r>
      <rPr>
        <sz val="11"/>
        <color theme="1"/>
        <rFont val="Calibri"/>
        <family val="2"/>
      </rPr>
      <t>Increase</t>
    </r>
    <r>
      <rPr>
        <sz val="11"/>
        <color theme="1"/>
        <rFont val="Calibri"/>
        <family val="2"/>
        <charset val="1"/>
      </rPr>
      <t>/(Decrease) in Current Liabilities</t>
    </r>
  </si>
  <si>
    <t>(Increase)/Decrease in Fixed Deposits Mutual Funds and other Non current assets</t>
  </si>
  <si>
    <t>Increase/(Decrease) in Non-current Liabilities</t>
  </si>
  <si>
    <t>Net Cash Flow generated / (used In) from Investing Activities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</si>
  <si>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</si>
  <si>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</si>
  <si>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</si>
  <si>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</si>
  <si>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</si>
  <si>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</si>
  <si>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</si>
  <si>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Profit/(Loss) From Ordinary Activities before Tax</t>
  </si>
  <si>
    <t>Deferred Tax</t>
  </si>
  <si>
    <t>Net Profit/(Loss) for the Period</t>
  </si>
  <si>
    <t>Total Comprehensive Gain (Loss) For the Year</t>
  </si>
  <si>
    <t>Reserve excluding Revaluation Reserves (as per Balance Sheet of Previous Accounting Year)</t>
  </si>
  <si>
    <t>Heading</t>
  </si>
  <si>
    <t>Finance Costs</t>
  </si>
  <si>
    <t>Calculated Field</t>
  </si>
  <si>
    <t>Items that will not be reclassified to Profit or Loss</t>
  </si>
  <si>
    <t>Items that will be reclassified to Profit or Loss</t>
  </si>
  <si>
    <t>Other Comprehensive Income</t>
  </si>
  <si>
    <t>Paid-Up Equity Share Capital</t>
  </si>
  <si>
    <t>Basic EPS</t>
  </si>
  <si>
    <t>Diluted EPS</t>
  </si>
  <si>
    <t>Property, Plant &amp; Equipment</t>
  </si>
  <si>
    <t>Other Intangible Assets</t>
  </si>
  <si>
    <t>Intangible assets under development</t>
  </si>
  <si>
    <t>Non-Current Investments</t>
  </si>
  <si>
    <t>Deferred Tax Assets (Net)</t>
  </si>
  <si>
    <t>Other Non-Current Assets</t>
  </si>
  <si>
    <t>Other Non-Current Financial Assets</t>
  </si>
  <si>
    <t>Current Tax Assets (Net)</t>
  </si>
  <si>
    <t>Other Current Assets</t>
  </si>
  <si>
    <t>Share Capital</t>
  </si>
  <si>
    <t>Reserves And Surplus/Other Equity</t>
  </si>
  <si>
    <t>Total Share Holder's Funds</t>
  </si>
  <si>
    <t>Long-Term Provisions</t>
  </si>
  <si>
    <t>Total Non-Current Liabilities</t>
  </si>
  <si>
    <t>Other liabilities</t>
  </si>
  <si>
    <t>TOTAL EQUITY AND LIABILITIES</t>
  </si>
  <si>
    <t>Cash And Cash Equivalents</t>
  </si>
  <si>
    <t>Other Current Financial Assets</t>
  </si>
  <si>
    <t>Trade And Other Receivables</t>
  </si>
  <si>
    <t>Other Current and Non Current Assets</t>
  </si>
  <si>
    <t>Cash Generated From Operations</t>
  </si>
  <si>
    <t>Net Increase in Cash and Cash Equivalents</t>
  </si>
  <si>
    <t>Net Profit Before Tax And Exceptional Item</t>
  </si>
  <si>
    <t>Depreciation and Amortisation Expense</t>
  </si>
  <si>
    <t>Foreign Exchange Gain / Loss</t>
  </si>
  <si>
    <t>Income Tax Paid</t>
  </si>
  <si>
    <t>Operating Profit Before Working Capital Changes</t>
  </si>
  <si>
    <t>Other Current and Non Current Liabilities</t>
  </si>
  <si>
    <t>Income/Expenses Relating To Prior Years</t>
  </si>
  <si>
    <t>Net Cash Flow From Operating Activities</t>
  </si>
  <si>
    <t>Purchase Of Fixed Assets (Tangible / Intangible)</t>
  </si>
  <si>
    <t>Purchase Of Investments</t>
  </si>
  <si>
    <t>Fixed Deposits</t>
  </si>
  <si>
    <t>Net Cash Flow From Investing Activities</t>
  </si>
  <si>
    <t>Proceeds From Issue Of Equity Shares (Inclu Share Premium)</t>
  </si>
  <si>
    <t>Dividend Paid</t>
  </si>
  <si>
    <t>Net Cash Flow From Financing Activities</t>
  </si>
  <si>
    <t>Cash and Cash Equivalents at the Beginning of the Year</t>
  </si>
  <si>
    <t>Cash and Cash Equivalents at the End of the Year</t>
  </si>
  <si>
    <t>Others-Before Working Capital Changes</t>
  </si>
  <si>
    <t>Others-Investing Activities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</si>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</sst>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zoomScaleNormal="100" workbookViewId="0">
      <selection activeCell="B2" sqref="B2"/>
    </sheetView>
  </sheetViews>
  <sheetFormatPr defaultColWidth="8.5703125" defaultRowHeight="15" x14ac:dyDescent="0.25"/>
  <cols>
    <col min="1" max="1" width="66.28515625" bestFit="1" customWidth="1"/>
    <col min="2" max="2" width="50.5703125" customWidth="1"/>
    <col min="3" max="3" width="7.5703125" bestFit="1" customWidth="1"/>
  </cols>
  <sheetData>
    <row r="1" spans="1:4" x14ac:dyDescent="0.25">
      <c r="A1" s="1" t="s">
        <v>108</v>
      </c>
      <c r="B1" s="1" t="s">
        <v>109</v>
      </c>
      <c r="C1" s="2" t="s">
        <v>110</v>
      </c>
    </row>
    <row r="2" spans="1:4" x14ac:dyDescent="0.25">
      <c r="A2" s="3" t="s">
        <v>0</v>
      </c>
      <c r="B2" s="3"/>
      <c r="C2" s="3"/>
      <c r="D2" t="s">
        <v>120</v>
      </c>
    </row>
    <row r="3" spans="1:4" x14ac:dyDescent="0.25">
      <c r="A3" s="3" t="s">
        <v>1</v>
      </c>
      <c r="B3" s="3" t="s">
        <v>111</v>
      </c>
      <c r="C3" s="3">
        <v>256</v>
      </c>
    </row>
    <row r="4" spans="1:4" x14ac:dyDescent="0.25">
      <c r="A4" s="3" t="s">
        <v>2</v>
      </c>
      <c r="B4" s="3" t="s">
        <v>112</v>
      </c>
      <c r="C4" s="3">
        <v>265</v>
      </c>
    </row>
    <row r="5" spans="1:4" x14ac:dyDescent="0.25">
      <c r="A5" s="3" t="s">
        <v>3</v>
      </c>
      <c r="B5" s="3" t="s">
        <v>3</v>
      </c>
      <c r="C5" s="3">
        <v>25238</v>
      </c>
    </row>
    <row r="6" spans="1:4" x14ac:dyDescent="0.25">
      <c r="A6" s="3" t="s">
        <v>4</v>
      </c>
      <c r="B6" s="3"/>
      <c r="C6" s="3"/>
      <c r="D6" t="s">
        <v>120</v>
      </c>
    </row>
    <row r="7" spans="1:4" x14ac:dyDescent="0.25">
      <c r="A7" s="5" t="s">
        <v>5</v>
      </c>
      <c r="B7" s="5" t="s">
        <v>5</v>
      </c>
      <c r="C7" s="5">
        <v>276</v>
      </c>
    </row>
    <row r="8" spans="1:4" x14ac:dyDescent="0.25">
      <c r="A8" s="5" t="s">
        <v>6</v>
      </c>
      <c r="B8" s="5" t="s">
        <v>5</v>
      </c>
      <c r="C8" s="5">
        <v>276</v>
      </c>
    </row>
    <row r="9" spans="1:4" x14ac:dyDescent="0.25">
      <c r="A9" s="3" t="s">
        <v>7</v>
      </c>
      <c r="B9" s="3" t="s">
        <v>113</v>
      </c>
      <c r="C9" s="3">
        <v>238</v>
      </c>
    </row>
    <row r="10" spans="1:4" x14ac:dyDescent="0.25">
      <c r="A10" s="3" t="s">
        <v>8</v>
      </c>
      <c r="B10" s="3" t="s">
        <v>121</v>
      </c>
      <c r="C10" s="4">
        <v>246</v>
      </c>
    </row>
    <row r="11" spans="1:4" x14ac:dyDescent="0.25">
      <c r="A11" s="3" t="s">
        <v>9</v>
      </c>
      <c r="B11" s="3" t="s">
        <v>114</v>
      </c>
      <c r="C11" s="3">
        <v>232</v>
      </c>
    </row>
    <row r="12" spans="1:4" x14ac:dyDescent="0.25">
      <c r="A12" s="3" t="s">
        <v>10</v>
      </c>
      <c r="B12" s="3"/>
      <c r="C12" s="3"/>
      <c r="D12" t="s">
        <v>120</v>
      </c>
    </row>
    <row r="13" spans="1:4" x14ac:dyDescent="0.25">
      <c r="A13" s="5" t="s">
        <v>11</v>
      </c>
      <c r="B13" s="5" t="s">
        <v>10</v>
      </c>
      <c r="C13" s="5">
        <v>279</v>
      </c>
    </row>
    <row r="14" spans="1:4" x14ac:dyDescent="0.25">
      <c r="A14" s="5" t="s">
        <v>12</v>
      </c>
      <c r="B14" s="5" t="s">
        <v>10</v>
      </c>
      <c r="C14" s="5">
        <v>279</v>
      </c>
    </row>
    <row r="15" spans="1:4" x14ac:dyDescent="0.25">
      <c r="A15" s="3" t="s">
        <v>13</v>
      </c>
      <c r="B15" s="3" t="s">
        <v>13</v>
      </c>
      <c r="C15" s="3">
        <v>320</v>
      </c>
    </row>
    <row r="16" spans="1:4" x14ac:dyDescent="0.25">
      <c r="A16" s="3" t="s">
        <v>14</v>
      </c>
      <c r="B16" s="3" t="s">
        <v>115</v>
      </c>
      <c r="C16" s="3">
        <v>296</v>
      </c>
    </row>
    <row r="17" spans="1:4" x14ac:dyDescent="0.25">
      <c r="A17" s="3" t="s">
        <v>15</v>
      </c>
      <c r="B17" s="3"/>
      <c r="C17" s="3"/>
      <c r="D17" t="s">
        <v>120</v>
      </c>
    </row>
    <row r="18" spans="1:4" x14ac:dyDescent="0.25">
      <c r="A18" s="3" t="s">
        <v>16</v>
      </c>
      <c r="B18" s="3" t="s">
        <v>15</v>
      </c>
      <c r="C18" s="4">
        <v>318</v>
      </c>
    </row>
    <row r="19" spans="1:4" x14ac:dyDescent="0.25">
      <c r="A19" s="3" t="s">
        <v>17</v>
      </c>
      <c r="B19" s="3" t="s">
        <v>116</v>
      </c>
      <c r="C19" s="3">
        <v>231</v>
      </c>
    </row>
    <row r="20" spans="1:4" x14ac:dyDescent="0.25">
      <c r="A20" s="3" t="s">
        <v>18</v>
      </c>
      <c r="B20" s="3"/>
      <c r="C20" s="3"/>
      <c r="D20" t="s">
        <v>122</v>
      </c>
    </row>
    <row r="21" spans="1:4" x14ac:dyDescent="0.25">
      <c r="A21" s="3" t="s">
        <v>19</v>
      </c>
      <c r="B21" s="3" t="s">
        <v>117</v>
      </c>
      <c r="C21" s="3">
        <v>269</v>
      </c>
    </row>
    <row r="22" spans="1:4" x14ac:dyDescent="0.25">
      <c r="A22" s="3" t="s">
        <v>97</v>
      </c>
      <c r="B22" s="3"/>
      <c r="C22" s="3"/>
      <c r="D22" t="s">
        <v>120</v>
      </c>
    </row>
    <row r="23" spans="1:4" x14ac:dyDescent="0.25">
      <c r="A23" s="3" t="s">
        <v>98</v>
      </c>
      <c r="B23" s="3"/>
      <c r="C23" s="3"/>
      <c r="D23" t="s">
        <v>120</v>
      </c>
    </row>
    <row r="24" spans="1:4" x14ac:dyDescent="0.25">
      <c r="A24" s="3" t="s">
        <v>22</v>
      </c>
      <c r="B24" s="3" t="s">
        <v>123</v>
      </c>
      <c r="C24" s="4">
        <v>22293</v>
      </c>
    </row>
    <row r="25" spans="1:4" x14ac:dyDescent="0.25">
      <c r="A25" s="3" t="s">
        <v>99</v>
      </c>
      <c r="B25" s="3"/>
      <c r="C25" s="3"/>
      <c r="D25" t="s">
        <v>120</v>
      </c>
    </row>
    <row r="26" spans="1:4" x14ac:dyDescent="0.25">
      <c r="A26" s="5" t="s">
        <v>100</v>
      </c>
      <c r="B26" s="5" t="s">
        <v>124</v>
      </c>
      <c r="C26" s="5">
        <v>22294</v>
      </c>
    </row>
    <row r="27" spans="1:4" x14ac:dyDescent="0.25">
      <c r="A27" s="5" t="s">
        <v>25</v>
      </c>
      <c r="B27" s="5" t="s">
        <v>124</v>
      </c>
      <c r="C27" s="5">
        <v>22294</v>
      </c>
    </row>
    <row r="28" spans="1:4" x14ac:dyDescent="0.25">
      <c r="A28" s="3" t="s">
        <v>26</v>
      </c>
      <c r="B28" s="6" t="s">
        <v>125</v>
      </c>
      <c r="C28" s="7">
        <v>16484</v>
      </c>
    </row>
    <row r="29" spans="1:4" x14ac:dyDescent="0.25">
      <c r="A29" s="3" t="s">
        <v>27</v>
      </c>
      <c r="B29" s="6" t="s">
        <v>118</v>
      </c>
      <c r="C29" s="7">
        <v>20019</v>
      </c>
    </row>
    <row r="30" spans="1:4" x14ac:dyDescent="0.25">
      <c r="A30" s="3" t="s">
        <v>101</v>
      </c>
      <c r="B30" s="3" t="s">
        <v>126</v>
      </c>
      <c r="C30" s="4">
        <v>282</v>
      </c>
    </row>
    <row r="31" spans="1:4" x14ac:dyDescent="0.25">
      <c r="A31" s="3" t="s">
        <v>29</v>
      </c>
      <c r="B31" s="3" t="s">
        <v>119</v>
      </c>
      <c r="C31" s="4">
        <v>309</v>
      </c>
    </row>
    <row r="32" spans="1:4" x14ac:dyDescent="0.25">
      <c r="A32" s="3" t="s">
        <v>102</v>
      </c>
      <c r="B32" s="3"/>
      <c r="C32" s="3"/>
      <c r="D32" t="s">
        <v>120</v>
      </c>
    </row>
    <row r="33" spans="1:3" x14ac:dyDescent="0.25">
      <c r="A33" s="3" t="s">
        <v>31</v>
      </c>
      <c r="B33" s="3" t="s">
        <v>127</v>
      </c>
      <c r="C33" s="4">
        <v>222</v>
      </c>
    </row>
    <row r="34" spans="1:3" x14ac:dyDescent="0.25">
      <c r="A34" s="3" t="s">
        <v>32</v>
      </c>
      <c r="B34" s="3" t="s">
        <v>128</v>
      </c>
      <c r="C34" s="4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zoomScale="107" zoomScaleNormal="100" workbookViewId="0">
      <selection activeCell="B1" sqref="B1:C1048576"/>
    </sheetView>
  </sheetViews>
  <sheetFormatPr defaultColWidth="8.5703125" defaultRowHeight="15" x14ac:dyDescent="0.25"/>
  <cols>
    <col min="1" max="1" width="49.5703125" customWidth="1"/>
    <col min="2" max="2" width="47.28515625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108</v>
      </c>
      <c r="B1" s="1" t="s">
        <v>109</v>
      </c>
      <c r="C1" s="2" t="s">
        <v>110</v>
      </c>
    </row>
    <row r="2" spans="1:4" x14ac:dyDescent="0.25">
      <c r="A2" s="3" t="s">
        <v>0</v>
      </c>
      <c r="B2" s="3"/>
      <c r="C2" s="3"/>
      <c r="D2" t="s">
        <v>120</v>
      </c>
    </row>
    <row r="3" spans="1:4" x14ac:dyDescent="0.25">
      <c r="A3" s="3" t="s">
        <v>1</v>
      </c>
      <c r="B3" s="3" t="s">
        <v>111</v>
      </c>
      <c r="C3" s="3">
        <v>256</v>
      </c>
    </row>
    <row r="4" spans="1:4" x14ac:dyDescent="0.25">
      <c r="A4" s="3" t="s">
        <v>2</v>
      </c>
      <c r="B4" s="3" t="s">
        <v>112</v>
      </c>
      <c r="C4" s="3">
        <v>265</v>
      </c>
    </row>
    <row r="5" spans="1:4" x14ac:dyDescent="0.25">
      <c r="A5" s="3" t="s">
        <v>3</v>
      </c>
      <c r="B5" s="3" t="s">
        <v>3</v>
      </c>
      <c r="C5" s="3">
        <v>25238</v>
      </c>
    </row>
    <row r="6" spans="1:4" x14ac:dyDescent="0.25">
      <c r="A6" s="3" t="s">
        <v>4</v>
      </c>
      <c r="B6" s="3"/>
      <c r="C6" s="3"/>
      <c r="D6" t="s">
        <v>120</v>
      </c>
    </row>
    <row r="7" spans="1:4" x14ac:dyDescent="0.25">
      <c r="A7" s="5" t="s">
        <v>5</v>
      </c>
      <c r="B7" s="5" t="s">
        <v>5</v>
      </c>
      <c r="C7" s="5">
        <v>276</v>
      </c>
    </row>
    <row r="8" spans="1:4" x14ac:dyDescent="0.25">
      <c r="A8" s="5" t="s">
        <v>6</v>
      </c>
      <c r="B8" s="5" t="s">
        <v>5</v>
      </c>
      <c r="C8" s="5">
        <v>276</v>
      </c>
    </row>
    <row r="9" spans="1:4" x14ac:dyDescent="0.25">
      <c r="A9" s="3" t="s">
        <v>7</v>
      </c>
      <c r="B9" s="3" t="s">
        <v>113</v>
      </c>
      <c r="C9" s="3">
        <v>238</v>
      </c>
    </row>
    <row r="10" spans="1:4" x14ac:dyDescent="0.25">
      <c r="A10" s="3" t="s">
        <v>8</v>
      </c>
      <c r="B10" s="3" t="s">
        <v>121</v>
      </c>
      <c r="C10" s="3">
        <v>246</v>
      </c>
    </row>
    <row r="11" spans="1:4" x14ac:dyDescent="0.25">
      <c r="A11" s="3" t="s">
        <v>9</v>
      </c>
      <c r="B11" s="3" t="s">
        <v>114</v>
      </c>
      <c r="C11" s="3">
        <v>232</v>
      </c>
    </row>
    <row r="12" spans="1:4" x14ac:dyDescent="0.25">
      <c r="A12" s="3" t="s">
        <v>10</v>
      </c>
      <c r="B12" s="3"/>
      <c r="C12" s="3"/>
      <c r="D12" t="s">
        <v>120</v>
      </c>
    </row>
    <row r="13" spans="1:4" x14ac:dyDescent="0.25">
      <c r="A13" s="5" t="s">
        <v>11</v>
      </c>
      <c r="B13" s="5" t="s">
        <v>10</v>
      </c>
      <c r="C13" s="5">
        <v>279</v>
      </c>
    </row>
    <row r="14" spans="1:4" x14ac:dyDescent="0.25">
      <c r="A14" s="5" t="s">
        <v>12</v>
      </c>
      <c r="B14" s="5" t="s">
        <v>10</v>
      </c>
      <c r="C14" s="5">
        <v>279</v>
      </c>
    </row>
    <row r="15" spans="1:4" x14ac:dyDescent="0.25">
      <c r="A15" s="3" t="s">
        <v>13</v>
      </c>
      <c r="B15" s="3" t="s">
        <v>13</v>
      </c>
      <c r="C15" s="3">
        <v>320</v>
      </c>
    </row>
    <row r="16" spans="1:4" x14ac:dyDescent="0.25">
      <c r="A16" s="3" t="s">
        <v>14</v>
      </c>
      <c r="B16" s="3" t="s">
        <v>115</v>
      </c>
      <c r="C16" s="3">
        <v>296</v>
      </c>
    </row>
    <row r="17" spans="1:4" x14ac:dyDescent="0.25">
      <c r="A17" s="3" t="s">
        <v>15</v>
      </c>
      <c r="B17" s="3"/>
      <c r="C17" s="3"/>
      <c r="D17" t="s">
        <v>120</v>
      </c>
    </row>
    <row r="18" spans="1:4" x14ac:dyDescent="0.25">
      <c r="A18" s="3" t="s">
        <v>16</v>
      </c>
      <c r="B18" s="3" t="s">
        <v>15</v>
      </c>
      <c r="C18" s="3">
        <v>318</v>
      </c>
    </row>
    <row r="19" spans="1:4" x14ac:dyDescent="0.25">
      <c r="A19" s="3" t="s">
        <v>17</v>
      </c>
      <c r="B19" s="3" t="s">
        <v>116</v>
      </c>
      <c r="C19" s="3">
        <v>231</v>
      </c>
    </row>
    <row r="20" spans="1:4" x14ac:dyDescent="0.25">
      <c r="A20" s="3" t="s">
        <v>18</v>
      </c>
      <c r="B20" s="3"/>
      <c r="C20" s="3"/>
      <c r="D20" t="s">
        <v>122</v>
      </c>
    </row>
    <row r="21" spans="1:4" x14ac:dyDescent="0.25">
      <c r="A21" s="3" t="s">
        <v>19</v>
      </c>
      <c r="B21" s="3" t="s">
        <v>117</v>
      </c>
      <c r="C21" s="3">
        <v>269</v>
      </c>
    </row>
    <row r="22" spans="1:4" x14ac:dyDescent="0.25">
      <c r="A22" s="3" t="s">
        <v>20</v>
      </c>
      <c r="B22" s="3"/>
      <c r="C22" s="3"/>
      <c r="D22" t="s">
        <v>120</v>
      </c>
    </row>
    <row r="23" spans="1:4" x14ac:dyDescent="0.25">
      <c r="A23" s="3" t="s">
        <v>21</v>
      </c>
      <c r="B23" s="3"/>
      <c r="C23" s="3"/>
      <c r="D23" t="s">
        <v>120</v>
      </c>
    </row>
    <row r="24" spans="1:4" x14ac:dyDescent="0.25">
      <c r="A24" s="3" t="s">
        <v>22</v>
      </c>
      <c r="B24" s="3" t="s">
        <v>123</v>
      </c>
      <c r="C24" s="3">
        <v>22293</v>
      </c>
    </row>
    <row r="25" spans="1:4" x14ac:dyDescent="0.25">
      <c r="A25" s="3" t="s">
        <v>23</v>
      </c>
      <c r="B25" s="3"/>
      <c r="C25" s="3"/>
      <c r="D25" t="s">
        <v>120</v>
      </c>
    </row>
    <row r="26" spans="1:4" x14ac:dyDescent="0.25">
      <c r="A26" s="5" t="s">
        <v>24</v>
      </c>
      <c r="B26" s="5" t="s">
        <v>124</v>
      </c>
      <c r="C26" s="5">
        <v>22294</v>
      </c>
    </row>
    <row r="27" spans="1:4" x14ac:dyDescent="0.25">
      <c r="A27" s="5" t="s">
        <v>25</v>
      </c>
      <c r="B27" s="5" t="s">
        <v>124</v>
      </c>
      <c r="C27" s="5">
        <v>22294</v>
      </c>
    </row>
    <row r="28" spans="1:4" x14ac:dyDescent="0.25">
      <c r="A28" s="3" t="s">
        <v>26</v>
      </c>
      <c r="B28" s="3" t="s">
        <v>125</v>
      </c>
      <c r="C28" s="3">
        <v>16484</v>
      </c>
    </row>
    <row r="29" spans="1:4" x14ac:dyDescent="0.25">
      <c r="A29" s="3" t="s">
        <v>27</v>
      </c>
      <c r="B29" s="3" t="s">
        <v>118</v>
      </c>
      <c r="C29" s="3">
        <v>20019</v>
      </c>
    </row>
    <row r="30" spans="1:4" x14ac:dyDescent="0.25">
      <c r="A30" s="3" t="s">
        <v>28</v>
      </c>
      <c r="B30" s="3" t="s">
        <v>126</v>
      </c>
      <c r="C30" s="4">
        <v>282</v>
      </c>
    </row>
    <row r="31" spans="1:4" x14ac:dyDescent="0.25">
      <c r="A31" s="3" t="s">
        <v>29</v>
      </c>
      <c r="B31" s="3" t="s">
        <v>119</v>
      </c>
      <c r="C31" s="4">
        <v>309</v>
      </c>
    </row>
    <row r="32" spans="1:4" x14ac:dyDescent="0.25">
      <c r="A32" s="3" t="s">
        <v>30</v>
      </c>
      <c r="B32" s="3"/>
      <c r="C32" s="3"/>
      <c r="D32" t="s">
        <v>120</v>
      </c>
    </row>
    <row r="33" spans="1:3" x14ac:dyDescent="0.25">
      <c r="A33" s="3" t="s">
        <v>31</v>
      </c>
      <c r="B33" s="3" t="s">
        <v>127</v>
      </c>
      <c r="C33" s="3">
        <v>222</v>
      </c>
    </row>
    <row r="34" spans="1:3" x14ac:dyDescent="0.25">
      <c r="A34" s="3" t="s">
        <v>32</v>
      </c>
      <c r="B34" s="3" t="s">
        <v>128</v>
      </c>
      <c r="C34" s="3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"/>
  <sheetViews>
    <sheetView zoomScaleNormal="100" workbookViewId="0">
      <selection activeCell="B1" sqref="B1:D1048576"/>
    </sheetView>
  </sheetViews>
  <sheetFormatPr defaultColWidth="8.5703125" defaultRowHeight="15" x14ac:dyDescent="0.25"/>
  <cols>
    <col min="1" max="1" width="35.42578125" bestFit="1" customWidth="1"/>
    <col min="2" max="2" width="34.85546875" bestFit="1" customWidth="1"/>
    <col min="3" max="3" width="7.5703125" bestFit="1" customWidth="1"/>
  </cols>
  <sheetData>
    <row r="1" spans="1:4" x14ac:dyDescent="0.25">
      <c r="A1" s="1" t="s">
        <v>108</v>
      </c>
      <c r="B1" s="1" t="s">
        <v>109</v>
      </c>
      <c r="C1" s="2" t="s">
        <v>110</v>
      </c>
    </row>
    <row r="2" spans="1:4" x14ac:dyDescent="0.25">
      <c r="A2" s="3" t="s">
        <v>33</v>
      </c>
      <c r="B2" s="3"/>
      <c r="C2" s="3"/>
      <c r="D2" t="s">
        <v>120</v>
      </c>
    </row>
    <row r="3" spans="1:4" x14ac:dyDescent="0.25">
      <c r="A3" s="3" t="s">
        <v>34</v>
      </c>
      <c r="B3" s="3"/>
      <c r="C3" s="3"/>
      <c r="D3" t="s">
        <v>120</v>
      </c>
    </row>
    <row r="4" spans="1:4" x14ac:dyDescent="0.25">
      <c r="A4" s="3" t="s">
        <v>35</v>
      </c>
      <c r="B4" s="3"/>
      <c r="C4" s="3"/>
      <c r="D4" t="s">
        <v>120</v>
      </c>
    </row>
    <row r="5" spans="1:4" x14ac:dyDescent="0.25">
      <c r="A5" s="3" t="s">
        <v>36</v>
      </c>
      <c r="B5" s="3" t="s">
        <v>129</v>
      </c>
      <c r="C5" s="4">
        <v>20222</v>
      </c>
    </row>
    <row r="6" spans="1:4" x14ac:dyDescent="0.25">
      <c r="A6" s="3" t="s">
        <v>37</v>
      </c>
      <c r="B6" s="3" t="s">
        <v>130</v>
      </c>
      <c r="C6" s="3">
        <v>20221</v>
      </c>
    </row>
    <row r="7" spans="1:4" x14ac:dyDescent="0.25">
      <c r="A7" s="3" t="s">
        <v>38</v>
      </c>
      <c r="B7" s="3" t="s">
        <v>131</v>
      </c>
      <c r="C7" s="3">
        <v>13736</v>
      </c>
    </row>
    <row r="8" spans="1:4" x14ac:dyDescent="0.25">
      <c r="A8" s="3" t="s">
        <v>39</v>
      </c>
      <c r="B8" s="3"/>
      <c r="C8" s="3"/>
      <c r="D8" t="s">
        <v>120</v>
      </c>
    </row>
    <row r="9" spans="1:4" x14ac:dyDescent="0.25">
      <c r="A9" s="3" t="s">
        <v>40</v>
      </c>
      <c r="B9" s="3" t="s">
        <v>132</v>
      </c>
      <c r="C9" s="3">
        <v>13748</v>
      </c>
    </row>
    <row r="10" spans="1:4" x14ac:dyDescent="0.25">
      <c r="A10" s="3" t="s">
        <v>41</v>
      </c>
      <c r="B10" s="3" t="s">
        <v>135</v>
      </c>
      <c r="C10" s="4">
        <v>20216</v>
      </c>
    </row>
    <row r="11" spans="1:4" x14ac:dyDescent="0.25">
      <c r="A11" s="3" t="s">
        <v>42</v>
      </c>
      <c r="B11" s="3" t="s">
        <v>133</v>
      </c>
      <c r="C11" s="3">
        <v>13726</v>
      </c>
    </row>
    <row r="12" spans="1:4" x14ac:dyDescent="0.25">
      <c r="A12" s="3" t="s">
        <v>43</v>
      </c>
      <c r="B12" s="3" t="s">
        <v>134</v>
      </c>
      <c r="C12" s="3">
        <v>13753</v>
      </c>
    </row>
    <row r="13" spans="1:4" x14ac:dyDescent="0.25">
      <c r="A13" s="3" t="s">
        <v>44</v>
      </c>
      <c r="B13" s="3" t="s">
        <v>44</v>
      </c>
      <c r="C13" s="3">
        <v>13777</v>
      </c>
    </row>
    <row r="14" spans="1:4" x14ac:dyDescent="0.25">
      <c r="A14" s="3" t="s">
        <v>45</v>
      </c>
      <c r="B14" s="3"/>
      <c r="C14" s="3"/>
      <c r="D14" t="s">
        <v>120</v>
      </c>
    </row>
    <row r="15" spans="1:4" x14ac:dyDescent="0.25">
      <c r="A15" s="3" t="s">
        <v>39</v>
      </c>
      <c r="B15" s="3"/>
      <c r="C15" s="3"/>
      <c r="D15" t="s">
        <v>120</v>
      </c>
    </row>
    <row r="16" spans="1:4" x14ac:dyDescent="0.25">
      <c r="A16" s="3" t="s">
        <v>46</v>
      </c>
      <c r="B16" s="3" t="s">
        <v>46</v>
      </c>
      <c r="C16" s="4">
        <v>13780</v>
      </c>
    </row>
    <row r="17" spans="1:4" x14ac:dyDescent="0.25">
      <c r="A17" s="3" t="s">
        <v>47</v>
      </c>
      <c r="B17" s="3" t="s">
        <v>145</v>
      </c>
      <c r="C17" s="4">
        <v>13722</v>
      </c>
    </row>
    <row r="18" spans="1:4" x14ac:dyDescent="0.25">
      <c r="A18" s="3" t="s">
        <v>48</v>
      </c>
      <c r="B18" s="3" t="s">
        <v>146</v>
      </c>
      <c r="C18" s="4">
        <v>20231</v>
      </c>
    </row>
    <row r="19" spans="1:4" x14ac:dyDescent="0.25">
      <c r="A19" s="3" t="s">
        <v>49</v>
      </c>
      <c r="B19" s="3" t="s">
        <v>136</v>
      </c>
      <c r="C19" s="4">
        <v>20228</v>
      </c>
    </row>
    <row r="20" spans="1:4" x14ac:dyDescent="0.25">
      <c r="A20" s="3" t="s">
        <v>50</v>
      </c>
      <c r="B20" s="3" t="s">
        <v>137</v>
      </c>
      <c r="C20" s="4">
        <v>13750</v>
      </c>
    </row>
    <row r="21" spans="1:4" x14ac:dyDescent="0.25">
      <c r="A21" s="3" t="s">
        <v>51</v>
      </c>
      <c r="B21" s="3" t="s">
        <v>51</v>
      </c>
      <c r="C21" s="3">
        <v>13774</v>
      </c>
    </row>
    <row r="22" spans="1:4" x14ac:dyDescent="0.25">
      <c r="A22" s="3" t="s">
        <v>52</v>
      </c>
      <c r="B22" s="3" t="s">
        <v>52</v>
      </c>
      <c r="C22" s="3">
        <v>13771</v>
      </c>
    </row>
    <row r="23" spans="1:4" x14ac:dyDescent="0.25">
      <c r="A23" s="3" t="s">
        <v>53</v>
      </c>
      <c r="B23" s="3"/>
      <c r="C23" s="3"/>
      <c r="D23" t="s">
        <v>120</v>
      </c>
    </row>
    <row r="24" spans="1:4" x14ac:dyDescent="0.25">
      <c r="A24" s="3" t="s">
        <v>54</v>
      </c>
      <c r="B24" s="3"/>
      <c r="C24" s="3"/>
      <c r="D24" t="s">
        <v>120</v>
      </c>
    </row>
    <row r="25" spans="1:4" x14ac:dyDescent="0.25">
      <c r="A25" s="3" t="s">
        <v>55</v>
      </c>
      <c r="B25" s="3" t="s">
        <v>138</v>
      </c>
      <c r="C25" s="3">
        <v>13765</v>
      </c>
    </row>
    <row r="26" spans="1:4" x14ac:dyDescent="0.25">
      <c r="A26" s="3" t="s">
        <v>29</v>
      </c>
      <c r="B26" s="3" t="s">
        <v>139</v>
      </c>
      <c r="C26" s="3">
        <v>13762</v>
      </c>
    </row>
    <row r="27" spans="1:4" x14ac:dyDescent="0.25">
      <c r="A27" s="3" t="s">
        <v>56</v>
      </c>
      <c r="B27" s="3" t="s">
        <v>140</v>
      </c>
      <c r="C27" s="3">
        <v>13773</v>
      </c>
    </row>
    <row r="28" spans="1:4" x14ac:dyDescent="0.25">
      <c r="A28" s="3" t="s">
        <v>57</v>
      </c>
      <c r="B28" s="3"/>
      <c r="C28" s="3"/>
      <c r="D28" t="s">
        <v>120</v>
      </c>
    </row>
    <row r="29" spans="1:4" x14ac:dyDescent="0.25">
      <c r="A29" s="3" t="s">
        <v>58</v>
      </c>
      <c r="B29" s="3"/>
      <c r="C29" s="3"/>
      <c r="D29" t="s">
        <v>120</v>
      </c>
    </row>
    <row r="30" spans="1:4" x14ac:dyDescent="0.25">
      <c r="A30" s="3" t="s">
        <v>59</v>
      </c>
      <c r="B30" s="3"/>
      <c r="C30" s="3"/>
      <c r="D30" t="s">
        <v>120</v>
      </c>
    </row>
    <row r="31" spans="1:4" x14ac:dyDescent="0.25">
      <c r="A31" s="3" t="s">
        <v>60</v>
      </c>
      <c r="B31" s="3" t="s">
        <v>60</v>
      </c>
      <c r="C31" s="4">
        <v>20223</v>
      </c>
    </row>
    <row r="32" spans="1:4" x14ac:dyDescent="0.25">
      <c r="A32" s="3" t="s">
        <v>61</v>
      </c>
      <c r="B32" s="3" t="s">
        <v>141</v>
      </c>
      <c r="C32" s="3">
        <v>13743</v>
      </c>
    </row>
    <row r="33" spans="1:4" x14ac:dyDescent="0.25">
      <c r="A33" s="3" t="s">
        <v>62</v>
      </c>
      <c r="B33" s="6" t="s">
        <v>142</v>
      </c>
      <c r="C33" s="7">
        <v>13778</v>
      </c>
    </row>
    <row r="34" spans="1:4" x14ac:dyDescent="0.25">
      <c r="A34" s="3" t="s">
        <v>63</v>
      </c>
      <c r="B34" s="3"/>
      <c r="C34" s="3"/>
      <c r="D34" t="s">
        <v>120</v>
      </c>
    </row>
    <row r="35" spans="1:4" x14ac:dyDescent="0.25">
      <c r="A35" s="3" t="s">
        <v>59</v>
      </c>
      <c r="B35" s="3"/>
      <c r="C35" s="3"/>
      <c r="D35" t="s">
        <v>120</v>
      </c>
    </row>
    <row r="36" spans="1:4" x14ac:dyDescent="0.25">
      <c r="A36" s="3" t="s">
        <v>60</v>
      </c>
      <c r="B36" s="3" t="s">
        <v>60</v>
      </c>
      <c r="C36" s="4">
        <v>20209</v>
      </c>
    </row>
    <row r="37" spans="1:4" x14ac:dyDescent="0.25">
      <c r="A37" s="3" t="s">
        <v>64</v>
      </c>
      <c r="B37" s="3" t="s">
        <v>64</v>
      </c>
      <c r="C37" s="4">
        <v>13779</v>
      </c>
    </row>
    <row r="38" spans="1:4" x14ac:dyDescent="0.25">
      <c r="A38" s="3" t="s">
        <v>65</v>
      </c>
      <c r="B38" s="3" t="s">
        <v>143</v>
      </c>
      <c r="C38" s="4">
        <v>26450</v>
      </c>
    </row>
    <row r="39" spans="1:4" x14ac:dyDescent="0.25">
      <c r="A39" s="3" t="s">
        <v>66</v>
      </c>
      <c r="B39" s="3" t="s">
        <v>66</v>
      </c>
      <c r="C39" s="3">
        <v>13775</v>
      </c>
    </row>
    <row r="40" spans="1:4" x14ac:dyDescent="0.25">
      <c r="A40" s="3" t="s">
        <v>67</v>
      </c>
      <c r="B40" s="3" t="s">
        <v>144</v>
      </c>
      <c r="C40" s="3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opLeftCell="A2" zoomScaleNormal="100" workbookViewId="0">
      <selection activeCell="B1" sqref="B1:C1048576"/>
    </sheetView>
  </sheetViews>
  <sheetFormatPr defaultColWidth="8.5703125" defaultRowHeight="15" x14ac:dyDescent="0.25"/>
  <cols>
    <col min="1" max="1" width="35.42578125" bestFit="1" customWidth="1"/>
    <col min="2" max="2" width="34.85546875" bestFit="1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108</v>
      </c>
      <c r="B1" s="1" t="s">
        <v>109</v>
      </c>
      <c r="C1" s="2" t="s">
        <v>110</v>
      </c>
    </row>
    <row r="2" spans="1:4" x14ac:dyDescent="0.25">
      <c r="A2" s="3" t="s">
        <v>33</v>
      </c>
      <c r="B2" s="3"/>
      <c r="C2" s="3"/>
      <c r="D2" t="str">
        <f>VLOOKUP(A2,BS_Standalone!A:D,4,0)</f>
        <v>Heading</v>
      </c>
    </row>
    <row r="3" spans="1:4" x14ac:dyDescent="0.25">
      <c r="A3" s="3" t="s">
        <v>34</v>
      </c>
      <c r="B3" s="3"/>
      <c r="C3" s="3"/>
      <c r="D3" t="str">
        <f>VLOOKUP(A3,BS_Standalone!A:D,4,0)</f>
        <v>Heading</v>
      </c>
    </row>
    <row r="4" spans="1:4" x14ac:dyDescent="0.25">
      <c r="A4" s="3" t="s">
        <v>35</v>
      </c>
      <c r="B4" s="3"/>
      <c r="C4" s="3"/>
      <c r="D4" t="str">
        <f>VLOOKUP(A4,BS_Standalone!A:D,4,0)</f>
        <v>Heading</v>
      </c>
    </row>
    <row r="5" spans="1:4" x14ac:dyDescent="0.25">
      <c r="A5" s="3" t="s">
        <v>36</v>
      </c>
      <c r="B5" s="3" t="str">
        <f>VLOOKUP($A5,BS_Standalone!A:D,2,0)</f>
        <v>Property, Plant &amp; Equipment</v>
      </c>
      <c r="C5" s="3">
        <f>VLOOKUP($A5,BS_Standalone!A:D,3,0)</f>
        <v>20222</v>
      </c>
    </row>
    <row r="6" spans="1:4" x14ac:dyDescent="0.25">
      <c r="A6" s="3" t="s">
        <v>37</v>
      </c>
      <c r="B6" s="3" t="str">
        <f>VLOOKUP($A6,BS_Standalone!A:D,2,0)</f>
        <v>Other Intangible Assets</v>
      </c>
      <c r="C6" s="3">
        <f>VLOOKUP($A6,BS_Standalone!A:D,3,0)</f>
        <v>20221</v>
      </c>
    </row>
    <row r="7" spans="1:4" x14ac:dyDescent="0.25">
      <c r="A7" s="3" t="s">
        <v>38</v>
      </c>
      <c r="B7" s="3" t="str">
        <f>VLOOKUP($A7,BS_Standalone!A:D,2,0)</f>
        <v>Intangible assets under development</v>
      </c>
      <c r="C7" s="3">
        <f>VLOOKUP($A7,BS_Standalone!A:D,3,0)</f>
        <v>13736</v>
      </c>
    </row>
    <row r="8" spans="1:4" x14ac:dyDescent="0.25">
      <c r="A8" s="3" t="s">
        <v>39</v>
      </c>
      <c r="B8" s="3"/>
      <c r="C8" s="3"/>
      <c r="D8" t="str">
        <f>VLOOKUP(A8,BS_Standalone!A:D,4,0)</f>
        <v>Heading</v>
      </c>
    </row>
    <row r="9" spans="1:4" x14ac:dyDescent="0.25">
      <c r="A9" s="3" t="s">
        <v>40</v>
      </c>
      <c r="B9" s="3" t="str">
        <f>VLOOKUP($A9,BS_Standalone!A:D,2,0)</f>
        <v>Non-Current Investments</v>
      </c>
      <c r="C9" s="3">
        <f>VLOOKUP($A9,BS_Standalone!A:D,3,0)</f>
        <v>13748</v>
      </c>
    </row>
    <row r="10" spans="1:4" x14ac:dyDescent="0.25">
      <c r="A10" s="3" t="s">
        <v>41</v>
      </c>
      <c r="B10" s="3" t="str">
        <f>VLOOKUP($A10,BS_Standalone!A:D,2,0)</f>
        <v>Other Non-Current Financial Assets</v>
      </c>
      <c r="C10" s="3">
        <f>VLOOKUP($A10,BS_Standalone!A:D,3,0)</f>
        <v>20216</v>
      </c>
    </row>
    <row r="11" spans="1:4" x14ac:dyDescent="0.25">
      <c r="A11" s="3" t="s">
        <v>42</v>
      </c>
      <c r="B11" s="3" t="str">
        <f>VLOOKUP($A11,BS_Standalone!A:D,2,0)</f>
        <v>Deferred Tax Assets (Net)</v>
      </c>
      <c r="C11" s="3">
        <f>VLOOKUP($A11,BS_Standalone!A:D,3,0)</f>
        <v>13726</v>
      </c>
    </row>
    <row r="12" spans="1:4" x14ac:dyDescent="0.25">
      <c r="A12" s="3" t="s">
        <v>43</v>
      </c>
      <c r="B12" s="3" t="str">
        <f>VLOOKUP($A12,BS_Standalone!A:D,2,0)</f>
        <v>Other Non-Current Assets</v>
      </c>
      <c r="C12" s="3">
        <f>VLOOKUP($A12,BS_Standalone!A:D,3,0)</f>
        <v>13753</v>
      </c>
    </row>
    <row r="13" spans="1:4" x14ac:dyDescent="0.25">
      <c r="A13" s="3" t="s">
        <v>44</v>
      </c>
      <c r="B13" s="3" t="str">
        <f>VLOOKUP($A13,BS_Standalone!A:D,2,0)</f>
        <v>Total Non-Current Assets</v>
      </c>
      <c r="C13" s="3">
        <f>VLOOKUP($A13,BS_Standalone!A:D,3,0)</f>
        <v>13777</v>
      </c>
    </row>
    <row r="14" spans="1:4" x14ac:dyDescent="0.25">
      <c r="A14" s="3" t="s">
        <v>45</v>
      </c>
      <c r="B14" s="3"/>
      <c r="C14" s="3"/>
      <c r="D14" t="str">
        <f>VLOOKUP(A14,BS_Standalone!A:D,4,0)</f>
        <v>Heading</v>
      </c>
    </row>
    <row r="15" spans="1:4" x14ac:dyDescent="0.25">
      <c r="A15" s="3" t="s">
        <v>39</v>
      </c>
      <c r="B15" s="3"/>
      <c r="C15" s="3"/>
      <c r="D15" t="str">
        <f>VLOOKUP(A15,BS_Standalone!A:D,4,0)</f>
        <v>Heading</v>
      </c>
    </row>
    <row r="16" spans="1:4" x14ac:dyDescent="0.25">
      <c r="A16" s="3" t="s">
        <v>46</v>
      </c>
      <c r="B16" s="3" t="str">
        <f>VLOOKUP($A16,BS_Standalone!A:D,2,0)</f>
        <v>Trade Receivables</v>
      </c>
      <c r="C16" s="3">
        <f>VLOOKUP($A16,BS_Standalone!A:D,3,0)</f>
        <v>13780</v>
      </c>
    </row>
    <row r="17" spans="1:4" x14ac:dyDescent="0.25">
      <c r="A17" s="3" t="s">
        <v>47</v>
      </c>
      <c r="B17" s="3" t="str">
        <f>VLOOKUP($A17,BS_Standalone!A:D,2,0)</f>
        <v>Cash And Cash Equivalents</v>
      </c>
      <c r="C17" s="3">
        <f>VLOOKUP($A17,BS_Standalone!A:D,3,0)</f>
        <v>13722</v>
      </c>
    </row>
    <row r="18" spans="1:4" x14ac:dyDescent="0.25">
      <c r="A18" s="3" t="s">
        <v>48</v>
      </c>
      <c r="B18" s="3" t="str">
        <f>VLOOKUP($A18,BS_Standalone!A:D,2,0)</f>
        <v>Other Current Financial Assets</v>
      </c>
      <c r="C18" s="3">
        <f>VLOOKUP($A18,BS_Standalone!A:D,3,0)</f>
        <v>20231</v>
      </c>
    </row>
    <row r="19" spans="1:4" x14ac:dyDescent="0.25">
      <c r="A19" s="3" t="s">
        <v>49</v>
      </c>
      <c r="B19" s="3" t="str">
        <f>VLOOKUP($A19,BS_Standalone!A:D,2,0)</f>
        <v>Current Tax Assets (Net)</v>
      </c>
      <c r="C19" s="3">
        <f>VLOOKUP($A19,BS_Standalone!A:D,3,0)</f>
        <v>20228</v>
      </c>
    </row>
    <row r="20" spans="1:4" x14ac:dyDescent="0.25">
      <c r="A20" s="3" t="s">
        <v>50</v>
      </c>
      <c r="B20" s="3" t="str">
        <f>VLOOKUP($A20,BS_Standalone!A:D,2,0)</f>
        <v>Other Current Assets</v>
      </c>
      <c r="C20" s="3">
        <f>VLOOKUP($A20,BS_Standalone!A:D,3,0)</f>
        <v>13750</v>
      </c>
    </row>
    <row r="21" spans="1:4" x14ac:dyDescent="0.25">
      <c r="A21" s="3" t="s">
        <v>51</v>
      </c>
      <c r="B21" s="3" t="str">
        <f>VLOOKUP($A21,BS_Standalone!A:D,2,0)</f>
        <v>Total Current Assets</v>
      </c>
      <c r="C21" s="3">
        <f>VLOOKUP($A21,BS_Standalone!A:D,3,0)</f>
        <v>13774</v>
      </c>
    </row>
    <row r="22" spans="1:4" x14ac:dyDescent="0.25">
      <c r="A22" s="3" t="s">
        <v>52</v>
      </c>
      <c r="B22" s="3" t="str">
        <f>VLOOKUP($A22,BS_Standalone!A:D,2,0)</f>
        <v>Total Assets</v>
      </c>
      <c r="C22" s="3">
        <f>VLOOKUP($A22,BS_Standalone!A:D,3,0)</f>
        <v>13771</v>
      </c>
    </row>
    <row r="23" spans="1:4" x14ac:dyDescent="0.25">
      <c r="A23" s="3" t="s">
        <v>53</v>
      </c>
      <c r="B23" s="3"/>
      <c r="C23" s="3"/>
      <c r="D23" t="str">
        <f>VLOOKUP(A23,BS_Standalone!A:D,4,0)</f>
        <v>Heading</v>
      </c>
    </row>
    <row r="24" spans="1:4" x14ac:dyDescent="0.25">
      <c r="A24" s="3" t="s">
        <v>54</v>
      </c>
      <c r="B24" s="3"/>
      <c r="C24" s="3"/>
      <c r="D24" t="str">
        <f>VLOOKUP(A24,BS_Standalone!A:D,4,0)</f>
        <v>Heading</v>
      </c>
    </row>
    <row r="25" spans="1:4" x14ac:dyDescent="0.25">
      <c r="A25" s="3" t="s">
        <v>55</v>
      </c>
      <c r="B25" s="3" t="str">
        <f>VLOOKUP($A25,BS_Standalone!A:D,2,0)</f>
        <v>Share Capital</v>
      </c>
      <c r="C25" s="3">
        <f>VLOOKUP($A25,BS_Standalone!A:D,3,0)</f>
        <v>13765</v>
      </c>
    </row>
    <row r="26" spans="1:4" x14ac:dyDescent="0.25">
      <c r="A26" s="3" t="s">
        <v>29</v>
      </c>
      <c r="B26" s="3" t="str">
        <f>VLOOKUP($A26,BS_Standalone!A:D,2,0)</f>
        <v>Reserves And Surplus/Other Equity</v>
      </c>
      <c r="C26" s="3">
        <f>VLOOKUP($A26,BS_Standalone!A:D,3,0)</f>
        <v>13762</v>
      </c>
    </row>
    <row r="27" spans="1:4" x14ac:dyDescent="0.25">
      <c r="A27" s="3" t="s">
        <v>56</v>
      </c>
      <c r="B27" s="3" t="str">
        <f>VLOOKUP($A27,BS_Standalone!A:D,2,0)</f>
        <v>Total Share Holder's Funds</v>
      </c>
      <c r="C27" s="3">
        <f>VLOOKUP($A27,BS_Standalone!A:D,3,0)</f>
        <v>13773</v>
      </c>
    </row>
    <row r="28" spans="1:4" x14ac:dyDescent="0.25">
      <c r="A28" s="3" t="s">
        <v>57</v>
      </c>
      <c r="B28" s="3"/>
      <c r="C28" s="3"/>
      <c r="D28" t="str">
        <f>VLOOKUP(A28,BS_Standalone!A:D,4,0)</f>
        <v>Heading</v>
      </c>
    </row>
    <row r="29" spans="1:4" x14ac:dyDescent="0.25">
      <c r="A29" s="3" t="s">
        <v>58</v>
      </c>
      <c r="B29" s="3"/>
      <c r="C29" s="3"/>
      <c r="D29" t="str">
        <f>VLOOKUP(A29,BS_Standalone!A:D,4,0)</f>
        <v>Heading</v>
      </c>
    </row>
    <row r="30" spans="1:4" x14ac:dyDescent="0.25">
      <c r="A30" s="3" t="s">
        <v>59</v>
      </c>
      <c r="B30" s="3"/>
      <c r="C30" s="3"/>
      <c r="D30" t="str">
        <f>VLOOKUP(A30,BS_Standalone!A:D,4,0)</f>
        <v>Heading</v>
      </c>
    </row>
    <row r="31" spans="1:4" x14ac:dyDescent="0.25">
      <c r="A31" s="3" t="s">
        <v>60</v>
      </c>
      <c r="B31" s="3" t="str">
        <f>VLOOKUP($A31,BS_Standalone!A:D,2,0)</f>
        <v>Borrowings</v>
      </c>
      <c r="C31" s="3">
        <f>VLOOKUP($A31,BS_Standalone!A:D,3,0)</f>
        <v>20223</v>
      </c>
    </row>
    <row r="32" spans="1:4" x14ac:dyDescent="0.25">
      <c r="A32" s="3" t="s">
        <v>61</v>
      </c>
      <c r="B32" s="3" t="str">
        <f>VLOOKUP($A32,BS_Standalone!A:D,2,0)</f>
        <v>Long-Term Provisions</v>
      </c>
      <c r="C32" s="3">
        <f>VLOOKUP($A32,BS_Standalone!A:D,3,0)</f>
        <v>13743</v>
      </c>
    </row>
    <row r="33" spans="1:4" x14ac:dyDescent="0.25">
      <c r="A33" s="3" t="s">
        <v>62</v>
      </c>
      <c r="B33" s="3" t="str">
        <f>VLOOKUP($A33,BS_Standalone!A:D,2,0)</f>
        <v>Total Non-Current Liabilities</v>
      </c>
      <c r="C33" s="3">
        <f>VLOOKUP($A33,BS_Standalone!A:D,3,0)</f>
        <v>13778</v>
      </c>
    </row>
    <row r="34" spans="1:4" x14ac:dyDescent="0.25">
      <c r="A34" s="3" t="s">
        <v>63</v>
      </c>
      <c r="B34" s="3"/>
      <c r="C34" s="3"/>
      <c r="D34" t="str">
        <f>VLOOKUP(A34,BS_Standalone!A:D,4,0)</f>
        <v>Heading</v>
      </c>
    </row>
    <row r="35" spans="1:4" x14ac:dyDescent="0.25">
      <c r="A35" s="3" t="s">
        <v>59</v>
      </c>
      <c r="B35" s="3"/>
      <c r="C35" s="3"/>
      <c r="D35" t="str">
        <f>VLOOKUP(A35,BS_Standalone!A:D,4,0)</f>
        <v>Heading</v>
      </c>
    </row>
    <row r="36" spans="1:4" x14ac:dyDescent="0.25">
      <c r="A36" s="3" t="s">
        <v>60</v>
      </c>
      <c r="B36" s="3" t="s">
        <v>60</v>
      </c>
      <c r="C36" s="4">
        <v>20209</v>
      </c>
    </row>
    <row r="37" spans="1:4" x14ac:dyDescent="0.25">
      <c r="A37" s="3" t="s">
        <v>64</v>
      </c>
      <c r="B37" s="3" t="s">
        <v>64</v>
      </c>
      <c r="C37" s="4">
        <v>13779</v>
      </c>
    </row>
    <row r="38" spans="1:4" x14ac:dyDescent="0.25">
      <c r="A38" s="3" t="s">
        <v>65</v>
      </c>
      <c r="B38" s="3" t="str">
        <f>VLOOKUP($A38,BS_Standalone!A:D,2,0)</f>
        <v>Other liabilities</v>
      </c>
      <c r="C38" s="3">
        <f>VLOOKUP($A38,BS_Standalone!A:D,3,0)</f>
        <v>26450</v>
      </c>
    </row>
    <row r="39" spans="1:4" x14ac:dyDescent="0.25">
      <c r="A39" s="3" t="s">
        <v>66</v>
      </c>
      <c r="B39" s="3" t="str">
        <f>VLOOKUP($A39,BS_Standalone!A:D,2,0)</f>
        <v>Total Current Liabilities</v>
      </c>
      <c r="C39" s="3">
        <f>VLOOKUP($A39,BS_Standalone!A:D,3,0)</f>
        <v>13775</v>
      </c>
    </row>
    <row r="40" spans="1:4" x14ac:dyDescent="0.25">
      <c r="A40" s="3" t="s">
        <v>67</v>
      </c>
      <c r="B40" s="3" t="str">
        <f>VLOOKUP($A40,BS_Standalone!A:D,2,0)</f>
        <v>TOTAL EQUITY AND LIABILITIES</v>
      </c>
      <c r="C40" s="3">
        <f>VLOOKUP($A40,BS_Standalone!A:D,3,0)</f>
        <v>13776</v>
      </c>
    </row>
  </sheetData>
  <conditionalFormatting sqref="C1">
    <cfRule type="duplicateValues" dxfId="20" priority="11"/>
  </conditionalFormatting>
  <conditionalFormatting sqref="C1:C1048576">
    <cfRule type="duplicateValues" dxfId="19" priority="12"/>
  </conditionalFormatting>
  <conditionalFormatting sqref="B1:C1048576">
    <cfRule type="duplicateValues" dxfId="1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topLeftCell="A10" zoomScaleNormal="100" workbookViewId="0">
      <selection activeCell="B1" sqref="B1:B1048576"/>
    </sheetView>
  </sheetViews>
  <sheetFormatPr defaultColWidth="8.5703125" defaultRowHeight="15" x14ac:dyDescent="0.25"/>
  <cols>
    <col min="1" max="2" width="53.5703125" customWidth="1"/>
    <col min="3" max="3" width="7.5703125" bestFit="1" customWidth="1"/>
  </cols>
  <sheetData>
    <row r="1" spans="1:4" x14ac:dyDescent="0.25">
      <c r="A1" s="1" t="s">
        <v>108</v>
      </c>
      <c r="B1" s="1" t="s">
        <v>109</v>
      </c>
      <c r="C1" s="2" t="s">
        <v>110</v>
      </c>
    </row>
    <row r="2" spans="1:4" x14ac:dyDescent="0.25">
      <c r="A2" s="3" t="s">
        <v>68</v>
      </c>
      <c r="B2" s="3"/>
      <c r="C2" s="3"/>
      <c r="D2" t="s">
        <v>120</v>
      </c>
    </row>
    <row r="3" spans="1:4" x14ac:dyDescent="0.25">
      <c r="A3" s="3" t="s">
        <v>69</v>
      </c>
      <c r="B3" s="6" t="s">
        <v>151</v>
      </c>
      <c r="C3" s="7">
        <v>17539</v>
      </c>
    </row>
    <row r="4" spans="1:4" x14ac:dyDescent="0.25">
      <c r="A4" s="3" t="s">
        <v>70</v>
      </c>
      <c r="B4" s="3"/>
      <c r="C4" s="3"/>
      <c r="D4" t="s">
        <v>120</v>
      </c>
    </row>
    <row r="5" spans="1:4" x14ac:dyDescent="0.25">
      <c r="A5" s="3" t="s">
        <v>71</v>
      </c>
      <c r="B5" s="3" t="s">
        <v>152</v>
      </c>
      <c r="C5" s="4">
        <v>30399</v>
      </c>
    </row>
    <row r="6" spans="1:4" x14ac:dyDescent="0.25">
      <c r="A6" s="5" t="s">
        <v>72</v>
      </c>
      <c r="B6" s="5" t="s">
        <v>168</v>
      </c>
      <c r="C6" s="5">
        <v>17542</v>
      </c>
    </row>
    <row r="7" spans="1:4" x14ac:dyDescent="0.25">
      <c r="A7" s="5" t="s">
        <v>73</v>
      </c>
      <c r="B7" s="5" t="s">
        <v>168</v>
      </c>
      <c r="C7" s="5">
        <v>17542</v>
      </c>
    </row>
    <row r="8" spans="1:4" x14ac:dyDescent="0.25">
      <c r="A8" s="3" t="s">
        <v>103</v>
      </c>
      <c r="B8" s="3" t="s">
        <v>153</v>
      </c>
      <c r="C8" s="4">
        <v>30414</v>
      </c>
    </row>
    <row r="9" spans="1:4" x14ac:dyDescent="0.25">
      <c r="A9" s="3" t="s">
        <v>16</v>
      </c>
      <c r="B9" s="3" t="s">
        <v>154</v>
      </c>
      <c r="C9" s="4">
        <v>30422</v>
      </c>
    </row>
    <row r="10" spans="1:4" x14ac:dyDescent="0.25">
      <c r="A10" s="5" t="s">
        <v>2</v>
      </c>
      <c r="B10" s="5" t="s">
        <v>168</v>
      </c>
      <c r="C10" s="5">
        <v>17542</v>
      </c>
    </row>
    <row r="11" spans="1:4" x14ac:dyDescent="0.25">
      <c r="A11" s="3" t="s">
        <v>74</v>
      </c>
      <c r="B11" s="6" t="s">
        <v>155</v>
      </c>
      <c r="C11" s="7">
        <v>30511</v>
      </c>
    </row>
    <row r="12" spans="1:4" x14ac:dyDescent="0.25">
      <c r="A12" s="3" t="s">
        <v>70</v>
      </c>
      <c r="B12" s="3"/>
      <c r="C12" s="3"/>
      <c r="D12" t="s">
        <v>120</v>
      </c>
    </row>
    <row r="13" spans="1:4" x14ac:dyDescent="0.25">
      <c r="A13" s="3" t="s">
        <v>75</v>
      </c>
      <c r="B13" s="3" t="s">
        <v>147</v>
      </c>
      <c r="C13" s="3">
        <v>30674</v>
      </c>
    </row>
    <row r="14" spans="1:4" x14ac:dyDescent="0.25">
      <c r="A14" s="3" t="s">
        <v>76</v>
      </c>
      <c r="B14" s="3" t="s">
        <v>148</v>
      </c>
      <c r="C14" s="3">
        <v>30518</v>
      </c>
    </row>
    <row r="15" spans="1:4" x14ac:dyDescent="0.25">
      <c r="A15" s="8" t="s">
        <v>104</v>
      </c>
      <c r="B15" s="3" t="s">
        <v>156</v>
      </c>
      <c r="C15" s="4">
        <v>30519</v>
      </c>
    </row>
    <row r="16" spans="1:4" x14ac:dyDescent="0.25">
      <c r="A16" s="3" t="s">
        <v>78</v>
      </c>
      <c r="B16" s="3" t="s">
        <v>149</v>
      </c>
      <c r="C16" s="3">
        <v>30372</v>
      </c>
    </row>
    <row r="17" spans="1:4" x14ac:dyDescent="0.25">
      <c r="A17" s="3" t="s">
        <v>79</v>
      </c>
      <c r="B17" s="3" t="s">
        <v>157</v>
      </c>
      <c r="C17" s="4">
        <v>30450</v>
      </c>
    </row>
    <row r="18" spans="1:4" x14ac:dyDescent="0.25">
      <c r="A18" s="3" t="s">
        <v>80</v>
      </c>
      <c r="B18" s="6" t="s">
        <v>158</v>
      </c>
      <c r="C18" s="7">
        <v>17538</v>
      </c>
    </row>
    <row r="19" spans="1:4" x14ac:dyDescent="0.25">
      <c r="A19" s="3" t="s">
        <v>81</v>
      </c>
      <c r="B19" s="3"/>
      <c r="C19" s="3"/>
      <c r="D19" t="s">
        <v>120</v>
      </c>
    </row>
    <row r="20" spans="1:4" x14ac:dyDescent="0.25">
      <c r="A20" s="3" t="s">
        <v>82</v>
      </c>
      <c r="B20" s="3" t="s">
        <v>159</v>
      </c>
      <c r="C20" s="4">
        <v>17556</v>
      </c>
    </row>
    <row r="21" spans="1:4" x14ac:dyDescent="0.25">
      <c r="A21" s="3" t="s">
        <v>83</v>
      </c>
      <c r="B21" s="3" t="s">
        <v>160</v>
      </c>
      <c r="C21" s="4">
        <v>17557</v>
      </c>
    </row>
    <row r="22" spans="1:4" x14ac:dyDescent="0.25">
      <c r="A22" s="3" t="s">
        <v>105</v>
      </c>
      <c r="B22" s="3" t="s">
        <v>161</v>
      </c>
      <c r="C22" s="4">
        <v>30412</v>
      </c>
    </row>
    <row r="23" spans="1:4" x14ac:dyDescent="0.25">
      <c r="A23" s="5" t="s">
        <v>106</v>
      </c>
      <c r="B23" s="5" t="s">
        <v>169</v>
      </c>
      <c r="C23" s="5">
        <v>17545</v>
      </c>
    </row>
    <row r="24" spans="1:4" x14ac:dyDescent="0.25">
      <c r="A24" s="5" t="s">
        <v>86</v>
      </c>
      <c r="B24" s="5" t="s">
        <v>169</v>
      </c>
      <c r="C24" s="5">
        <v>17545</v>
      </c>
    </row>
    <row r="25" spans="1:4" x14ac:dyDescent="0.25">
      <c r="A25" s="3" t="s">
        <v>107</v>
      </c>
      <c r="B25" s="6" t="s">
        <v>162</v>
      </c>
      <c r="C25" s="7">
        <v>17537</v>
      </c>
    </row>
    <row r="26" spans="1:4" x14ac:dyDescent="0.25">
      <c r="A26" s="3" t="s">
        <v>88</v>
      </c>
      <c r="B26" s="3"/>
      <c r="C26" s="3"/>
      <c r="D26" t="s">
        <v>120</v>
      </c>
    </row>
    <row r="27" spans="1:4" x14ac:dyDescent="0.25">
      <c r="A27" s="5" t="s">
        <v>89</v>
      </c>
      <c r="B27" s="5" t="s">
        <v>163</v>
      </c>
      <c r="C27" s="5">
        <v>17553</v>
      </c>
    </row>
    <row r="28" spans="1:4" x14ac:dyDescent="0.25">
      <c r="A28" s="5" t="s">
        <v>90</v>
      </c>
      <c r="B28" s="5" t="s">
        <v>163</v>
      </c>
      <c r="C28" s="5">
        <v>17553</v>
      </c>
    </row>
    <row r="29" spans="1:4" x14ac:dyDescent="0.25">
      <c r="A29" s="3" t="s">
        <v>92</v>
      </c>
      <c r="B29" s="3" t="s">
        <v>164</v>
      </c>
      <c r="C29" s="4">
        <v>17528</v>
      </c>
    </row>
    <row r="30" spans="1:4" x14ac:dyDescent="0.25">
      <c r="A30" s="3" t="s">
        <v>93</v>
      </c>
      <c r="B30" s="6" t="s">
        <v>165</v>
      </c>
      <c r="C30" s="7">
        <v>17536</v>
      </c>
    </row>
    <row r="31" spans="1:4" x14ac:dyDescent="0.25">
      <c r="A31" s="3" t="s">
        <v>94</v>
      </c>
      <c r="B31" s="3" t="s">
        <v>150</v>
      </c>
      <c r="C31" s="3">
        <v>17541</v>
      </c>
    </row>
    <row r="32" spans="1:4" x14ac:dyDescent="0.25">
      <c r="A32" s="3" t="s">
        <v>95</v>
      </c>
      <c r="B32" s="3" t="s">
        <v>166</v>
      </c>
      <c r="C32" s="4">
        <v>17519</v>
      </c>
    </row>
    <row r="33" spans="1:3" x14ac:dyDescent="0.25">
      <c r="A33" s="3" t="s">
        <v>96</v>
      </c>
      <c r="B33" s="6" t="s">
        <v>167</v>
      </c>
      <c r="C33" s="7">
        <v>30371</v>
      </c>
    </row>
  </sheetData>
  <conditionalFormatting sqref="C1">
    <cfRule type="duplicateValues" dxfId="15" priority="13"/>
  </conditionalFormatting>
  <conditionalFormatting sqref="C1:C1048576">
    <cfRule type="duplicateValues" dxfId="14" priority="14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zoomScaleNormal="100" workbookViewId="0">
      <selection activeCell="B1" sqref="B1:C1048576"/>
    </sheetView>
  </sheetViews>
  <sheetFormatPr defaultColWidth="8.5703125" defaultRowHeight="15" x14ac:dyDescent="0.25"/>
  <cols>
    <col min="1" max="1" width="41.7109375" customWidth="1"/>
    <col min="2" max="2" width="55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108</v>
      </c>
      <c r="B1" s="1" t="s">
        <v>109</v>
      </c>
      <c r="C1" s="2" t="s">
        <v>110</v>
      </c>
    </row>
    <row r="2" spans="1:4" x14ac:dyDescent="0.25">
      <c r="A2" s="3" t="s">
        <v>68</v>
      </c>
      <c r="B2" s="3"/>
      <c r="C2" s="3"/>
      <c r="D2" t="s">
        <v>120</v>
      </c>
    </row>
    <row r="3" spans="1:4" x14ac:dyDescent="0.25">
      <c r="A3" s="3" t="s">
        <v>69</v>
      </c>
      <c r="B3" s="3" t="s">
        <v>151</v>
      </c>
      <c r="C3" s="3">
        <v>17539</v>
      </c>
    </row>
    <row r="4" spans="1:4" x14ac:dyDescent="0.25">
      <c r="A4" s="3" t="s">
        <v>70</v>
      </c>
      <c r="B4" s="3"/>
      <c r="C4" s="3"/>
      <c r="D4" t="s">
        <v>120</v>
      </c>
    </row>
    <row r="5" spans="1:4" x14ac:dyDescent="0.25">
      <c r="A5" s="3" t="s">
        <v>71</v>
      </c>
      <c r="B5" s="3" t="s">
        <v>152</v>
      </c>
      <c r="C5" s="3">
        <v>30399</v>
      </c>
    </row>
    <row r="6" spans="1:4" x14ac:dyDescent="0.25">
      <c r="A6" s="5" t="s">
        <v>72</v>
      </c>
      <c r="B6" s="5" t="s">
        <v>168</v>
      </c>
      <c r="C6" s="5">
        <v>17542</v>
      </c>
    </row>
    <row r="7" spans="1:4" x14ac:dyDescent="0.25">
      <c r="A7" s="5" t="s">
        <v>73</v>
      </c>
      <c r="B7" s="5" t="s">
        <v>168</v>
      </c>
      <c r="C7" s="5">
        <v>17542</v>
      </c>
    </row>
    <row r="8" spans="1:4" x14ac:dyDescent="0.25">
      <c r="A8" s="3" t="s">
        <v>24</v>
      </c>
      <c r="B8" s="3" t="s">
        <v>153</v>
      </c>
      <c r="C8" s="4">
        <v>30414</v>
      </c>
    </row>
    <row r="9" spans="1:4" x14ac:dyDescent="0.25">
      <c r="A9" s="3" t="s">
        <v>16</v>
      </c>
      <c r="B9" s="3" t="s">
        <v>154</v>
      </c>
      <c r="C9" s="3">
        <v>30422</v>
      </c>
    </row>
    <row r="10" spans="1:4" x14ac:dyDescent="0.25">
      <c r="A10" s="5" t="s">
        <v>2</v>
      </c>
      <c r="B10" s="5" t="s">
        <v>168</v>
      </c>
      <c r="C10" s="5">
        <v>17542</v>
      </c>
    </row>
    <row r="11" spans="1:4" x14ac:dyDescent="0.25">
      <c r="A11" s="3" t="s">
        <v>74</v>
      </c>
      <c r="B11" s="3" t="s">
        <v>155</v>
      </c>
      <c r="C11" s="3">
        <v>30511</v>
      </c>
    </row>
    <row r="12" spans="1:4" x14ac:dyDescent="0.25">
      <c r="A12" s="3" t="s">
        <v>70</v>
      </c>
      <c r="B12" s="3"/>
      <c r="C12" s="3"/>
      <c r="D12" t="s">
        <v>120</v>
      </c>
    </row>
    <row r="13" spans="1:4" x14ac:dyDescent="0.25">
      <c r="A13" s="3" t="s">
        <v>75</v>
      </c>
      <c r="B13" s="3" t="s">
        <v>147</v>
      </c>
      <c r="C13" s="3">
        <v>30674</v>
      </c>
    </row>
    <row r="14" spans="1:4" x14ac:dyDescent="0.25">
      <c r="A14" s="3" t="s">
        <v>76</v>
      </c>
      <c r="B14" s="3" t="s">
        <v>148</v>
      </c>
      <c r="C14" s="3">
        <v>30518</v>
      </c>
    </row>
    <row r="15" spans="1:4" x14ac:dyDescent="0.25">
      <c r="A15" s="3" t="s">
        <v>77</v>
      </c>
      <c r="B15" s="3" t="s">
        <v>156</v>
      </c>
      <c r="C15" s="3">
        <v>30519</v>
      </c>
    </row>
    <row r="16" spans="1:4" x14ac:dyDescent="0.25">
      <c r="A16" s="3" t="s">
        <v>78</v>
      </c>
      <c r="B16" s="3" t="s">
        <v>149</v>
      </c>
      <c r="C16" s="3">
        <v>30372</v>
      </c>
    </row>
    <row r="17" spans="1:4" x14ac:dyDescent="0.25">
      <c r="A17" s="3" t="s">
        <v>79</v>
      </c>
      <c r="B17" s="3" t="s">
        <v>157</v>
      </c>
      <c r="C17" s="3">
        <v>30450</v>
      </c>
    </row>
    <row r="18" spans="1:4" x14ac:dyDescent="0.25">
      <c r="A18" s="3" t="s">
        <v>80</v>
      </c>
      <c r="B18" s="3" t="s">
        <v>158</v>
      </c>
      <c r="C18" s="3">
        <v>17538</v>
      </c>
    </row>
    <row r="19" spans="1:4" x14ac:dyDescent="0.25">
      <c r="A19" s="3" t="s">
        <v>81</v>
      </c>
      <c r="B19" s="3"/>
      <c r="C19" s="3"/>
      <c r="D19" t="s">
        <v>120</v>
      </c>
    </row>
    <row r="20" spans="1:4" x14ac:dyDescent="0.25">
      <c r="A20" s="3" t="s">
        <v>82</v>
      </c>
      <c r="B20" s="3" t="s">
        <v>159</v>
      </c>
      <c r="C20" s="3">
        <v>17556</v>
      </c>
    </row>
    <row r="21" spans="1:4" x14ac:dyDescent="0.25">
      <c r="A21" s="3" t="s">
        <v>83</v>
      </c>
      <c r="B21" s="3" t="s">
        <v>160</v>
      </c>
      <c r="C21" s="3">
        <v>17557</v>
      </c>
    </row>
    <row r="22" spans="1:4" x14ac:dyDescent="0.25">
      <c r="A22" s="8" t="s">
        <v>84</v>
      </c>
      <c r="B22" s="3" t="s">
        <v>161</v>
      </c>
      <c r="C22" s="3">
        <v>30412</v>
      </c>
    </row>
    <row r="23" spans="1:4" x14ac:dyDescent="0.25">
      <c r="A23" s="5" t="s">
        <v>85</v>
      </c>
      <c r="B23" s="5" t="s">
        <v>169</v>
      </c>
      <c r="C23" s="5">
        <v>17545</v>
      </c>
    </row>
    <row r="24" spans="1:4" x14ac:dyDescent="0.25">
      <c r="A24" s="5" t="s">
        <v>86</v>
      </c>
      <c r="B24" s="5" t="s">
        <v>169</v>
      </c>
      <c r="C24" s="5">
        <v>17545</v>
      </c>
    </row>
    <row r="25" spans="1:4" x14ac:dyDescent="0.25">
      <c r="A25" s="3" t="s">
        <v>87</v>
      </c>
      <c r="B25" s="3" t="s">
        <v>162</v>
      </c>
      <c r="C25" s="3">
        <v>17537</v>
      </c>
    </row>
    <row r="26" spans="1:4" x14ac:dyDescent="0.25">
      <c r="A26" s="3" t="s">
        <v>88</v>
      </c>
      <c r="B26" s="3"/>
      <c r="C26" s="3"/>
      <c r="D26" t="s">
        <v>120</v>
      </c>
    </row>
    <row r="27" spans="1:4" x14ac:dyDescent="0.25">
      <c r="A27" s="5" t="s">
        <v>89</v>
      </c>
      <c r="B27" s="5" t="s">
        <v>163</v>
      </c>
      <c r="C27" s="5">
        <v>17553</v>
      </c>
    </row>
    <row r="28" spans="1:4" x14ac:dyDescent="0.25">
      <c r="A28" s="5" t="s">
        <v>90</v>
      </c>
      <c r="B28" s="5" t="s">
        <v>163</v>
      </c>
      <c r="C28" s="5">
        <v>17553</v>
      </c>
    </row>
    <row r="29" spans="1:4" x14ac:dyDescent="0.25">
      <c r="A29" s="3" t="s">
        <v>91</v>
      </c>
      <c r="B29" s="3" t="s">
        <v>170</v>
      </c>
      <c r="C29" s="4">
        <v>17543</v>
      </c>
    </row>
    <row r="30" spans="1:4" x14ac:dyDescent="0.25">
      <c r="A30" s="3" t="s">
        <v>92</v>
      </c>
      <c r="B30" s="3" t="s">
        <v>164</v>
      </c>
      <c r="C30" s="3">
        <v>17528</v>
      </c>
    </row>
    <row r="31" spans="1:4" x14ac:dyDescent="0.25">
      <c r="A31" s="3" t="s">
        <v>93</v>
      </c>
      <c r="B31" s="3" t="s">
        <v>165</v>
      </c>
      <c r="C31" s="3">
        <v>17536</v>
      </c>
    </row>
    <row r="32" spans="1:4" x14ac:dyDescent="0.25">
      <c r="A32" s="3" t="s">
        <v>94</v>
      </c>
      <c r="B32" s="3" t="s">
        <v>150</v>
      </c>
      <c r="C32" s="3">
        <v>17541</v>
      </c>
    </row>
    <row r="33" spans="1:3" x14ac:dyDescent="0.25">
      <c r="A33" s="3" t="s">
        <v>95</v>
      </c>
      <c r="B33" s="3" t="s">
        <v>166</v>
      </c>
      <c r="C33" s="3">
        <v>17519</v>
      </c>
    </row>
    <row r="34" spans="1:3" x14ac:dyDescent="0.25">
      <c r="A34" s="3" t="s">
        <v>96</v>
      </c>
      <c r="B34" s="3" t="s">
        <v>167</v>
      </c>
      <c r="C34" s="3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CFF4-B89B-44B6-B4F9-BA74C46E5AF7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108</v>
      </c>
      <c r="B1" s="1" t="s">
        <v>109</v>
      </c>
      <c r="C1" s="2" t="s">
        <v>110</v>
      </c>
    </row>
  </sheetData>
  <conditionalFormatting sqref="C1">
    <cfRule type="duplicateValues" dxfId="50" priority="1"/>
    <cfRule type="duplicateValues" dxfId="49" priority="2"/>
    <cfRule type="duplicateValues" dxfId="48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017F-A1D6-4B42-A873-469D7796697F}">
  <dimension ref="A1:C1"/>
  <sheetViews>
    <sheetView tabSelected="1"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108</v>
      </c>
      <c r="B1" s="1" t="s">
        <v>109</v>
      </c>
      <c r="C1" s="2" t="s">
        <v>110</v>
      </c>
    </row>
  </sheetData>
  <conditionalFormatting sqref="C1">
    <cfRule type="duplicateValues" dxfId="47" priority="1"/>
    <cfRule type="duplicateValues" dxfId="46" priority="2"/>
    <cfRule type="duplicateValues" dxfId="45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Minal Kuwalekar</cp:lastModifiedBy>
  <cp:revision>9</cp:revision>
  <dcterms:created xsi:type="dcterms:W3CDTF">2025-12-31T05:41:26Z</dcterms:created>
  <dcterms:modified xsi:type="dcterms:W3CDTF">2026-01-20T10:58:20Z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2026-01-01T09:29:27Z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b9294bac-dd25-4c25-937a-37b003daf1ea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