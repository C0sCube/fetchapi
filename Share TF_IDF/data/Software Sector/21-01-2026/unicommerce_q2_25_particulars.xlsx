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F08B6B22-9232-4728-8983-07D597C332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3" hidden="1">BS_Consolidated!$A$1:$C$51</definedName>
    <definedName name="_xlnm._FilterDatabase" localSheetId="2" hidden="1">BS_Standalone!$B$2:$C$47</definedName>
    <definedName name="_xlnm._FilterDatabase" localSheetId="5" hidden="1">CFS_Consolidated!$A$1:$C$47</definedName>
    <definedName name="_xlnm._FilterDatabase" localSheetId="4" hidden="1">CFS_Standalone!$A$1:$C$45</definedName>
    <definedName name="_xlnm._FilterDatabase" localSheetId="1" hidden="1">'P&amp;L_Consolidated'!$A$1:$C$38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5" l="1"/>
  <c r="B38" i="5"/>
  <c r="C35" i="5"/>
  <c r="B35" i="5"/>
  <c r="C17" i="5"/>
  <c r="B17" i="5"/>
  <c r="C14" i="5"/>
  <c r="B14" i="5"/>
  <c r="C13" i="5"/>
  <c r="B13" i="5"/>
  <c r="C11" i="5"/>
  <c r="B11" i="5"/>
  <c r="C10" i="5"/>
  <c r="B10" i="5"/>
  <c r="C9" i="5"/>
  <c r="B9" i="5"/>
  <c r="C8" i="5"/>
  <c r="B8" i="5"/>
  <c r="C7" i="5"/>
  <c r="B7" i="5"/>
  <c r="C6" i="5"/>
  <c r="B6" i="5"/>
  <c r="C4" i="5"/>
  <c r="B4" i="5"/>
  <c r="C3" i="5"/>
  <c r="B3" i="5"/>
  <c r="C2" i="5"/>
  <c r="B2" i="5"/>
</calcChain>
</file>

<file path=xl/sharedStrings.xml><?xml version="1.0" encoding="utf-8"?>
<sst xmlns="http://schemas.openxmlformats.org/spreadsheetml/2006/main" count="455" uniqueCount="230">
  <si>
    <t>Revenue from contract with customers</t>
  </si>
  <si>
    <t>Other income</t>
  </si>
  <si>
    <t>Total income</t>
  </si>
  <si>
    <t>Expenses</t>
  </si>
  <si>
    <t>Employee benefits expense</t>
  </si>
  <si>
    <t>Server hosting expense</t>
  </si>
  <si>
    <t>Depreciation and amortisation expense</t>
  </si>
  <si>
    <t>Other expenses</t>
  </si>
  <si>
    <t>Total expense</t>
  </si>
  <si>
    <t>Current tax</t>
  </si>
  <si>
    <t>Adjustment of tax relating to earlier periods</t>
  </si>
  <si>
    <t>Deterred tax</t>
  </si>
  <si>
    <t>Income tax expense</t>
  </si>
  <si>
    <t>Other comprehensive income</t>
  </si>
  <si>
    <t>Item not to be reclassified to profit or loss in subsequent period/year:</t>
  </si>
  <si>
    <t>Re-measurement gain on defined benefit plans</t>
  </si>
  <si>
    <t>Income tax eftect</t>
  </si>
  <si>
    <t>Instruments entirely equity in nature</t>
  </si>
  <si>
    <t>Other Equity</t>
  </si>
  <si>
    <t>Basic earnings per equity share [ In Rs.]</t>
  </si>
  <si>
    <t>Diluted earnings per equity share [ In Rs.]</t>
  </si>
  <si>
    <t>ASSETS</t>
  </si>
  <si>
    <t>Non-current assets</t>
  </si>
  <si>
    <t>Right-of-use assets</t>
  </si>
  <si>
    <t>Intangible assets</t>
  </si>
  <si>
    <t>Intangible assets under development</t>
  </si>
  <si>
    <t>Financial assets</t>
  </si>
  <si>
    <t>Investments</t>
  </si>
  <si>
    <t>Other financial assets</t>
  </si>
  <si>
    <t>Deferred tax assets (net)</t>
  </si>
  <si>
    <t>Total Non-Current Assets</t>
  </si>
  <si>
    <t>Current assets</t>
  </si>
  <si>
    <t>Trade receivables</t>
  </si>
  <si>
    <t>Cash and cash equivalent</t>
  </si>
  <si>
    <t>Bank balances other than cash and cash equivalent</t>
  </si>
  <si>
    <t>Prepayments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</si>
  <si>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</si>
  <si>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</si>
  <si>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</si>
  <si>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</si>
  <si>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</si>
  <si>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</si>
  <si>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</si>
  <si>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</si>
  <si>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</si>
  <si>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</si>
  <si>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</si>
  <si>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</si>
  <si>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Total Non-Current liabilities</t>
  </si>
  <si>
    <t>Current liabilities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</si>
  <si>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</si>
  <si>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</si>
  <si>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</si>
  <si>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</si>
  <si>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</si>
  <si>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</si>
  <si>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 from operating activities</t>
  </si>
  <si>
    <t>Profit before tax for the year</t>
  </si>
  <si>
    <t>Adjustment to reconcile profit before tax for the year to net cash flows:</t>
  </si>
  <si>
    <t>Share-based payment expense</t>
  </si>
  <si>
    <t>Loss allowance on financials assets</t>
  </si>
  <si>
    <t>Finance Costs</t>
  </si>
  <si>
    <t>Income on financial instruments at fair value through fair value profit and loss</t>
  </si>
  <si>
    <t>Unwinding of discount on financial assets at amortised cost</t>
  </si>
  <si>
    <t>Interest income on bank deposits</t>
  </si>
  <si>
    <t>Loss on Modification of lease liability</t>
  </si>
  <si>
    <t>Gain on sale of investments</t>
  </si>
  <si>
    <t>Operating profits before working capital changes</t>
  </si>
  <si>
    <t>Working capital adjustments:</t>
  </si>
  <si>
    <t>Increase in trade payables and other payables</t>
  </si>
  <si>
    <t>(Decrease)/increase in provisions</t>
  </si>
  <si>
    <t>(Decrease)/increase in other liabilities and other financial liabilities</t>
  </si>
  <si>
    <t>Decrease/(increase) in trade receivables</t>
  </si>
  <si>
    <t>Decrease/(increase) in other assets and other financial assets</t>
  </si>
  <si>
    <t>Cash generated from operations</t>
  </si>
  <si>
    <t>Income taxes paid (net of refund)</t>
  </si>
  <si>
    <t>Cash flow from investing activities</t>
  </si>
  <si>
    <t>Purchase of property plant and equipment</t>
  </si>
  <si>
    <t>Investment in bank deposits</t>
  </si>
  <si>
    <t>Redemption of bank deposits</t>
  </si>
  <si>
    <t>Investment in mutual fund</t>
  </si>
  <si>
    <t>Cash used in investing activities</t>
  </si>
  <si>
    <t>Cash flow from financing activities</t>
  </si>
  <si>
    <t>Proceeds from issue of equity shares</t>
  </si>
  <si>
    <t>Payment of principal portion of lease liabilities</t>
  </si>
  <si>
    <t>Payment of interest portion of lease liabilities</t>
  </si>
  <si>
    <t>Cash used in financing activities</t>
  </si>
  <si>
    <t>Cash and cash equivalents at the beginning of the year</t>
  </si>
  <si>
    <t>Cash and cash equivalents at the end of the year</t>
  </si>
  <si>
    <t>Non-cash financing and investing activities</t>
  </si>
  <si>
    <t>Partial settlement of a purchase consideration through the issue of shares</t>
  </si>
  <si>
    <t>Other comprehensive income/(loss)</t>
  </si>
  <si>
    <t>Item not to be reclassified to profit or loss in subsequent years:</t>
  </si>
  <si>
    <t>Re-measurement gain/(loss) on defined benefit plans</t>
  </si>
  <si>
    <t>Profit for the period attributable to</t>
  </si>
  <si>
    <t>Equity holders of parent</t>
  </si>
  <si>
    <t>Non-controlling interest</t>
  </si>
  <si>
    <t>Paid-up equity share capital</t>
  </si>
  <si>
    <t>Goodwill</t>
  </si>
  <si>
    <t>Total equity attributable to equity shareholders</t>
  </si>
  <si>
    <t>Non-controlling Interest</t>
  </si>
  <si>
    <t>Deferred tax liabilities (net)</t>
  </si>
  <si>
    <t>Borrowings</t>
  </si>
  <si>
    <t>Amortisation of Intangible assets</t>
  </si>
  <si>
    <t>Finance Costs - Interest on lease liability</t>
  </si>
  <si>
    <t>Finance Costs - Interest on bank overdraft</t>
  </si>
  <si>
    <t>Loss on modification of lease liability</t>
  </si>
  <si>
    <t>Decrease in other liabilities and other financial liabilities</t>
  </si>
  <si>
    <t>Increase in other assets and other financial assets</t>
  </si>
  <si>
    <t>Capital work in progress</t>
  </si>
  <si>
    <t>Redemption of mutual fund</t>
  </si>
  <si>
    <t>Interest received on bank deposits</t>
  </si>
  <si>
    <t>Interest paid on bank overdraft</t>
  </si>
  <si>
    <t>finance costs</t>
  </si>
  <si>
    <t>Profit before tax</t>
  </si>
  <si>
    <t>Profit for the period/year</t>
  </si>
  <si>
    <t>Other comprehensive income for the period/year net of tax</t>
  </si>
  <si>
    <t>Total comprehensive income for the period/year net of tax</t>
  </si>
  <si>
    <t>Paid-up equity share capital [nominal value of share Re. 1]</t>
  </si>
  <si>
    <t>Earnings per equity share [nominal value of share is Re.1 each] (not annualised)</t>
  </si>
  <si>
    <t>Property, plant and equipment</t>
  </si>
  <si>
    <t>Trade and other payables</t>
  </si>
  <si>
    <t xml:space="preserve"> total outstanding dues of micro and small enterprises</t>
  </si>
  <si>
    <t xml:space="preserve"> total outstanding dues of creditors other than micro and small enterprises</t>
  </si>
  <si>
    <t>total outstanding dues of micro and small enterprises</t>
  </si>
  <si>
    <t>total outstanding dues of creditors other than micro and small enterprises</t>
  </si>
  <si>
    <t>Depreciation of property, plant and equipment</t>
  </si>
  <si>
    <t>Depreciation of right of use of assets</t>
  </si>
  <si>
    <t>(Gain) /loss on sale of property plant and equipment</t>
  </si>
  <si>
    <t>(Gain) /loss on sale of property, plant and equipment</t>
  </si>
  <si>
    <t>Purchase of property, plant and equipment</t>
  </si>
  <si>
    <t>Proceeds from sale of property, plant and equipment</t>
  </si>
  <si>
    <t>Net increase/(decrease) in cash and cash equivalents</t>
  </si>
  <si>
    <t>Finance costs</t>
  </si>
  <si>
    <t xml:space="preserve">Profit before tax </t>
  </si>
  <si>
    <t>Deferred tax</t>
  </si>
  <si>
    <t>Other comprehensive income/(loss) for the period/year, net of tax</t>
  </si>
  <si>
    <t>Total comprehensive income for the period/year, net of tax</t>
  </si>
  <si>
    <t>Other comprehensive income/(loss), net of tax attributable to</t>
  </si>
  <si>
    <t>Total comprehensive income for the period, net of tax</t>
  </si>
  <si>
    <t>Earnings per equity share [nominal value of share is Re. 1 each] (not annualised)</t>
  </si>
  <si>
    <t>Basic earnings per equity share [In Rs.]</t>
  </si>
  <si>
    <t>Particulars</t>
  </si>
  <si>
    <t>Cogencis Field</t>
  </si>
  <si>
    <t>Field id</t>
  </si>
  <si>
    <t>Gross Sales/Income from Operations</t>
  </si>
  <si>
    <t>Operating Expenses</t>
  </si>
  <si>
    <t>Total Expenses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</si>
  <si>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</si>
  <si>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</si>
  <si>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</si>
  <si>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</si>
  <si>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</si>
  <si>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Profit/(Loss) From Ordinary Activities before Tax</t>
  </si>
  <si>
    <t>Tax Expense</t>
  </si>
  <si>
    <t>Net Profit/(Loss) for the Period</t>
  </si>
  <si>
    <t>Other Comprehensive Income</t>
  </si>
  <si>
    <t>Reserve excluding Revaluation Reserves (as per Balance Sheet of Previous Accounting Year)</t>
  </si>
  <si>
    <t>Deferred Tax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</si>
  <si>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</si>
  <si>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</si>
  <si>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</si>
  <si>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</si>
  <si>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Basic EPS</t>
  </si>
  <si>
    <t>Diluted EPS</t>
  </si>
  <si>
    <t>Owners of the company</t>
  </si>
  <si>
    <t>Non-Controlling Interests</t>
  </si>
  <si>
    <t>Property, Plant &amp; Equipment</t>
  </si>
  <si>
    <t>Other Intangible Assets</t>
  </si>
  <si>
    <t>Non-Current Investments</t>
  </si>
  <si>
    <t>Other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</si>
  <si>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</si>
  <si>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</si>
  <si>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</si>
  <si>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</si>
  <si>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</si>
  <si>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Other Current Financial Liabilities</t>
  </si>
  <si>
    <t>Other liabilities</t>
  </si>
  <si>
    <t>Current Tax Liabilities (Net)</t>
  </si>
  <si>
    <t>Total Current Liabilities</t>
  </si>
  <si>
    <t>TOTAL EQUITY AND LIABILITIES</t>
  </si>
  <si>
    <t>Right-of-use asset</t>
  </si>
  <si>
    <t>Intangible Assets Under Development</t>
  </si>
  <si>
    <t>Other Non-Current Financial Assets</t>
  </si>
  <si>
    <t>Deferred Tax Assets (Net)</t>
  </si>
  <si>
    <t>Current Investments</t>
  </si>
  <si>
    <t>Cash And Cash Equivalents</t>
  </si>
  <si>
    <t>Bank balance other than cash and cash equivalents</t>
  </si>
  <si>
    <t>Other Current Financial Assets</t>
  </si>
  <si>
    <t>Total Non-Current Liabilities</t>
  </si>
  <si>
    <t>Trade Payables</t>
  </si>
  <si>
    <t>Short-Term Provisions</t>
  </si>
  <si>
    <t>Goodwill On Consolidation</t>
  </si>
  <si>
    <t>Minority Interest</t>
  </si>
  <si>
    <t>Other Non Current Financial Liabilities</t>
  </si>
  <si>
    <t>Deferred Tax Liability (Net)</t>
  </si>
  <si>
    <t>Others-Before Working Capital Changes</t>
  </si>
  <si>
    <t>Interest Expense</t>
  </si>
  <si>
    <t>Profit On Sale Of Investments</t>
  </si>
  <si>
    <t>Trade And Other Receivables</t>
  </si>
  <si>
    <t>Cash Generated From Operations</t>
  </si>
  <si>
    <t>Income Tax Paid</t>
  </si>
  <si>
    <t>Purchase Of Fixed Assets (Tangible / Intangible)</t>
  </si>
  <si>
    <t>Sale Of Fixed Assets (Tangible / Intangible)</t>
  </si>
  <si>
    <t>Fixed Deposits</t>
  </si>
  <si>
    <t>Interest Received</t>
  </si>
  <si>
    <t>Proceeds From Issue Of Equity Shares (Inclu Share Premium)</t>
  </si>
  <si>
    <t>Payments of lease liabilities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</si>
  <si>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</si>
  <si>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</si>
  <si>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</si>
  <si>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</si>
  <si>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Depreciation and Amortisation Expense</t>
  </si>
  <si>
    <t>Profit On Sale Of Fixed Assets</t>
  </si>
  <si>
    <t>Loss On Sale Of Investments</t>
  </si>
  <si>
    <t>Interest Income</t>
  </si>
  <si>
    <t>Operating Profit Before Working Capital Changes</t>
  </si>
  <si>
    <t>Trade Payables And Others</t>
  </si>
  <si>
    <t>Other Current and Non Current Liabilities</t>
  </si>
  <si>
    <t>Other Current and Non Current Assets</t>
  </si>
  <si>
    <t>Purchase of intangible assets under development</t>
  </si>
  <si>
    <t>Investments in Mutual Funds</t>
  </si>
  <si>
    <t>Net Cash Flow From Investing Activities</t>
  </si>
  <si>
    <t>Net Cash Flow From Financing Activities</t>
  </si>
  <si>
    <t>Capital Work In Progress</t>
  </si>
  <si>
    <t>Interest Paid</t>
  </si>
  <si>
    <t>Trade Receivables</t>
  </si>
  <si>
    <t>Calculated Field</t>
  </si>
  <si>
    <t>Employees Stock Options Grants</t>
  </si>
  <si>
    <t>Net Cash Flow From Operating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</si>
</sst>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5" x14ac:dyDescent="0.25"/>
  <cols>
    <col min="1" max="2" width="52.28515625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0</v>
      </c>
      <c r="B2" s="3" t="s">
        <v>145</v>
      </c>
      <c r="C2" s="3">
        <v>256</v>
      </c>
    </row>
    <row r="3" spans="1:3" x14ac:dyDescent="0.25">
      <c r="A3" s="3" t="s">
        <v>1</v>
      </c>
      <c r="B3" s="3" t="s">
        <v>148</v>
      </c>
      <c r="C3" s="3">
        <v>265</v>
      </c>
    </row>
    <row r="4" spans="1:3" x14ac:dyDescent="0.25">
      <c r="A4" s="3" t="s">
        <v>2</v>
      </c>
      <c r="B4" s="3" t="s">
        <v>149</v>
      </c>
      <c r="C4" s="3"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150</v>
      </c>
      <c r="C6" s="3">
        <v>238</v>
      </c>
    </row>
    <row r="7" spans="1:3" x14ac:dyDescent="0.25">
      <c r="A7" s="3" t="s">
        <v>5</v>
      </c>
      <c r="B7" s="3" t="s">
        <v>146</v>
      </c>
      <c r="C7" s="3">
        <v>276</v>
      </c>
    </row>
    <row r="8" spans="1:3" x14ac:dyDescent="0.25">
      <c r="A8" s="3" t="s">
        <v>113</v>
      </c>
      <c r="B8" s="3" t="s">
        <v>61</v>
      </c>
      <c r="C8" s="3">
        <v>246</v>
      </c>
    </row>
    <row r="9" spans="1:3" x14ac:dyDescent="0.25">
      <c r="A9" s="3" t="s">
        <v>6</v>
      </c>
      <c r="B9" s="3" t="s">
        <v>151</v>
      </c>
      <c r="C9" s="3">
        <v>232</v>
      </c>
    </row>
    <row r="10" spans="1:3" x14ac:dyDescent="0.25">
      <c r="A10" s="3" t="s">
        <v>7</v>
      </c>
      <c r="B10" s="3" t="s">
        <v>152</v>
      </c>
      <c r="C10" s="3">
        <v>279</v>
      </c>
    </row>
    <row r="11" spans="1:3" x14ac:dyDescent="0.25">
      <c r="A11" s="3" t="s">
        <v>8</v>
      </c>
      <c r="B11" s="3" t="s">
        <v>147</v>
      </c>
      <c r="C11" s="3">
        <v>320</v>
      </c>
    </row>
    <row r="12" spans="1:3" x14ac:dyDescent="0.25">
      <c r="A12" s="3" t="s">
        <v>114</v>
      </c>
      <c r="B12" s="3" t="s">
        <v>153</v>
      </c>
      <c r="C12" s="3">
        <v>296</v>
      </c>
    </row>
    <row r="13" spans="1:3" x14ac:dyDescent="0.25">
      <c r="A13" s="4" t="s">
        <v>9</v>
      </c>
      <c r="B13" s="4" t="s">
        <v>154</v>
      </c>
      <c r="C13" s="4">
        <v>318</v>
      </c>
    </row>
    <row r="14" spans="1:3" x14ac:dyDescent="0.25">
      <c r="A14" s="4" t="s">
        <v>10</v>
      </c>
      <c r="B14" s="4" t="s">
        <v>154</v>
      </c>
      <c r="C14" s="4">
        <v>318</v>
      </c>
    </row>
    <row r="15" spans="1:3" x14ac:dyDescent="0.25">
      <c r="A15" s="3" t="s">
        <v>11</v>
      </c>
      <c r="B15" s="3" t="s">
        <v>158</v>
      </c>
      <c r="C15" s="3">
        <v>231</v>
      </c>
    </row>
    <row r="16" spans="1:3" x14ac:dyDescent="0.25">
      <c r="A16" s="3" t="s">
        <v>12</v>
      </c>
      <c r="B16" s="3"/>
      <c r="C16" s="3"/>
    </row>
    <row r="17" spans="1:3" x14ac:dyDescent="0.25">
      <c r="A17" s="3" t="s">
        <v>115</v>
      </c>
      <c r="B17" s="3" t="s">
        <v>155</v>
      </c>
      <c r="C17" s="3">
        <v>269</v>
      </c>
    </row>
    <row r="18" spans="1:3" x14ac:dyDescent="0.25">
      <c r="A18" s="3" t="s">
        <v>13</v>
      </c>
      <c r="B18" s="3"/>
      <c r="C18" s="3"/>
    </row>
    <row r="19" spans="1:3" x14ac:dyDescent="0.25">
      <c r="A19" s="3" t="s">
        <v>14</v>
      </c>
      <c r="B19" s="3"/>
      <c r="C19" s="3"/>
    </row>
    <row r="20" spans="1:3" x14ac:dyDescent="0.25">
      <c r="A20" s="3" t="s">
        <v>15</v>
      </c>
      <c r="B20" s="3" t="s">
        <v>159</v>
      </c>
      <c r="C20" s="3">
        <v>22293</v>
      </c>
    </row>
    <row r="21" spans="1:3" x14ac:dyDescent="0.25">
      <c r="A21" s="3" t="s">
        <v>16</v>
      </c>
      <c r="B21" s="3" t="s">
        <v>160</v>
      </c>
      <c r="C21" s="3">
        <v>22295</v>
      </c>
    </row>
    <row r="22" spans="1:3" x14ac:dyDescent="0.25">
      <c r="A22" s="3" t="s">
        <v>116</v>
      </c>
      <c r="B22" s="3" t="s">
        <v>156</v>
      </c>
      <c r="C22" s="3">
        <v>16484</v>
      </c>
    </row>
    <row r="23" spans="1:3" x14ac:dyDescent="0.25">
      <c r="A23" s="3" t="s">
        <v>117</v>
      </c>
      <c r="B23" s="3" t="s">
        <v>161</v>
      </c>
      <c r="C23" s="3">
        <v>20019</v>
      </c>
    </row>
    <row r="24" spans="1:3" x14ac:dyDescent="0.25">
      <c r="A24" s="3" t="s">
        <v>118</v>
      </c>
      <c r="B24" s="3" t="s">
        <v>162</v>
      </c>
      <c r="C24" s="3">
        <v>282</v>
      </c>
    </row>
    <row r="25" spans="1:3" x14ac:dyDescent="0.25">
      <c r="A25" s="3" t="s">
        <v>17</v>
      </c>
      <c r="B25" s="3"/>
      <c r="C25" s="3"/>
    </row>
    <row r="26" spans="1:3" x14ac:dyDescent="0.25">
      <c r="A26" s="3" t="s">
        <v>18</v>
      </c>
      <c r="B26" s="3" t="s">
        <v>157</v>
      </c>
      <c r="C26" s="3">
        <v>309</v>
      </c>
    </row>
    <row r="27" spans="1:3" x14ac:dyDescent="0.25">
      <c r="A27" s="3" t="s">
        <v>119</v>
      </c>
      <c r="B27" s="3"/>
      <c r="C27" s="3"/>
    </row>
    <row r="28" spans="1:3" x14ac:dyDescent="0.25">
      <c r="A28" s="3" t="s">
        <v>19</v>
      </c>
      <c r="B28" s="3" t="s">
        <v>163</v>
      </c>
      <c r="C28" s="3">
        <v>222</v>
      </c>
    </row>
    <row r="29" spans="1:3" x14ac:dyDescent="0.25">
      <c r="A29" s="3" t="s">
        <v>20</v>
      </c>
      <c r="B29" s="3" t="s">
        <v>164</v>
      </c>
      <c r="C29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/>
  </sheetViews>
  <sheetFormatPr defaultRowHeight="15" x14ac:dyDescent="0.25"/>
  <cols>
    <col min="1" max="2" width="52.28515625" customWidth="1"/>
    <col min="3" max="3" width="9.85546875" bestFit="1" customWidth="1"/>
  </cols>
  <sheetData>
    <row r="1" spans="1:3" x14ac:dyDescent="0.25">
      <c r="A1" s="5" t="s">
        <v>142</v>
      </c>
      <c r="B1" s="5" t="s">
        <v>143</v>
      </c>
      <c r="C1" s="5" t="s">
        <v>144</v>
      </c>
    </row>
    <row r="2" spans="1:3" x14ac:dyDescent="0.25">
      <c r="A2" s="3" t="s">
        <v>0</v>
      </c>
      <c r="B2" s="3" t="str">
        <f>VLOOKUP(A2,'P&amp;L_Standalone'!A:C,2,0)</f>
        <v>Gross Sales/Income from Operations</v>
      </c>
      <c r="C2" s="3">
        <f>VLOOKUP(A2,'P&amp;L_Standalone'!A:C,3,0)</f>
        <v>256</v>
      </c>
    </row>
    <row r="3" spans="1:3" x14ac:dyDescent="0.25">
      <c r="A3" s="3" t="s">
        <v>1</v>
      </c>
      <c r="B3" s="3" t="str">
        <f>VLOOKUP(A3,'P&amp;L_Standalone'!A:C,2,0)</f>
        <v>Miscellaneous Income</v>
      </c>
      <c r="C3" s="3">
        <f>VLOOKUP(A3,'P&amp;L_Standalone'!A:C,3,0)</f>
        <v>265</v>
      </c>
    </row>
    <row r="4" spans="1:3" x14ac:dyDescent="0.25">
      <c r="A4" s="3" t="s">
        <v>2</v>
      </c>
      <c r="B4" s="3" t="str">
        <f>VLOOKUP(A4,'P&amp;L_Standalone'!A:C,2,0)</f>
        <v>Total Income</v>
      </c>
      <c r="C4" s="3">
        <f>VLOOKUP(A4,'P&amp;L_Standalone'!A:C,3,0)</f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tr">
        <f>VLOOKUP(A6,'P&amp;L_Standalone'!A:C,2,0)</f>
        <v>Employee Benefit Expense</v>
      </c>
      <c r="C6" s="3">
        <f>VLOOKUP(A6,'P&amp;L_Standalone'!A:C,3,0)</f>
        <v>238</v>
      </c>
    </row>
    <row r="7" spans="1:3" x14ac:dyDescent="0.25">
      <c r="A7" s="3" t="s">
        <v>5</v>
      </c>
      <c r="B7" s="3" t="str">
        <f>VLOOKUP(A7,'P&amp;L_Standalone'!A:C,2,0)</f>
        <v>Operating Expenses</v>
      </c>
      <c r="C7" s="3">
        <f>VLOOKUP(A7,'P&amp;L_Standalone'!A:C,3,0)</f>
        <v>276</v>
      </c>
    </row>
    <row r="8" spans="1:3" x14ac:dyDescent="0.25">
      <c r="A8" s="3" t="s">
        <v>133</v>
      </c>
      <c r="B8" s="3" t="str">
        <f>VLOOKUP(A8,'P&amp;L_Standalone'!A:C,2,0)</f>
        <v>Finance Costs</v>
      </c>
      <c r="C8" s="3">
        <f>VLOOKUP(A8,'P&amp;L_Standalone'!A:C,3,0)</f>
        <v>246</v>
      </c>
    </row>
    <row r="9" spans="1:3" x14ac:dyDescent="0.25">
      <c r="A9" s="3" t="s">
        <v>6</v>
      </c>
      <c r="B9" s="3" t="str">
        <f>VLOOKUP(A9,'P&amp;L_Standalone'!A:C,2,0)</f>
        <v>Depreciation, Depletion and Amortisation Expense</v>
      </c>
      <c r="C9" s="3">
        <f>VLOOKUP(A9,'P&amp;L_Standalone'!A:C,3,0)</f>
        <v>232</v>
      </c>
    </row>
    <row r="10" spans="1:3" x14ac:dyDescent="0.25">
      <c r="A10" s="3" t="s">
        <v>7</v>
      </c>
      <c r="B10" s="3" t="str">
        <f>VLOOKUP(A10,'P&amp;L_Standalone'!A:C,2,0)</f>
        <v>Other Expenses</v>
      </c>
      <c r="C10" s="3">
        <f>VLOOKUP(A10,'P&amp;L_Standalone'!A:C,3,0)</f>
        <v>279</v>
      </c>
    </row>
    <row r="11" spans="1:3" x14ac:dyDescent="0.25">
      <c r="A11" s="3" t="s">
        <v>8</v>
      </c>
      <c r="B11" s="3" t="str">
        <f>VLOOKUP(A11,'P&amp;L_Standalone'!A:C,2,0)</f>
        <v>Total Expenses</v>
      </c>
      <c r="C11" s="3">
        <f>VLOOKUP(A11,'P&amp;L_Standalone'!A:C,3,0)</f>
        <v>320</v>
      </c>
    </row>
    <row r="12" spans="1:3" x14ac:dyDescent="0.25">
      <c r="A12" s="3" t="s">
        <v>134</v>
      </c>
      <c r="B12" s="3" t="s">
        <v>153</v>
      </c>
      <c r="C12" s="3">
        <v>296</v>
      </c>
    </row>
    <row r="13" spans="1:3" x14ac:dyDescent="0.25">
      <c r="A13" s="4" t="s">
        <v>9</v>
      </c>
      <c r="B13" s="4" t="str">
        <f>VLOOKUP(A13,'P&amp;L_Standalone'!A:C,2,0)</f>
        <v>Tax Expense</v>
      </c>
      <c r="C13" s="4">
        <f>VLOOKUP(A13,'P&amp;L_Standalone'!A:C,3,0)</f>
        <v>318</v>
      </c>
    </row>
    <row r="14" spans="1:3" x14ac:dyDescent="0.25">
      <c r="A14" s="4" t="s">
        <v>10</v>
      </c>
      <c r="B14" s="4" t="str">
        <f>VLOOKUP(A14,'P&amp;L_Standalone'!A:C,2,0)</f>
        <v>Tax Expense</v>
      </c>
      <c r="C14" s="4">
        <f>VLOOKUP(A14,'P&amp;L_Standalone'!A:C,3,0)</f>
        <v>318</v>
      </c>
    </row>
    <row r="15" spans="1:3" x14ac:dyDescent="0.25">
      <c r="A15" s="3" t="s">
        <v>135</v>
      </c>
      <c r="B15" s="3" t="s">
        <v>158</v>
      </c>
      <c r="C15" s="3">
        <v>231</v>
      </c>
    </row>
    <row r="16" spans="1:3" x14ac:dyDescent="0.25">
      <c r="A16" s="3" t="s">
        <v>12</v>
      </c>
      <c r="B16" s="3"/>
      <c r="C16" s="3"/>
    </row>
    <row r="17" spans="1:3" x14ac:dyDescent="0.25">
      <c r="A17" s="3" t="s">
        <v>115</v>
      </c>
      <c r="B17" s="3" t="str">
        <f>VLOOKUP(A17,'P&amp;L_Standalone'!A:C,2,0)</f>
        <v>Net Profit/(Loss) for the Period</v>
      </c>
      <c r="C17" s="3">
        <f>VLOOKUP(A17,'P&amp;L_Standalone'!A:C,3,0)</f>
        <v>269</v>
      </c>
    </row>
    <row r="18" spans="1:3" x14ac:dyDescent="0.25">
      <c r="A18" s="3" t="s">
        <v>91</v>
      </c>
      <c r="B18" s="3"/>
      <c r="C18" s="3"/>
    </row>
    <row r="19" spans="1:3" x14ac:dyDescent="0.25">
      <c r="A19" s="3" t="s">
        <v>92</v>
      </c>
      <c r="B19" s="3"/>
      <c r="C19" s="3"/>
    </row>
    <row r="20" spans="1:3" x14ac:dyDescent="0.25">
      <c r="A20" s="3" t="s">
        <v>93</v>
      </c>
      <c r="B20" s="3" t="s">
        <v>159</v>
      </c>
      <c r="C20" s="3">
        <v>22293</v>
      </c>
    </row>
    <row r="21" spans="1:3" x14ac:dyDescent="0.25">
      <c r="A21" s="3" t="s">
        <v>12</v>
      </c>
      <c r="B21" s="3" t="s">
        <v>160</v>
      </c>
      <c r="C21" s="3">
        <v>22295</v>
      </c>
    </row>
    <row r="22" spans="1:3" x14ac:dyDescent="0.25">
      <c r="A22" s="3" t="s">
        <v>136</v>
      </c>
      <c r="B22" s="3" t="s">
        <v>156</v>
      </c>
      <c r="C22" s="3">
        <v>16484</v>
      </c>
    </row>
    <row r="23" spans="1:3" x14ac:dyDescent="0.25">
      <c r="A23" s="3" t="s">
        <v>137</v>
      </c>
      <c r="B23" s="3" t="s">
        <v>161</v>
      </c>
      <c r="C23" s="3">
        <v>20019</v>
      </c>
    </row>
    <row r="24" spans="1:3" x14ac:dyDescent="0.25">
      <c r="A24" s="3" t="s">
        <v>94</v>
      </c>
      <c r="B24" s="3"/>
      <c r="C24" s="3"/>
    </row>
    <row r="25" spans="1:3" x14ac:dyDescent="0.25">
      <c r="A25" s="3" t="s">
        <v>95</v>
      </c>
      <c r="B25" s="3" t="s">
        <v>165</v>
      </c>
      <c r="C25" s="3">
        <v>22299</v>
      </c>
    </row>
    <row r="26" spans="1:3" x14ac:dyDescent="0.25">
      <c r="A26" s="3" t="s">
        <v>96</v>
      </c>
      <c r="B26" s="3" t="s">
        <v>166</v>
      </c>
      <c r="C26" s="3">
        <v>22298</v>
      </c>
    </row>
    <row r="27" spans="1:3" x14ac:dyDescent="0.25">
      <c r="A27" s="3" t="s">
        <v>138</v>
      </c>
      <c r="B27" s="3"/>
      <c r="C27" s="3"/>
    </row>
    <row r="28" spans="1:3" x14ac:dyDescent="0.25">
      <c r="A28" s="3" t="s">
        <v>95</v>
      </c>
      <c r="B28" s="3" t="s">
        <v>165</v>
      </c>
      <c r="C28" s="3">
        <v>22291</v>
      </c>
    </row>
    <row r="29" spans="1:3" x14ac:dyDescent="0.25">
      <c r="A29" s="3" t="s">
        <v>96</v>
      </c>
      <c r="B29" s="3" t="s">
        <v>166</v>
      </c>
      <c r="C29" s="3">
        <v>22290</v>
      </c>
    </row>
    <row r="30" spans="1:3" x14ac:dyDescent="0.25">
      <c r="A30" s="3" t="s">
        <v>139</v>
      </c>
      <c r="B30" s="3"/>
      <c r="C30" s="3"/>
    </row>
    <row r="31" spans="1:3" x14ac:dyDescent="0.25">
      <c r="A31" s="3" t="s">
        <v>95</v>
      </c>
      <c r="B31" s="3" t="s">
        <v>165</v>
      </c>
      <c r="C31" s="3">
        <v>22303</v>
      </c>
    </row>
    <row r="32" spans="1:3" x14ac:dyDescent="0.25">
      <c r="A32" s="3" t="s">
        <v>96</v>
      </c>
      <c r="B32" s="3" t="s">
        <v>166</v>
      </c>
      <c r="C32" s="3">
        <v>22302</v>
      </c>
    </row>
    <row r="33" spans="1:3" x14ac:dyDescent="0.25">
      <c r="A33" s="3" t="s">
        <v>97</v>
      </c>
      <c r="B33" s="3" t="s">
        <v>162</v>
      </c>
      <c r="C33" s="3">
        <v>282</v>
      </c>
    </row>
    <row r="34" spans="1:3" x14ac:dyDescent="0.25">
      <c r="A34" s="3" t="s">
        <v>17</v>
      </c>
      <c r="B34" s="3"/>
      <c r="C34" s="3"/>
    </row>
    <row r="35" spans="1:3" x14ac:dyDescent="0.25">
      <c r="A35" s="3" t="s">
        <v>18</v>
      </c>
      <c r="B35" s="3" t="str">
        <f>VLOOKUP(A35,'P&amp;L_Standalone'!A:C,2,0)</f>
        <v>Reserve excluding Revaluation Reserves (as per Balance Sheet of Previous Accounting Year)</v>
      </c>
      <c r="C35" s="3">
        <f>VLOOKUP(A35,'P&amp;L_Standalone'!A:C,3,0)</f>
        <v>309</v>
      </c>
    </row>
    <row r="36" spans="1:3" x14ac:dyDescent="0.25">
      <c r="A36" s="3" t="s">
        <v>140</v>
      </c>
      <c r="B36" s="3"/>
      <c r="C36" s="3"/>
    </row>
    <row r="37" spans="1:3" x14ac:dyDescent="0.25">
      <c r="A37" s="3" t="s">
        <v>141</v>
      </c>
      <c r="B37" s="3" t="s">
        <v>163</v>
      </c>
      <c r="C37" s="3">
        <v>222</v>
      </c>
    </row>
    <row r="38" spans="1:3" x14ac:dyDescent="0.25">
      <c r="A38" s="3" t="s">
        <v>20</v>
      </c>
      <c r="B38" s="3" t="str">
        <f>VLOOKUP(A38,'P&amp;L_Standalone'!A:C,2,0)</f>
        <v>Diluted EPS</v>
      </c>
      <c r="C38" s="3">
        <f>VLOOKUP(A38,'P&amp;L_Standalone'!A:C,3,0)</f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/>
  </sheetViews>
  <sheetFormatPr defaultRowHeight="15" x14ac:dyDescent="0.25"/>
  <cols>
    <col min="1" max="1" width="54.140625" customWidth="1"/>
    <col min="2" max="2" width="32.7109375" bestFit="1" customWidth="1"/>
  </cols>
  <sheetData>
    <row r="1" spans="1:3" x14ac:dyDescent="0.25">
      <c r="A1" s="5" t="s">
        <v>142</v>
      </c>
      <c r="B1" s="5" t="s">
        <v>143</v>
      </c>
      <c r="C1" s="5" t="s">
        <v>144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120</v>
      </c>
      <c r="B4" s="3" t="s">
        <v>167</v>
      </c>
      <c r="C4" s="3">
        <v>20222</v>
      </c>
    </row>
    <row r="5" spans="1:3" x14ac:dyDescent="0.25">
      <c r="A5" s="3" t="s">
        <v>23</v>
      </c>
      <c r="B5" s="3" t="s">
        <v>181</v>
      </c>
      <c r="C5" s="3">
        <v>30342</v>
      </c>
    </row>
    <row r="6" spans="1:3" x14ac:dyDescent="0.25">
      <c r="A6" s="3" t="s">
        <v>24</v>
      </c>
      <c r="B6" s="3" t="s">
        <v>168</v>
      </c>
      <c r="C6" s="3">
        <v>20221</v>
      </c>
    </row>
    <row r="7" spans="1:3" x14ac:dyDescent="0.25">
      <c r="A7" s="3" t="s">
        <v>25</v>
      </c>
      <c r="B7" s="3" t="s">
        <v>182</v>
      </c>
      <c r="C7" s="3">
        <v>13736</v>
      </c>
    </row>
    <row r="8" spans="1:3" x14ac:dyDescent="0.25">
      <c r="A8" s="3" t="s">
        <v>26</v>
      </c>
      <c r="B8" s="3"/>
      <c r="C8" s="3"/>
    </row>
    <row r="9" spans="1:3" x14ac:dyDescent="0.25">
      <c r="A9" s="3" t="s">
        <v>27</v>
      </c>
      <c r="B9" s="3" t="s">
        <v>169</v>
      </c>
      <c r="C9" s="3">
        <v>13748</v>
      </c>
    </row>
    <row r="10" spans="1:3" x14ac:dyDescent="0.25">
      <c r="A10" s="3" t="s">
        <v>28</v>
      </c>
      <c r="B10" s="3" t="s">
        <v>183</v>
      </c>
      <c r="C10" s="3">
        <v>20216</v>
      </c>
    </row>
    <row r="11" spans="1:3" x14ac:dyDescent="0.25">
      <c r="A11" s="3" t="s">
        <v>29</v>
      </c>
      <c r="B11" s="3" t="s">
        <v>184</v>
      </c>
      <c r="C11" s="3">
        <v>13726</v>
      </c>
    </row>
    <row r="12" spans="1:3" x14ac:dyDescent="0.25">
      <c r="A12" s="3" t="s">
        <v>30</v>
      </c>
      <c r="B12" s="3" t="s">
        <v>30</v>
      </c>
      <c r="C12" s="3">
        <v>13777</v>
      </c>
    </row>
    <row r="13" spans="1:3" x14ac:dyDescent="0.25">
      <c r="A13" s="3" t="s">
        <v>31</v>
      </c>
      <c r="B13" s="3"/>
      <c r="C13" s="3"/>
    </row>
    <row r="14" spans="1:3" x14ac:dyDescent="0.25">
      <c r="A14" s="3" t="s">
        <v>26</v>
      </c>
      <c r="B14" s="3"/>
      <c r="C14" s="3"/>
    </row>
    <row r="15" spans="1:3" x14ac:dyDescent="0.25">
      <c r="A15" s="3" t="s">
        <v>27</v>
      </c>
      <c r="B15" s="3" t="s">
        <v>185</v>
      </c>
      <c r="C15" s="3">
        <v>13724</v>
      </c>
    </row>
    <row r="16" spans="1:3" x14ac:dyDescent="0.25">
      <c r="A16" s="3" t="s">
        <v>32</v>
      </c>
      <c r="B16" s="3" t="s">
        <v>226</v>
      </c>
      <c r="C16" s="6">
        <v>13780</v>
      </c>
    </row>
    <row r="17" spans="1:3" x14ac:dyDescent="0.25">
      <c r="A17" s="3" t="s">
        <v>33</v>
      </c>
      <c r="B17" s="3" t="s">
        <v>186</v>
      </c>
      <c r="C17" s="3">
        <v>13722</v>
      </c>
    </row>
    <row r="18" spans="1:3" x14ac:dyDescent="0.25">
      <c r="A18" s="3" t="s">
        <v>34</v>
      </c>
      <c r="B18" s="3" t="s">
        <v>187</v>
      </c>
      <c r="C18" s="3">
        <v>29788</v>
      </c>
    </row>
    <row r="19" spans="1:3" x14ac:dyDescent="0.25">
      <c r="A19" s="3" t="s">
        <v>28</v>
      </c>
      <c r="B19" s="3" t="s">
        <v>188</v>
      </c>
      <c r="C19" s="3">
        <v>20231</v>
      </c>
    </row>
    <row r="20" spans="1:3" x14ac:dyDescent="0.25">
      <c r="A20" s="4" t="s">
        <v>35</v>
      </c>
      <c r="B20" s="4" t="s">
        <v>170</v>
      </c>
      <c r="C20" s="6">
        <v>13750</v>
      </c>
    </row>
    <row r="21" spans="1:3" x14ac:dyDescent="0.25">
      <c r="A21" s="4" t="s">
        <v>36</v>
      </c>
      <c r="B21" s="4" t="s">
        <v>170</v>
      </c>
      <c r="C21" s="3">
        <v>13750</v>
      </c>
    </row>
    <row r="22" spans="1:3" x14ac:dyDescent="0.25">
      <c r="A22" s="3" t="s">
        <v>37</v>
      </c>
      <c r="B22" s="3" t="s">
        <v>37</v>
      </c>
      <c r="C22" s="3">
        <v>13774</v>
      </c>
    </row>
    <row r="23" spans="1:3" x14ac:dyDescent="0.25">
      <c r="A23" s="3" t="s">
        <v>38</v>
      </c>
      <c r="B23" s="3" t="s">
        <v>171</v>
      </c>
      <c r="C23" s="3">
        <v>13771</v>
      </c>
    </row>
    <row r="24" spans="1:3" x14ac:dyDescent="0.25">
      <c r="A24" s="3" t="s">
        <v>39</v>
      </c>
      <c r="B24" s="3"/>
      <c r="C24" s="3"/>
    </row>
    <row r="25" spans="1:3" x14ac:dyDescent="0.25">
      <c r="A25" s="3" t="s">
        <v>40</v>
      </c>
      <c r="B25" s="3"/>
      <c r="C25" s="3"/>
    </row>
    <row r="26" spans="1:3" x14ac:dyDescent="0.25">
      <c r="A26" s="3" t="s">
        <v>41</v>
      </c>
      <c r="B26" s="3" t="s">
        <v>172</v>
      </c>
      <c r="C26" s="3">
        <v>13765</v>
      </c>
    </row>
    <row r="27" spans="1:3" x14ac:dyDescent="0.25">
      <c r="A27" s="3" t="s">
        <v>18</v>
      </c>
      <c r="B27" s="3" t="s">
        <v>173</v>
      </c>
      <c r="C27" s="3">
        <v>13762</v>
      </c>
    </row>
    <row r="28" spans="1:3" x14ac:dyDescent="0.25">
      <c r="A28" s="3" t="s">
        <v>42</v>
      </c>
      <c r="B28" s="3" t="s">
        <v>174</v>
      </c>
      <c r="C28" s="3">
        <v>13773</v>
      </c>
    </row>
    <row r="29" spans="1:3" x14ac:dyDescent="0.25">
      <c r="A29" s="3" t="s">
        <v>43</v>
      </c>
      <c r="B29" s="3"/>
      <c r="C29" s="3"/>
    </row>
    <row r="30" spans="1:3" x14ac:dyDescent="0.25">
      <c r="A30" s="3" t="s">
        <v>44</v>
      </c>
      <c r="B30" s="3"/>
      <c r="C30" s="3"/>
    </row>
    <row r="31" spans="1:3" x14ac:dyDescent="0.25">
      <c r="A31" s="3" t="s">
        <v>45</v>
      </c>
      <c r="B31" s="3"/>
      <c r="C31" s="3"/>
    </row>
    <row r="32" spans="1:3" x14ac:dyDescent="0.25">
      <c r="A32" s="3" t="s">
        <v>46</v>
      </c>
      <c r="B32" s="3" t="s">
        <v>46</v>
      </c>
      <c r="C32" s="3">
        <v>30340</v>
      </c>
    </row>
    <row r="33" spans="1:3" x14ac:dyDescent="0.25">
      <c r="A33" s="3" t="s">
        <v>47</v>
      </c>
      <c r="B33" s="3" t="s">
        <v>175</v>
      </c>
      <c r="C33" s="3">
        <v>13743</v>
      </c>
    </row>
    <row r="34" spans="1:3" x14ac:dyDescent="0.25">
      <c r="A34" s="3" t="s">
        <v>48</v>
      </c>
      <c r="B34" s="3" t="s">
        <v>189</v>
      </c>
      <c r="C34" s="3">
        <v>13778</v>
      </c>
    </row>
    <row r="35" spans="1:3" x14ac:dyDescent="0.25">
      <c r="A35" s="3" t="s">
        <v>49</v>
      </c>
      <c r="B35" s="3"/>
      <c r="C35" s="3"/>
    </row>
    <row r="36" spans="1:3" x14ac:dyDescent="0.25">
      <c r="A36" s="3" t="s">
        <v>45</v>
      </c>
      <c r="B36" s="3"/>
      <c r="C36" s="3"/>
    </row>
    <row r="37" spans="1:3" x14ac:dyDescent="0.25">
      <c r="A37" s="3" t="s">
        <v>46</v>
      </c>
      <c r="B37" s="3" t="s">
        <v>46</v>
      </c>
      <c r="C37" s="3">
        <v>25716</v>
      </c>
    </row>
    <row r="38" spans="1:3" x14ac:dyDescent="0.25">
      <c r="A38" s="3" t="s">
        <v>121</v>
      </c>
      <c r="B38" s="3"/>
      <c r="C38" s="3"/>
    </row>
    <row r="39" spans="1:3" x14ac:dyDescent="0.25">
      <c r="A39" s="4" t="s">
        <v>124</v>
      </c>
      <c r="B39" s="4" t="s">
        <v>190</v>
      </c>
      <c r="C39" s="4">
        <v>13779</v>
      </c>
    </row>
    <row r="40" spans="1:3" x14ac:dyDescent="0.25">
      <c r="A40" s="4" t="s">
        <v>125</v>
      </c>
      <c r="B40" s="4" t="s">
        <v>190</v>
      </c>
      <c r="C40" s="4">
        <v>13779</v>
      </c>
    </row>
    <row r="41" spans="1:3" x14ac:dyDescent="0.25">
      <c r="A41" s="3" t="s">
        <v>50</v>
      </c>
      <c r="B41" s="3" t="s">
        <v>176</v>
      </c>
      <c r="C41" s="3">
        <v>20214</v>
      </c>
    </row>
    <row r="42" spans="1:3" x14ac:dyDescent="0.25">
      <c r="A42" s="3" t="s">
        <v>47</v>
      </c>
      <c r="B42" s="3" t="s">
        <v>191</v>
      </c>
      <c r="C42" s="3">
        <v>13767</v>
      </c>
    </row>
    <row r="43" spans="1:3" x14ac:dyDescent="0.25">
      <c r="A43" s="3" t="s">
        <v>51</v>
      </c>
      <c r="B43" s="3" t="s">
        <v>177</v>
      </c>
      <c r="C43" s="3">
        <v>26450</v>
      </c>
    </row>
    <row r="44" spans="1:3" x14ac:dyDescent="0.25">
      <c r="A44" s="3" t="s">
        <v>52</v>
      </c>
      <c r="B44" s="3" t="s">
        <v>178</v>
      </c>
      <c r="C44" s="3">
        <v>20211</v>
      </c>
    </row>
    <row r="45" spans="1:3" x14ac:dyDescent="0.25">
      <c r="A45" s="3" t="s">
        <v>53</v>
      </c>
      <c r="B45" s="3" t="s">
        <v>179</v>
      </c>
      <c r="C45" s="3">
        <v>13775</v>
      </c>
    </row>
    <row r="46" spans="1:3" x14ac:dyDescent="0.25">
      <c r="A46" s="3" t="s">
        <v>54</v>
      </c>
      <c r="B46" s="3"/>
      <c r="C46" s="3"/>
    </row>
    <row r="47" spans="1:3" x14ac:dyDescent="0.25">
      <c r="A47" s="3" t="s">
        <v>55</v>
      </c>
      <c r="B47" s="3" t="s">
        <v>180</v>
      </c>
      <c r="C47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/>
  </sheetViews>
  <sheetFormatPr defaultRowHeight="15" x14ac:dyDescent="0.25"/>
  <cols>
    <col min="1" max="1" width="52.28515625" customWidth="1"/>
    <col min="2" max="2" width="46.7109375" bestFit="1" customWidth="1"/>
  </cols>
  <sheetData>
    <row r="1" spans="1:3" x14ac:dyDescent="0.25">
      <c r="A1" s="5" t="s">
        <v>142</v>
      </c>
      <c r="B1" s="5" t="s">
        <v>143</v>
      </c>
      <c r="C1" s="5" t="s">
        <v>144</v>
      </c>
    </row>
    <row r="2" spans="1:3" x14ac:dyDescent="0.25">
      <c r="A2" s="3" t="s">
        <v>21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120</v>
      </c>
      <c r="B4" s="3" t="s">
        <v>167</v>
      </c>
      <c r="C4" s="3">
        <v>20222</v>
      </c>
    </row>
    <row r="5" spans="1:3" x14ac:dyDescent="0.25">
      <c r="A5" s="3" t="s">
        <v>23</v>
      </c>
      <c r="B5" s="3" t="s">
        <v>181</v>
      </c>
      <c r="C5" s="3">
        <v>30342</v>
      </c>
    </row>
    <row r="6" spans="1:3" x14ac:dyDescent="0.25">
      <c r="A6" s="3" t="s">
        <v>98</v>
      </c>
      <c r="B6" s="3" t="s">
        <v>192</v>
      </c>
      <c r="C6" s="3">
        <v>13734</v>
      </c>
    </row>
    <row r="7" spans="1:3" x14ac:dyDescent="0.25">
      <c r="A7" s="3" t="s">
        <v>24</v>
      </c>
      <c r="B7" s="3" t="s">
        <v>168</v>
      </c>
      <c r="C7" s="3">
        <v>20221</v>
      </c>
    </row>
    <row r="8" spans="1:3" x14ac:dyDescent="0.25">
      <c r="A8" s="3" t="s">
        <v>25</v>
      </c>
      <c r="B8" s="3" t="s">
        <v>182</v>
      </c>
      <c r="C8" s="3">
        <v>13736</v>
      </c>
    </row>
    <row r="9" spans="1:3" x14ac:dyDescent="0.25">
      <c r="A9" s="3" t="s">
        <v>26</v>
      </c>
      <c r="B9" s="3"/>
      <c r="C9" s="3"/>
    </row>
    <row r="10" spans="1:3" x14ac:dyDescent="0.25">
      <c r="A10" s="3" t="s">
        <v>28</v>
      </c>
      <c r="B10" s="3" t="s">
        <v>183</v>
      </c>
      <c r="C10" s="3">
        <v>20216</v>
      </c>
    </row>
    <row r="11" spans="1:3" x14ac:dyDescent="0.25">
      <c r="A11" s="3" t="s">
        <v>30</v>
      </c>
      <c r="B11" s="3" t="s">
        <v>30</v>
      </c>
      <c r="C11" s="3">
        <v>13777</v>
      </c>
    </row>
    <row r="12" spans="1:3" x14ac:dyDescent="0.25">
      <c r="A12" s="3" t="s">
        <v>31</v>
      </c>
      <c r="B12" s="3"/>
      <c r="C12" s="3"/>
    </row>
    <row r="13" spans="1:3" x14ac:dyDescent="0.25">
      <c r="A13" s="3" t="s">
        <v>26</v>
      </c>
      <c r="B13" s="3"/>
      <c r="C13" s="3"/>
    </row>
    <row r="14" spans="1:3" x14ac:dyDescent="0.25">
      <c r="A14" s="3" t="s">
        <v>27</v>
      </c>
      <c r="B14" s="3" t="s">
        <v>185</v>
      </c>
      <c r="C14" s="3">
        <v>13724</v>
      </c>
    </row>
    <row r="15" spans="1:3" x14ac:dyDescent="0.25">
      <c r="A15" s="3" t="s">
        <v>32</v>
      </c>
      <c r="B15" s="3" t="s">
        <v>226</v>
      </c>
      <c r="C15" s="6">
        <v>13780</v>
      </c>
    </row>
    <row r="16" spans="1:3" x14ac:dyDescent="0.25">
      <c r="A16" s="3" t="s">
        <v>33</v>
      </c>
      <c r="B16" s="3" t="s">
        <v>186</v>
      </c>
      <c r="C16" s="3">
        <v>13722</v>
      </c>
    </row>
    <row r="17" spans="1:4" x14ac:dyDescent="0.25">
      <c r="A17" s="3" t="s">
        <v>34</v>
      </c>
      <c r="B17" s="3" t="s">
        <v>187</v>
      </c>
      <c r="C17" s="3">
        <v>29788</v>
      </c>
    </row>
    <row r="18" spans="1:4" x14ac:dyDescent="0.25">
      <c r="A18" s="3" t="s">
        <v>28</v>
      </c>
      <c r="B18" s="3" t="s">
        <v>188</v>
      </c>
      <c r="C18" s="3">
        <v>20231</v>
      </c>
    </row>
    <row r="19" spans="1:4" x14ac:dyDescent="0.25">
      <c r="A19" s="4" t="s">
        <v>35</v>
      </c>
      <c r="B19" s="4" t="s">
        <v>170</v>
      </c>
      <c r="C19" s="4">
        <v>13750</v>
      </c>
    </row>
    <row r="20" spans="1:4" x14ac:dyDescent="0.25">
      <c r="A20" s="4" t="s">
        <v>36</v>
      </c>
      <c r="B20" s="4" t="s">
        <v>170</v>
      </c>
      <c r="C20" s="4">
        <v>13750</v>
      </c>
    </row>
    <row r="21" spans="1:4" x14ac:dyDescent="0.25">
      <c r="A21" s="3" t="s">
        <v>37</v>
      </c>
      <c r="B21" s="3" t="s">
        <v>37</v>
      </c>
      <c r="C21" s="3">
        <v>13774</v>
      </c>
    </row>
    <row r="22" spans="1:4" x14ac:dyDescent="0.25">
      <c r="A22" s="3" t="s">
        <v>38</v>
      </c>
      <c r="B22" s="3" t="s">
        <v>171</v>
      </c>
      <c r="C22" s="3">
        <v>13771</v>
      </c>
    </row>
    <row r="23" spans="1:4" x14ac:dyDescent="0.25">
      <c r="A23" s="3" t="s">
        <v>39</v>
      </c>
      <c r="B23" s="3"/>
      <c r="C23" s="3"/>
    </row>
    <row r="24" spans="1:4" x14ac:dyDescent="0.25">
      <c r="A24" s="3" t="s">
        <v>40</v>
      </c>
      <c r="B24" s="3"/>
      <c r="C24" s="3"/>
    </row>
    <row r="25" spans="1:4" x14ac:dyDescent="0.25">
      <c r="A25" s="3" t="s">
        <v>41</v>
      </c>
      <c r="B25" s="3" t="s">
        <v>172</v>
      </c>
      <c r="C25" s="3">
        <v>13765</v>
      </c>
    </row>
    <row r="26" spans="1:4" x14ac:dyDescent="0.25">
      <c r="A26" s="3" t="s">
        <v>18</v>
      </c>
      <c r="B26" s="3" t="s">
        <v>173</v>
      </c>
      <c r="C26" s="3">
        <v>13762</v>
      </c>
    </row>
    <row r="27" spans="1:4" x14ac:dyDescent="0.25">
      <c r="A27" s="3" t="s">
        <v>99</v>
      </c>
      <c r="B27" s="3" t="s">
        <v>174</v>
      </c>
      <c r="C27" s="3">
        <v>13773</v>
      </c>
    </row>
    <row r="28" spans="1:4" x14ac:dyDescent="0.25">
      <c r="A28" s="3" t="s">
        <v>100</v>
      </c>
      <c r="B28" s="3" t="s">
        <v>193</v>
      </c>
      <c r="C28" s="3">
        <v>13744</v>
      </c>
    </row>
    <row r="29" spans="1:4" x14ac:dyDescent="0.25">
      <c r="A29" s="3" t="s">
        <v>42</v>
      </c>
      <c r="B29" s="3"/>
      <c r="C29" s="3"/>
      <c r="D29" t="s">
        <v>227</v>
      </c>
    </row>
    <row r="30" spans="1:4" x14ac:dyDescent="0.25">
      <c r="A30" s="3" t="s">
        <v>43</v>
      </c>
      <c r="B30" s="3"/>
      <c r="C30" s="3"/>
    </row>
    <row r="31" spans="1:4" x14ac:dyDescent="0.25">
      <c r="A31" s="3" t="s">
        <v>44</v>
      </c>
      <c r="B31" s="3"/>
      <c r="C31" s="3"/>
    </row>
    <row r="32" spans="1:4" x14ac:dyDescent="0.25">
      <c r="A32" s="3" t="s">
        <v>45</v>
      </c>
      <c r="B32" s="3"/>
      <c r="C32" s="3"/>
    </row>
    <row r="33" spans="1:3" x14ac:dyDescent="0.25">
      <c r="A33" s="3" t="s">
        <v>46</v>
      </c>
      <c r="B33" s="3" t="s">
        <v>46</v>
      </c>
      <c r="C33" s="3">
        <v>30340</v>
      </c>
    </row>
    <row r="34" spans="1:3" x14ac:dyDescent="0.25">
      <c r="A34" s="3" t="s">
        <v>50</v>
      </c>
      <c r="B34" s="3" t="s">
        <v>194</v>
      </c>
      <c r="C34" s="3">
        <v>20226</v>
      </c>
    </row>
    <row r="35" spans="1:3" x14ac:dyDescent="0.25">
      <c r="A35" s="3" t="s">
        <v>47</v>
      </c>
      <c r="B35" s="3" t="s">
        <v>175</v>
      </c>
      <c r="C35" s="3">
        <v>13743</v>
      </c>
    </row>
    <row r="36" spans="1:3" x14ac:dyDescent="0.25">
      <c r="A36" s="3" t="s">
        <v>101</v>
      </c>
      <c r="B36" s="3" t="s">
        <v>195</v>
      </c>
      <c r="C36" s="3">
        <v>13727</v>
      </c>
    </row>
    <row r="37" spans="1:3" x14ac:dyDescent="0.25">
      <c r="A37" s="3" t="s">
        <v>48</v>
      </c>
      <c r="B37" s="3" t="s">
        <v>189</v>
      </c>
      <c r="C37" s="3">
        <v>13778</v>
      </c>
    </row>
    <row r="38" spans="1:3" x14ac:dyDescent="0.25">
      <c r="A38" s="3" t="s">
        <v>49</v>
      </c>
      <c r="B38" s="3"/>
      <c r="C38" s="3"/>
    </row>
    <row r="39" spans="1:3" x14ac:dyDescent="0.25">
      <c r="A39" s="3" t="s">
        <v>45</v>
      </c>
      <c r="B39" s="3"/>
      <c r="C39" s="3"/>
    </row>
    <row r="40" spans="1:3" x14ac:dyDescent="0.25">
      <c r="A40" s="3" t="s">
        <v>102</v>
      </c>
      <c r="B40" s="3" t="s">
        <v>102</v>
      </c>
      <c r="C40" s="3">
        <v>20209</v>
      </c>
    </row>
    <row r="41" spans="1:3" x14ac:dyDescent="0.25">
      <c r="A41" s="3" t="s">
        <v>46</v>
      </c>
      <c r="B41" s="3" t="s">
        <v>46</v>
      </c>
      <c r="C41" s="3">
        <v>25716</v>
      </c>
    </row>
    <row r="42" spans="1:3" x14ac:dyDescent="0.25">
      <c r="A42" s="6" t="s">
        <v>121</v>
      </c>
      <c r="B42" s="6"/>
      <c r="C42" s="6"/>
    </row>
    <row r="43" spans="1:3" x14ac:dyDescent="0.25">
      <c r="A43" s="4" t="s">
        <v>122</v>
      </c>
      <c r="B43" s="4" t="s">
        <v>190</v>
      </c>
      <c r="C43" s="4">
        <v>13779</v>
      </c>
    </row>
    <row r="44" spans="1:3" x14ac:dyDescent="0.25">
      <c r="A44" s="4" t="s">
        <v>123</v>
      </c>
      <c r="B44" s="4" t="s">
        <v>190</v>
      </c>
      <c r="C44" s="4">
        <v>13779</v>
      </c>
    </row>
    <row r="45" spans="1:3" x14ac:dyDescent="0.25">
      <c r="A45" s="3" t="s">
        <v>50</v>
      </c>
      <c r="B45" s="3" t="s">
        <v>176</v>
      </c>
      <c r="C45" s="3">
        <v>20214</v>
      </c>
    </row>
    <row r="46" spans="1:3" x14ac:dyDescent="0.25">
      <c r="A46" s="3" t="s">
        <v>47</v>
      </c>
      <c r="B46" s="3" t="s">
        <v>191</v>
      </c>
      <c r="C46" s="3">
        <v>13767</v>
      </c>
    </row>
    <row r="47" spans="1:3" x14ac:dyDescent="0.25">
      <c r="A47" s="3" t="s">
        <v>52</v>
      </c>
      <c r="B47" s="3" t="s">
        <v>178</v>
      </c>
      <c r="C47" s="3">
        <v>20211</v>
      </c>
    </row>
    <row r="48" spans="1:3" x14ac:dyDescent="0.25">
      <c r="A48" s="3" t="s">
        <v>51</v>
      </c>
      <c r="B48" s="3" t="s">
        <v>177</v>
      </c>
      <c r="C48" s="3">
        <v>26450</v>
      </c>
    </row>
    <row r="49" spans="1:3" x14ac:dyDescent="0.25">
      <c r="A49" s="3" t="s">
        <v>53</v>
      </c>
      <c r="B49" s="3" t="s">
        <v>179</v>
      </c>
      <c r="C49" s="3">
        <v>13775</v>
      </c>
    </row>
    <row r="50" spans="1:3" x14ac:dyDescent="0.25">
      <c r="A50" s="3" t="s">
        <v>54</v>
      </c>
      <c r="B50" s="3"/>
      <c r="C50" s="3"/>
    </row>
    <row r="51" spans="1:3" x14ac:dyDescent="0.25">
      <c r="A51" s="3" t="s">
        <v>55</v>
      </c>
      <c r="B51" s="3" t="s">
        <v>180</v>
      </c>
      <c r="C51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workbookViewId="0"/>
  </sheetViews>
  <sheetFormatPr defaultRowHeight="15" x14ac:dyDescent="0.25"/>
  <cols>
    <col min="1" max="2" width="52.42578125" customWidth="1"/>
  </cols>
  <sheetData>
    <row r="1" spans="1:3" x14ac:dyDescent="0.25">
      <c r="A1" s="5" t="s">
        <v>142</v>
      </c>
      <c r="B1" s="5" t="s">
        <v>143</v>
      </c>
      <c r="C1" s="5" t="s">
        <v>144</v>
      </c>
    </row>
    <row r="2" spans="1:3" x14ac:dyDescent="0.25">
      <c r="A2" s="3" t="s">
        <v>56</v>
      </c>
      <c r="B2" s="3"/>
      <c r="C2" s="3"/>
    </row>
    <row r="3" spans="1:3" x14ac:dyDescent="0.25">
      <c r="A3" s="3" t="s">
        <v>57</v>
      </c>
      <c r="B3" s="3" t="s">
        <v>211</v>
      </c>
      <c r="C3" s="3">
        <v>17539</v>
      </c>
    </row>
    <row r="4" spans="1:3" x14ac:dyDescent="0.25">
      <c r="A4" s="3" t="s">
        <v>58</v>
      </c>
      <c r="B4" s="3"/>
      <c r="C4" s="3"/>
    </row>
    <row r="5" spans="1:3" x14ac:dyDescent="0.25">
      <c r="A5" s="4" t="s">
        <v>126</v>
      </c>
      <c r="B5" s="4" t="s">
        <v>212</v>
      </c>
      <c r="C5" s="4">
        <v>30399</v>
      </c>
    </row>
    <row r="6" spans="1:3" x14ac:dyDescent="0.25">
      <c r="A6" s="4" t="s">
        <v>127</v>
      </c>
      <c r="B6" s="4" t="s">
        <v>212</v>
      </c>
      <c r="C6" s="4">
        <v>30399</v>
      </c>
    </row>
    <row r="7" spans="1:3" x14ac:dyDescent="0.25">
      <c r="A7" s="3" t="s">
        <v>129</v>
      </c>
      <c r="B7" s="3" t="s">
        <v>213</v>
      </c>
      <c r="C7" s="3">
        <v>30576</v>
      </c>
    </row>
    <row r="8" spans="1:3" x14ac:dyDescent="0.25">
      <c r="A8" s="3" t="s">
        <v>59</v>
      </c>
      <c r="B8" s="3" t="s">
        <v>228</v>
      </c>
      <c r="C8" s="6">
        <v>30407</v>
      </c>
    </row>
    <row r="9" spans="1:3" x14ac:dyDescent="0.25">
      <c r="A9" s="3" t="s">
        <v>60</v>
      </c>
      <c r="B9" s="3" t="s">
        <v>214</v>
      </c>
      <c r="C9" s="3">
        <v>30503</v>
      </c>
    </row>
    <row r="10" spans="1:3" x14ac:dyDescent="0.25">
      <c r="A10" s="3" t="s">
        <v>61</v>
      </c>
      <c r="B10" s="3" t="s">
        <v>197</v>
      </c>
      <c r="C10" s="3">
        <v>30479</v>
      </c>
    </row>
    <row r="11" spans="1:3" x14ac:dyDescent="0.25">
      <c r="A11" s="4" t="s">
        <v>62</v>
      </c>
      <c r="B11" s="4" t="s">
        <v>196</v>
      </c>
      <c r="C11" s="4">
        <v>17542</v>
      </c>
    </row>
    <row r="12" spans="1:3" x14ac:dyDescent="0.25">
      <c r="A12" s="4" t="s">
        <v>63</v>
      </c>
      <c r="B12" s="4" t="s">
        <v>196</v>
      </c>
      <c r="C12" s="4">
        <v>17542</v>
      </c>
    </row>
    <row r="13" spans="1:3" x14ac:dyDescent="0.25">
      <c r="A13" s="3" t="s">
        <v>64</v>
      </c>
      <c r="B13" s="3" t="s">
        <v>215</v>
      </c>
      <c r="C13" s="3">
        <v>30481</v>
      </c>
    </row>
    <row r="14" spans="1:3" x14ac:dyDescent="0.25">
      <c r="A14" s="4" t="s">
        <v>65</v>
      </c>
      <c r="B14" s="4" t="s">
        <v>196</v>
      </c>
      <c r="C14" s="4">
        <v>17542</v>
      </c>
    </row>
    <row r="15" spans="1:3" x14ac:dyDescent="0.25">
      <c r="A15" s="3" t="s">
        <v>66</v>
      </c>
      <c r="B15" s="3" t="s">
        <v>198</v>
      </c>
      <c r="C15" s="3">
        <v>30577</v>
      </c>
    </row>
    <row r="16" spans="1:3" x14ac:dyDescent="0.25">
      <c r="A16" s="3" t="s">
        <v>67</v>
      </c>
      <c r="B16" s="3" t="s">
        <v>216</v>
      </c>
      <c r="C16" s="3">
        <v>30511</v>
      </c>
    </row>
    <row r="17" spans="1:3" x14ac:dyDescent="0.25">
      <c r="A17" s="3" t="s">
        <v>68</v>
      </c>
      <c r="B17" s="3"/>
      <c r="C17" s="3"/>
    </row>
    <row r="18" spans="1:3" x14ac:dyDescent="0.25">
      <c r="A18" s="3" t="s">
        <v>69</v>
      </c>
      <c r="B18" s="3" t="s">
        <v>217</v>
      </c>
      <c r="C18" s="3">
        <v>30675</v>
      </c>
    </row>
    <row r="19" spans="1:3" x14ac:dyDescent="0.25">
      <c r="A19" s="3" t="s">
        <v>70</v>
      </c>
      <c r="B19" s="3" t="s">
        <v>47</v>
      </c>
      <c r="C19" s="3">
        <v>30627</v>
      </c>
    </row>
    <row r="20" spans="1:3" x14ac:dyDescent="0.25">
      <c r="A20" s="3" t="s">
        <v>71</v>
      </c>
      <c r="B20" s="3" t="s">
        <v>218</v>
      </c>
      <c r="C20" s="3">
        <v>30519</v>
      </c>
    </row>
    <row r="21" spans="1:3" x14ac:dyDescent="0.25">
      <c r="A21" s="3" t="s">
        <v>72</v>
      </c>
      <c r="B21" s="3" t="s">
        <v>199</v>
      </c>
      <c r="C21" s="3">
        <v>30674</v>
      </c>
    </row>
    <row r="22" spans="1:3" x14ac:dyDescent="0.25">
      <c r="A22" s="3" t="s">
        <v>73</v>
      </c>
      <c r="B22" s="3" t="s">
        <v>219</v>
      </c>
      <c r="C22" s="3">
        <v>30518</v>
      </c>
    </row>
    <row r="23" spans="1:3" x14ac:dyDescent="0.25">
      <c r="A23" s="3" t="s">
        <v>74</v>
      </c>
      <c r="B23" s="3" t="s">
        <v>200</v>
      </c>
      <c r="C23" s="3">
        <v>30372</v>
      </c>
    </row>
    <row r="24" spans="1:3" x14ac:dyDescent="0.25">
      <c r="A24" s="3" t="s">
        <v>75</v>
      </c>
      <c r="B24" s="3" t="s">
        <v>201</v>
      </c>
      <c r="C24" s="3">
        <v>30422</v>
      </c>
    </row>
    <row r="25" spans="1:3" x14ac:dyDescent="0.25">
      <c r="A25" s="3" t="s">
        <v>56</v>
      </c>
      <c r="B25" s="3" t="s">
        <v>229</v>
      </c>
      <c r="C25" s="3">
        <v>17538</v>
      </c>
    </row>
    <row r="26" spans="1:3" x14ac:dyDescent="0.25">
      <c r="A26" s="3" t="s">
        <v>76</v>
      </c>
      <c r="B26" s="3"/>
      <c r="C26" s="3"/>
    </row>
    <row r="27" spans="1:3" x14ac:dyDescent="0.25">
      <c r="A27" s="3" t="s">
        <v>130</v>
      </c>
      <c r="B27" s="3" t="s">
        <v>202</v>
      </c>
      <c r="C27" s="3">
        <v>17556</v>
      </c>
    </row>
    <row r="28" spans="1:3" x14ac:dyDescent="0.25">
      <c r="A28" s="3" t="s">
        <v>131</v>
      </c>
      <c r="B28" s="3" t="s">
        <v>203</v>
      </c>
      <c r="C28" s="3">
        <v>30662</v>
      </c>
    </row>
    <row r="29" spans="1:3" x14ac:dyDescent="0.25">
      <c r="A29" s="3" t="s">
        <v>25</v>
      </c>
      <c r="B29" s="3" t="s">
        <v>220</v>
      </c>
      <c r="C29" s="3">
        <v>30473</v>
      </c>
    </row>
    <row r="30" spans="1:3" x14ac:dyDescent="0.25">
      <c r="A30" s="4" t="s">
        <v>78</v>
      </c>
      <c r="B30" s="4" t="s">
        <v>204</v>
      </c>
      <c r="C30" s="4">
        <v>30412</v>
      </c>
    </row>
    <row r="31" spans="1:3" x14ac:dyDescent="0.25">
      <c r="A31" s="4" t="s">
        <v>79</v>
      </c>
      <c r="B31" s="4" t="s">
        <v>204</v>
      </c>
      <c r="C31" s="4">
        <v>30412</v>
      </c>
    </row>
    <row r="32" spans="1:3" x14ac:dyDescent="0.25">
      <c r="A32" s="4" t="s">
        <v>80</v>
      </c>
      <c r="B32" s="4" t="s">
        <v>221</v>
      </c>
      <c r="C32" s="4">
        <v>30489</v>
      </c>
    </row>
    <row r="33" spans="1:3" x14ac:dyDescent="0.25">
      <c r="A33" s="4" t="s">
        <v>110</v>
      </c>
      <c r="B33" s="4" t="s">
        <v>221</v>
      </c>
      <c r="C33" s="4">
        <v>30489</v>
      </c>
    </row>
    <row r="34" spans="1:3" x14ac:dyDescent="0.25">
      <c r="A34" s="3" t="s">
        <v>111</v>
      </c>
      <c r="B34" s="3" t="s">
        <v>205</v>
      </c>
      <c r="C34" s="3">
        <v>30485</v>
      </c>
    </row>
    <row r="35" spans="1:3" x14ac:dyDescent="0.25">
      <c r="A35" s="3" t="s">
        <v>81</v>
      </c>
      <c r="B35" s="3" t="s">
        <v>222</v>
      </c>
      <c r="C35" s="3">
        <v>17537</v>
      </c>
    </row>
    <row r="36" spans="1:3" x14ac:dyDescent="0.25">
      <c r="A36" s="3" t="s">
        <v>82</v>
      </c>
      <c r="B36" s="3"/>
      <c r="C36" s="3"/>
    </row>
    <row r="37" spans="1:3" x14ac:dyDescent="0.25">
      <c r="A37" s="3" t="s">
        <v>83</v>
      </c>
      <c r="B37" s="3" t="s">
        <v>206</v>
      </c>
      <c r="C37" s="3">
        <v>17553</v>
      </c>
    </row>
    <row r="38" spans="1:3" x14ac:dyDescent="0.25">
      <c r="A38" s="4" t="s">
        <v>84</v>
      </c>
      <c r="B38" s="4" t="s">
        <v>207</v>
      </c>
      <c r="C38" s="4">
        <v>30467</v>
      </c>
    </row>
    <row r="39" spans="1:3" x14ac:dyDescent="0.25">
      <c r="A39" s="4" t="s">
        <v>85</v>
      </c>
      <c r="B39" s="4" t="s">
        <v>207</v>
      </c>
      <c r="C39" s="4">
        <v>30467</v>
      </c>
    </row>
    <row r="40" spans="1:3" x14ac:dyDescent="0.25">
      <c r="A40" s="3" t="s">
        <v>86</v>
      </c>
      <c r="B40" s="3" t="s">
        <v>223</v>
      </c>
      <c r="C40" s="3">
        <v>17536</v>
      </c>
    </row>
    <row r="41" spans="1:3" x14ac:dyDescent="0.25">
      <c r="A41" s="3" t="s">
        <v>132</v>
      </c>
      <c r="B41" s="3" t="s">
        <v>208</v>
      </c>
      <c r="C41" s="3">
        <v>17541</v>
      </c>
    </row>
    <row r="42" spans="1:3" x14ac:dyDescent="0.25">
      <c r="A42" s="3" t="s">
        <v>87</v>
      </c>
      <c r="B42" s="3" t="s">
        <v>209</v>
      </c>
      <c r="C42" s="3">
        <v>17519</v>
      </c>
    </row>
    <row r="43" spans="1:3" x14ac:dyDescent="0.25">
      <c r="A43" s="3" t="s">
        <v>88</v>
      </c>
      <c r="B43" s="3" t="s">
        <v>210</v>
      </c>
      <c r="C43" s="3">
        <v>30371</v>
      </c>
    </row>
    <row r="44" spans="1:3" x14ac:dyDescent="0.25">
      <c r="A44" s="3" t="s">
        <v>89</v>
      </c>
      <c r="B44" s="3"/>
      <c r="C44" s="3"/>
    </row>
    <row r="45" spans="1:3" x14ac:dyDescent="0.25">
      <c r="A45" s="3" t="s">
        <v>90</v>
      </c>
      <c r="B45" s="3"/>
      <c r="C45" s="3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workbookViewId="0"/>
  </sheetViews>
  <sheetFormatPr defaultRowHeight="15" x14ac:dyDescent="0.25"/>
  <cols>
    <col min="1" max="2" width="48.5703125" customWidth="1"/>
  </cols>
  <sheetData>
    <row r="1" spans="1:3" x14ac:dyDescent="0.25">
      <c r="A1" s="5" t="s">
        <v>142</v>
      </c>
      <c r="B1" s="5" t="s">
        <v>143</v>
      </c>
      <c r="C1" s="5" t="s">
        <v>144</v>
      </c>
    </row>
    <row r="2" spans="1:3" x14ac:dyDescent="0.25">
      <c r="A2" s="3" t="s">
        <v>56</v>
      </c>
      <c r="B2" s="3"/>
      <c r="C2" s="3"/>
    </row>
    <row r="3" spans="1:3" x14ac:dyDescent="0.25">
      <c r="A3" s="3" t="s">
        <v>57</v>
      </c>
      <c r="B3" s="3" t="s">
        <v>211</v>
      </c>
      <c r="C3" s="3">
        <v>17539</v>
      </c>
    </row>
    <row r="4" spans="1:3" x14ac:dyDescent="0.25">
      <c r="A4" s="3" t="s">
        <v>58</v>
      </c>
      <c r="B4" s="3"/>
      <c r="C4" s="3"/>
    </row>
    <row r="5" spans="1:3" x14ac:dyDescent="0.25">
      <c r="A5" s="4" t="s">
        <v>126</v>
      </c>
      <c r="B5" s="4" t="s">
        <v>212</v>
      </c>
      <c r="C5" s="4">
        <v>30399</v>
      </c>
    </row>
    <row r="6" spans="1:3" x14ac:dyDescent="0.25">
      <c r="A6" s="4" t="s">
        <v>103</v>
      </c>
      <c r="B6" s="4" t="s">
        <v>212</v>
      </c>
      <c r="C6" s="4">
        <v>30399</v>
      </c>
    </row>
    <row r="7" spans="1:3" x14ac:dyDescent="0.25">
      <c r="A7" s="4" t="s">
        <v>127</v>
      </c>
      <c r="B7" s="4" t="s">
        <v>212</v>
      </c>
      <c r="C7" s="4">
        <v>30399</v>
      </c>
    </row>
    <row r="8" spans="1:3" x14ac:dyDescent="0.25">
      <c r="A8" s="3" t="s">
        <v>128</v>
      </c>
      <c r="B8" s="3" t="s">
        <v>213</v>
      </c>
      <c r="C8" s="3">
        <v>30576</v>
      </c>
    </row>
    <row r="9" spans="1:3" x14ac:dyDescent="0.25">
      <c r="A9" s="3" t="s">
        <v>59</v>
      </c>
      <c r="B9" s="3" t="s">
        <v>228</v>
      </c>
      <c r="C9" s="6">
        <v>30407</v>
      </c>
    </row>
    <row r="10" spans="1:3" x14ac:dyDescent="0.25">
      <c r="A10" s="3" t="s">
        <v>60</v>
      </c>
      <c r="B10" s="3" t="s">
        <v>214</v>
      </c>
      <c r="C10" s="3">
        <v>30503</v>
      </c>
    </row>
    <row r="11" spans="1:3" x14ac:dyDescent="0.25">
      <c r="A11" s="4" t="s">
        <v>104</v>
      </c>
      <c r="B11" s="4" t="s">
        <v>197</v>
      </c>
      <c r="C11" s="4">
        <v>30479</v>
      </c>
    </row>
    <row r="12" spans="1:3" x14ac:dyDescent="0.25">
      <c r="A12" s="4" t="s">
        <v>105</v>
      </c>
      <c r="B12" s="4" t="s">
        <v>197</v>
      </c>
      <c r="C12" s="4">
        <v>30479</v>
      </c>
    </row>
    <row r="13" spans="1:3" x14ac:dyDescent="0.25">
      <c r="A13" s="4" t="s">
        <v>62</v>
      </c>
      <c r="B13" s="4" t="s">
        <v>196</v>
      </c>
      <c r="C13" s="4">
        <v>17542</v>
      </c>
    </row>
    <row r="14" spans="1:3" x14ac:dyDescent="0.25">
      <c r="A14" s="4" t="s">
        <v>63</v>
      </c>
      <c r="B14" s="4" t="s">
        <v>212</v>
      </c>
      <c r="C14" s="4">
        <v>30399</v>
      </c>
    </row>
    <row r="15" spans="1:3" x14ac:dyDescent="0.25">
      <c r="A15" s="3" t="s">
        <v>64</v>
      </c>
      <c r="B15" s="3" t="s">
        <v>215</v>
      </c>
      <c r="C15" s="3">
        <v>30481</v>
      </c>
    </row>
    <row r="16" spans="1:3" x14ac:dyDescent="0.25">
      <c r="A16" s="4" t="s">
        <v>106</v>
      </c>
      <c r="B16" s="4" t="s">
        <v>196</v>
      </c>
      <c r="C16" s="4">
        <v>17542</v>
      </c>
    </row>
    <row r="17" spans="1:3" x14ac:dyDescent="0.25">
      <c r="A17" s="3" t="s">
        <v>66</v>
      </c>
      <c r="B17" s="3" t="s">
        <v>198</v>
      </c>
      <c r="C17" s="3">
        <v>30577</v>
      </c>
    </row>
    <row r="18" spans="1:3" x14ac:dyDescent="0.25">
      <c r="A18" s="3" t="s">
        <v>67</v>
      </c>
      <c r="B18" s="3" t="s">
        <v>216</v>
      </c>
      <c r="C18" s="3">
        <v>30511</v>
      </c>
    </row>
    <row r="19" spans="1:3" x14ac:dyDescent="0.25">
      <c r="A19" s="3" t="s">
        <v>68</v>
      </c>
      <c r="B19" s="3"/>
      <c r="C19" s="3"/>
    </row>
    <row r="20" spans="1:3" x14ac:dyDescent="0.25">
      <c r="A20" s="3" t="s">
        <v>69</v>
      </c>
      <c r="B20" s="3" t="s">
        <v>217</v>
      </c>
      <c r="C20" s="3">
        <v>30675</v>
      </c>
    </row>
    <row r="21" spans="1:3" x14ac:dyDescent="0.25">
      <c r="A21" s="3" t="s">
        <v>70</v>
      </c>
      <c r="B21" s="3" t="s">
        <v>47</v>
      </c>
      <c r="C21" s="3">
        <v>30627</v>
      </c>
    </row>
    <row r="22" spans="1:3" x14ac:dyDescent="0.25">
      <c r="A22" s="3" t="s">
        <v>107</v>
      </c>
      <c r="B22" s="3" t="s">
        <v>218</v>
      </c>
      <c r="C22" s="3">
        <v>30519</v>
      </c>
    </row>
    <row r="23" spans="1:3" x14ac:dyDescent="0.25">
      <c r="A23" s="3" t="s">
        <v>72</v>
      </c>
      <c r="B23" s="3" t="s">
        <v>199</v>
      </c>
      <c r="C23" s="3">
        <v>30674</v>
      </c>
    </row>
    <row r="24" spans="1:3" x14ac:dyDescent="0.25">
      <c r="A24" s="3" t="s">
        <v>108</v>
      </c>
      <c r="B24" s="3" t="s">
        <v>219</v>
      </c>
      <c r="C24" s="3">
        <v>30518</v>
      </c>
    </row>
    <row r="25" spans="1:3" x14ac:dyDescent="0.25">
      <c r="A25" s="3" t="s">
        <v>74</v>
      </c>
      <c r="B25" s="3" t="s">
        <v>200</v>
      </c>
      <c r="C25" s="3">
        <v>30372</v>
      </c>
    </row>
    <row r="26" spans="1:3" x14ac:dyDescent="0.25">
      <c r="A26" s="3" t="s">
        <v>75</v>
      </c>
      <c r="B26" s="3" t="s">
        <v>201</v>
      </c>
      <c r="C26" s="3">
        <v>30422</v>
      </c>
    </row>
    <row r="27" spans="1:3" x14ac:dyDescent="0.25">
      <c r="A27" s="3" t="s">
        <v>56</v>
      </c>
      <c r="B27" s="3" t="s">
        <v>229</v>
      </c>
      <c r="C27" s="3">
        <v>17538</v>
      </c>
    </row>
    <row r="28" spans="1:3" x14ac:dyDescent="0.25">
      <c r="A28" s="3" t="s">
        <v>76</v>
      </c>
      <c r="B28" s="3"/>
      <c r="C28" s="3"/>
    </row>
    <row r="29" spans="1:3" x14ac:dyDescent="0.25">
      <c r="A29" s="3" t="s">
        <v>77</v>
      </c>
      <c r="B29" s="3" t="s">
        <v>202</v>
      </c>
      <c r="C29" s="3">
        <v>17556</v>
      </c>
    </row>
    <row r="30" spans="1:3" x14ac:dyDescent="0.25">
      <c r="A30" s="3" t="s">
        <v>109</v>
      </c>
      <c r="B30" s="3" t="s">
        <v>224</v>
      </c>
      <c r="C30" s="3">
        <v>17527</v>
      </c>
    </row>
    <row r="31" spans="1:3" x14ac:dyDescent="0.25">
      <c r="A31" s="4" t="s">
        <v>78</v>
      </c>
      <c r="B31" s="4" t="s">
        <v>204</v>
      </c>
      <c r="C31" s="4">
        <v>30412</v>
      </c>
    </row>
    <row r="32" spans="1:3" x14ac:dyDescent="0.25">
      <c r="A32" s="4" t="s">
        <v>79</v>
      </c>
      <c r="B32" s="4" t="s">
        <v>204</v>
      </c>
      <c r="C32" s="4">
        <v>30412</v>
      </c>
    </row>
    <row r="33" spans="1:3" x14ac:dyDescent="0.25">
      <c r="A33" s="4" t="s">
        <v>80</v>
      </c>
      <c r="B33" s="4" t="s">
        <v>221</v>
      </c>
      <c r="C33" s="4">
        <v>30489</v>
      </c>
    </row>
    <row r="34" spans="1:3" x14ac:dyDescent="0.25">
      <c r="A34" s="4" t="s">
        <v>110</v>
      </c>
      <c r="B34" s="4" t="s">
        <v>221</v>
      </c>
      <c r="C34" s="4">
        <v>30489</v>
      </c>
    </row>
    <row r="35" spans="1:3" x14ac:dyDescent="0.25">
      <c r="A35" s="3" t="s">
        <v>111</v>
      </c>
      <c r="B35" s="3" t="s">
        <v>205</v>
      </c>
      <c r="C35" s="3">
        <v>30485</v>
      </c>
    </row>
    <row r="36" spans="1:3" x14ac:dyDescent="0.25">
      <c r="A36" s="3" t="s">
        <v>81</v>
      </c>
      <c r="B36" s="3" t="s">
        <v>222</v>
      </c>
      <c r="C36" s="3">
        <v>17537</v>
      </c>
    </row>
    <row r="37" spans="1:3" x14ac:dyDescent="0.25">
      <c r="A37" s="3" t="s">
        <v>82</v>
      </c>
      <c r="B37" s="3"/>
      <c r="C37" s="3"/>
    </row>
    <row r="38" spans="1:3" x14ac:dyDescent="0.25">
      <c r="A38" s="3" t="s">
        <v>83</v>
      </c>
      <c r="B38" s="3" t="s">
        <v>206</v>
      </c>
      <c r="C38" s="3">
        <v>17553</v>
      </c>
    </row>
    <row r="39" spans="1:3" x14ac:dyDescent="0.25">
      <c r="A39" s="3" t="s">
        <v>112</v>
      </c>
      <c r="B39" s="3" t="s">
        <v>225</v>
      </c>
      <c r="C39" s="3">
        <v>30484</v>
      </c>
    </row>
    <row r="40" spans="1:3" x14ac:dyDescent="0.25">
      <c r="A40" s="4" t="s">
        <v>84</v>
      </c>
      <c r="B40" s="4" t="s">
        <v>207</v>
      </c>
      <c r="C40" s="4">
        <v>30467</v>
      </c>
    </row>
    <row r="41" spans="1:3" x14ac:dyDescent="0.25">
      <c r="A41" s="4" t="s">
        <v>85</v>
      </c>
      <c r="B41" s="4" t="s">
        <v>207</v>
      </c>
      <c r="C41" s="4">
        <v>30467</v>
      </c>
    </row>
    <row r="42" spans="1:3" x14ac:dyDescent="0.25">
      <c r="A42" s="3" t="s">
        <v>86</v>
      </c>
      <c r="B42" s="3" t="s">
        <v>223</v>
      </c>
      <c r="C42" s="3">
        <v>17536</v>
      </c>
    </row>
    <row r="43" spans="1:3" x14ac:dyDescent="0.25">
      <c r="A43" s="3" t="s">
        <v>132</v>
      </c>
      <c r="B43" s="3" t="s">
        <v>208</v>
      </c>
      <c r="C43" s="3">
        <v>17541</v>
      </c>
    </row>
    <row r="44" spans="1:3" x14ac:dyDescent="0.25">
      <c r="A44" s="3" t="s">
        <v>87</v>
      </c>
      <c r="B44" s="3" t="s">
        <v>209</v>
      </c>
      <c r="C44" s="3">
        <v>17519</v>
      </c>
    </row>
    <row r="45" spans="1:3" x14ac:dyDescent="0.25">
      <c r="A45" s="3" t="s">
        <v>88</v>
      </c>
      <c r="B45" s="3" t="s">
        <v>210</v>
      </c>
      <c r="C45" s="3">
        <v>30371</v>
      </c>
    </row>
    <row r="46" spans="1:3" x14ac:dyDescent="0.25">
      <c r="A46" s="3" t="s">
        <v>89</v>
      </c>
      <c r="B46" s="3"/>
      <c r="C46" s="3"/>
    </row>
    <row r="47" spans="1:3" x14ac:dyDescent="0.25">
      <c r="A47" s="3" t="s">
        <v>90</v>
      </c>
      <c r="B47" s="3"/>
      <c r="C47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78D8-A06C-4740-A168-6FB98AD59923}">
  <dimension ref="A1:C1"/>
  <sheetViews>
    <sheetView workbookViewId="0"/>
  </sheetViews>
  <sheetFormatPr defaultRowHeight="15" x14ac:dyDescent="0.25"/>
  <sheetData>
    <row r="1" spans="1:3" x14ac:dyDescent="0.25">
      <c r="A1" s="1" t="s">
        <v>142</v>
      </c>
      <c r="B1" s="1" t="s">
        <v>143</v>
      </c>
      <c r="C1" s="1" t="s">
        <v>144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05F8-52AA-4966-8E02-3DF7BC84CE4A}">
  <dimension ref="A1:C1"/>
  <sheetViews>
    <sheetView workbookViewId="0"/>
  </sheetViews>
  <sheetFormatPr defaultRowHeight="15" x14ac:dyDescent="0.25"/>
  <sheetData>
    <row r="1" spans="1:3" x14ac:dyDescent="0.25">
      <c r="A1" s="1" t="s">
        <v>142</v>
      </c>
      <c r="B1" s="1" t="s">
        <v>143</v>
      </c>
      <c r="C1" s="1" t="s">
        <v>144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2025-12-31T09:04:10Z</dcterms:created>
  <dcterms:modified xsi:type="dcterms:W3CDTF">2026-01-20T09:41:25Z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2026-01-01T12:00:57Z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6705bc90-17cd-4ac4-8f28-1f928e09a992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