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4_20251231\"/>
    </mc:Choice>
  </mc:AlternateContent>
  <xr:revisionPtr revIDLastSave="0" documentId="13_ncr:1_{8697F557-B971-4F52-9901-6551E261DBEC}" xr6:coauthVersionLast="47" xr6:coauthVersionMax="47" xr10:uidLastSave="{00000000-0000-0000-0000-000000000000}"/>
  <bookViews>
    <workbookView xWindow="-120" yWindow="-120" windowWidth="20730" windowHeight="11040" firstSheet="4" activeTab="7" xr2:uid="{00000000-000D-0000-FFFF-FFFF00000000}"/>
  </bookViews>
  <sheets>
    <sheet name="P&amp;L_Standalone" sheetId="9" r:id="rId1"/>
    <sheet name="P&amp;L_Consolidated" sheetId="1" r:id="rId2"/>
    <sheet name="BS_Standalone" sheetId="11" r:id="rId3"/>
    <sheet name="BS_Consolidated" sheetId="7" r:id="rId4"/>
    <sheet name="CFS_Standalone" sheetId="12" r:id="rId5"/>
    <sheet name="CFS_Consolidated" sheetId="8" r:id="rId6"/>
    <sheet name="SR_Standalone" sheetId="14" r:id="rId7"/>
    <sheet name="SR_Consolidated" sheetId="13" r:id="rId8"/>
  </sheets>
  <definedNames>
    <definedName name="_xlnm._FilterDatabase" localSheetId="3" hidden="1">BS_Consolidated!$A$1:$D$80</definedName>
    <definedName name="_xlnm._FilterDatabase" localSheetId="2" hidden="1">BS_Standalone!$A$1:$C$49</definedName>
    <definedName name="_xlnm._FilterDatabase" localSheetId="5" hidden="1">CFS_Consolidated!$A$1:$D$54</definedName>
    <definedName name="_xlnm._FilterDatabase" localSheetId="4" hidden="1">CFS_Standalone!$A$1:$C$52</definedName>
    <definedName name="_xlnm._FilterDatabase" localSheetId="1" hidden="1">'P&amp;L_Consolidated'!$A$1:$C$34</definedName>
    <definedName name="_xlnm._FilterDatabase" localSheetId="0" hidden="1">'P&amp;L_Standalone'!$A$1:$C$32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B34" i="1"/>
  <c r="C33" i="1"/>
  <c r="B33" i="1"/>
  <c r="C31" i="1"/>
  <c r="B31" i="1"/>
  <c r="C29" i="1"/>
  <c r="B29" i="1"/>
  <c r="C28" i="1"/>
  <c r="B28" i="1"/>
  <c r="C25" i="1"/>
  <c r="B25" i="1"/>
  <c r="C24" i="1"/>
  <c r="B24" i="1"/>
  <c r="C19" i="1"/>
  <c r="B19" i="1"/>
  <c r="C18" i="1"/>
  <c r="B18" i="1"/>
  <c r="C17" i="1"/>
  <c r="B17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5" i="1"/>
  <c r="B5" i="1"/>
  <c r="C4" i="1"/>
  <c r="B4" i="1"/>
  <c r="C3" i="1"/>
  <c r="B3" i="1"/>
</calcChain>
</file>

<file path=xl/sharedStrings.xml><?xml version="1.0" encoding="utf-8"?>
<sst xmlns="http://schemas.openxmlformats.org/spreadsheetml/2006/main" count="513" uniqueCount="228">
  <si>
    <t>Income</t>
  </si>
  <si>
    <t>Revenue from operations</t>
  </si>
  <si>
    <t>Other income</t>
  </si>
  <si>
    <t>Total income</t>
  </si>
  <si>
    <t>Expenses</t>
  </si>
  <si>
    <t>Cost of material consumed</t>
  </si>
  <si>
    <t>Purchase of security software products</t>
  </si>
  <si>
    <t>Changes in inventory of security software products</t>
  </si>
  <si>
    <t>Employee benefits expense</t>
  </si>
  <si>
    <t>Finance costs</t>
  </si>
  <si>
    <t>Depreciation and amortisation expense</t>
  </si>
  <si>
    <t>Other expenses</t>
  </si>
  <si>
    <t>Total expenses</t>
  </si>
  <si>
    <t>Tax expense</t>
  </si>
  <si>
    <t>Current tax</t>
  </si>
  <si>
    <t>Adjustments of tax relating to earlier periods (Net)</t>
  </si>
  <si>
    <t>Deferred tax charge/ (benefit)</t>
  </si>
  <si>
    <t>Total tax expense/ (benefit)</t>
  </si>
  <si>
    <t>Other comprehensive income/ (loss) (net of tax)</t>
  </si>
  <si>
    <t>Items that will not be reclassified subsequently to profit or loss :</t>
  </si>
  <si>
    <t>Gain/ (loss) on re-measurement of defined benefit plans</t>
  </si>
  <si>
    <t>Net (loss) or gain on FVOCI instruments</t>
  </si>
  <si>
    <t>Items that will be reclassified subsequently to profit or loss :</t>
  </si>
  <si>
    <t>Exchange differences on translation of foreign operations</t>
  </si>
  <si>
    <t>Total other comprehensive income/ (loss) for the period</t>
  </si>
  <si>
    <t>Other equity excluding revaluation reserves as per balance sheet</t>
  </si>
  <si>
    <t>Basic</t>
  </si>
  <si>
    <t>Diluted</t>
  </si>
  <si>
    <t>Deferred tax assets (net)</t>
  </si>
  <si>
    <t>Income tax assets (net)</t>
  </si>
  <si>
    <t>Assets classified as held for sale</t>
  </si>
  <si>
    <t>Assets</t>
  </si>
  <si>
    <t>Non-current assets</t>
  </si>
  <si>
    <t>Capital work-in-progress</t>
  </si>
  <si>
    <t>Investment Property</t>
  </si>
  <si>
    <t>Intangible assets</t>
  </si>
  <si>
    <t>Right-of-use assets</t>
  </si>
  <si>
    <t>Financial assets</t>
  </si>
  <si>
    <t>Investments</t>
  </si>
  <si>
    <t>Other financial assets</t>
  </si>
  <si>
    <t>Other non-current assets</t>
  </si>
  <si>
    <t>Current assets</t>
  </si>
  <si>
    <t>Inventories</t>
  </si>
  <si>
    <t>Trade receivables</t>
  </si>
  <si>
    <t>Cash and cash equivalents</t>
  </si>
  <si>
    <t>Other current assets</t>
  </si>
  <si>
    <t>Total assets</t>
  </si>
  <si>
    <t>Equity and liabilities</t>
  </si>
  <si>
    <t>Equity</t>
  </si>
  <si>
    <t>Equity share capital</t>
  </si>
  <si>
    <t>Share application money pending allotment</t>
  </si>
  <si>
    <t>Other equity</t>
  </si>
  <si>
    <t>Total equity</t>
  </si>
  <si>
    <t>Liabilities</t>
  </si>
  <si>
    <t>Non-current liabilities</t>
  </si>
  <si>
    <t>Financial liabilities</t>
  </si>
  <si>
    <t>Lease Liabilities</t>
  </si>
  <si>
    <t>Employee benefit obligations</t>
  </si>
  <si>
    <t>Other non-current liabilities</t>
  </si>
  <si>
    <t>Current liabilities</t>
  </si>
  <si>
    <t>Trade payables</t>
  </si>
  <si>
    <t>Total outstanding dues of micro enterprises and small enterprises</t>
  </si>
  <si>
    <t>Total outstanding dues ofcreditors other than micro enterprises and small enterprises</t>
  </si>
  <si>
    <t>Other financial liabilities</t>
  </si>
  <si>
    <t>Other current liabilities</t>
  </si>
  <si>
    <t>Income tax liabilities (net)</t>
  </si>
  <si>
    <t>Total liabilities</t>
  </si>
  <si>
    <t>Total equity and liabilities</t>
  </si>
  <si>
    <t>Profit before tax</t>
  </si>
  <si>
    <t>Adjustment to reconcile profit before tax to net cash flows:</t>
  </si>
  <si>
    <t>Net (gain)/ loss on foreign exchange differences</t>
  </si>
  <si>
    <t>Exchange difference on translation of foreign operations</t>
  </si>
  <si>
    <t>Employee share based payments expense</t>
  </si>
  <si>
    <t>Interest on lease</t>
  </si>
  <si>
    <t>Rent equalisation</t>
  </si>
  <si>
    <t>Depreciation and amortization expense</t>
  </si>
  <si>
    <t>Interest income</t>
  </si>
  <si>
    <t>Provision for doubtful debts and advances</t>
  </si>
  <si>
    <t>Income from Investment Property</t>
  </si>
  <si>
    <t>Net gain on sale of investment</t>
  </si>
  <si>
    <t>Unrealised gain on investments</t>
  </si>
  <si>
    <t>Operating profit before working capital changes</t>
  </si>
  <si>
    <t>Movements in working capital:</t>
  </si>
  <si>
    <t>(Increase)/ decrease in trade receivables</t>
  </si>
  <si>
    <t>(Increase)/ decrease in inventories</t>
  </si>
  <si>
    <t>(Increase)/ decrease in other financial assets</t>
  </si>
  <si>
    <t>(Increase)/ decrease in other assets</t>
  </si>
  <si>
    <t>Increase/ (decrease) in net employee benefit obligations</t>
  </si>
  <si>
    <t>Increase/ (decrease) in trade payables</t>
  </si>
  <si>
    <t>Increase/(decrease) in other financials liabilities</t>
  </si>
  <si>
    <t>Increase/ (decrease) in other current and non-current liabilities</t>
  </si>
  <si>
    <t>Cash (used in)/ generated from operations</t>
  </si>
  <si>
    <t>Income taxes paid (net of refund)</t>
  </si>
  <si>
    <t>Net cash flow (used in)/ generated from operating activities</t>
  </si>
  <si>
    <t>Purchase of investment in mutual funds</t>
  </si>
  <si>
    <t>Proceeds from sale of investment in mutual funds</t>
  </si>
  <si>
    <t>Rental income from investment property</t>
  </si>
  <si>
    <t>Decrease in Deposits with remaining maturity of more than twelve months</t>
  </si>
  <si>
    <t>Income interest received</t>
  </si>
  <si>
    <t>Net cash flow (used in)/ generated from investing activities</t>
  </si>
  <si>
    <t>Principal and interest paid on lease liabilities</t>
  </si>
  <si>
    <t>Proceeds from issuance of equity shares (including securities premium) on exercise of employee stock options</t>
  </si>
  <si>
    <t>Net cash flow (used in)/ generated from financing activities</t>
  </si>
  <si>
    <t>Cash and cash equivalents at the beginning of the year</t>
  </si>
  <si>
    <t>Effect of exchange differences on cash and cash equivalents held in foreign currency</t>
  </si>
  <si>
    <t>Cash and cash equivalents at the end of the period</t>
  </si>
  <si>
    <t>Components of cash and cash equivalents</t>
  </si>
  <si>
    <t>Cash on hand</t>
  </si>
  <si>
    <t>Balances with banks</t>
  </si>
  <si>
    <t>On current account</t>
  </si>
  <si>
    <t>On EEFC account</t>
  </si>
  <si>
    <t>Deposits with original maturity of less than three months</t>
  </si>
  <si>
    <t>Total cash and cash equivalents</t>
  </si>
  <si>
    <t>Investment property</t>
  </si>
  <si>
    <t>Total outstanding dues of creditors other than micro enterprises and small enterprises</t>
  </si>
  <si>
    <t>Increase/(decrease) in trade payables</t>
  </si>
  <si>
    <t>Increase/ (decrease) in other financials liabilities</t>
  </si>
  <si>
    <t>Dividend paid</t>
  </si>
  <si>
    <t>Profit/ (loss) before tax</t>
  </si>
  <si>
    <t>Profit/ (loss) after tax</t>
  </si>
  <si>
    <t>Total comprehensive income/ (loss) (after tax)</t>
  </si>
  <si>
    <t>Paid-up equity share capital (face value of ₹ 10 each, fully paid up)</t>
  </si>
  <si>
    <t>Earnings/ (loss) per share of ₹ 10 each: (not annualised except for the year ended March)</t>
  </si>
  <si>
    <t>Property, plant and equipment</t>
  </si>
  <si>
    <t>Bank balances other than above</t>
  </si>
  <si>
    <t>Cash flow from operating activities</t>
  </si>
  <si>
    <t>(Profit)/ loss on sale of property, plant and equipment</t>
  </si>
  <si>
    <t>Cash flow from investing activities</t>
  </si>
  <si>
    <t>Purchase of property, plant and equipment and intangible assets (including capital work-in-progress and capital advances)</t>
  </si>
  <si>
    <t>Proceeds from sale of property, plant and equipment</t>
  </si>
  <si>
    <t>Cash flow from financing activities</t>
  </si>
  <si>
    <t>Net (Decrease)/ increase in cash and cash equivalents</t>
  </si>
  <si>
    <t xml:space="preserve">Profit/ (loss) after tax </t>
  </si>
  <si>
    <t>Paid-up equity share capital (face value of₹ 10 each fully paid up)</t>
  </si>
  <si>
    <t>Investments in subsidiaries</t>
  </si>
  <si>
    <t>Gross Sales/Income from Operations</t>
  </si>
  <si>
    <t>Miscellaneous Income</t>
  </si>
  <si>
    <t>Total Income</t>
  </si>
  <si>
    <t>Cost of Materials Consumed</t>
  </si>
  <si>
    <t>Employee Benefit Expense</t>
  </si>
  <si>
    <t>Finance Costs</t>
  </si>
  <si>
    <t>Depreciation, Depletion and Amortisation Expense</t>
  </si>
  <si>
    <t>Other Expenses</t>
  </si>
  <si>
    <t>Total Expenses</t>
  </si>
  <si>
    <t>Tax Expense</t>
  </si>
  <si>
    <t>Reserve excluding Revaluation Reserves (as per Balance Sheet of Previous Accounting Year)</t>
  </si>
  <si>
    <t>Basic EPS</t>
  </si>
  <si>
    <t>Diluted EPS</t>
  </si>
  <si>
    <t>Heading</t>
  </si>
  <si>
    <t>Particulars</t>
  </si>
  <si>
    <t>Cogencis Field</t>
  </si>
  <si>
    <t>Field id</t>
  </si>
  <si>
    <t>Purchase of Stock-in-Trade</t>
  </si>
  <si>
    <t>Changes in Inventories of Finished Goods, Work-In-Progress and Stock-In-Trade</t>
  </si>
  <si>
    <t>Profit/(Loss) From Ordinary Activities before Tax</t>
  </si>
  <si>
    <t>Net Profit/(Loss) for the Period</t>
  </si>
  <si>
    <t>Deferred Tax</t>
  </si>
  <si>
    <t>Calculated Field</t>
  </si>
  <si>
    <t>Items that will not be reclassified to Profit or Loss</t>
  </si>
  <si>
    <t>Other Comprehensive Income</t>
  </si>
  <si>
    <t>Total Comprehensive Gain (Loss) For the Year</t>
  </si>
  <si>
    <t>Paid-Up Equity Share Capital</t>
  </si>
  <si>
    <t>Sub-heading</t>
  </si>
  <si>
    <t>Items that will be reclassified to Profit or Loss</t>
  </si>
  <si>
    <t>Property, Plant &amp; Equipment</t>
  </si>
  <si>
    <t>Capital Work-In-Progress</t>
  </si>
  <si>
    <t>Other Intangible Assets</t>
  </si>
  <si>
    <t>Right-of-use asset</t>
  </si>
  <si>
    <t>Non-Current Investments</t>
  </si>
  <si>
    <t>Other Non-Current Financial Assets</t>
  </si>
  <si>
    <t>Deferred Tax Assets (Net)</t>
  </si>
  <si>
    <t>Other Non-Current Assets</t>
  </si>
  <si>
    <t>Cash And Cash Equivalents</t>
  </si>
  <si>
    <t>Other Current Assets</t>
  </si>
  <si>
    <t>Total Assets</t>
  </si>
  <si>
    <t>Share Capital</t>
  </si>
  <si>
    <t>Reserves And Surplus/Other Equity</t>
  </si>
  <si>
    <t>Total Share Holder's Funds</t>
  </si>
  <si>
    <t>Lease liabilities</t>
  </si>
  <si>
    <t>Long-Term Provisions</t>
  </si>
  <si>
    <t>Other Non-Current Liabilities</t>
  </si>
  <si>
    <t>Trade Payables</t>
  </si>
  <si>
    <t>Other Current Financial Liabilities</t>
  </si>
  <si>
    <t>Other liabilities</t>
  </si>
  <si>
    <t>Current Tax Liabilities (Net)</t>
  </si>
  <si>
    <t>TOTAL EQUITY AND LIABILITIES</t>
  </si>
  <si>
    <t>Current Investments</t>
  </si>
  <si>
    <t>Trade Receivables</t>
  </si>
  <si>
    <t>Bank balance other than cash and cash equivalents</t>
  </si>
  <si>
    <t>Other Current Financial Assets</t>
  </si>
  <si>
    <t>Employee  Retirement benefit obligations</t>
  </si>
  <si>
    <t>Net Profit Before Tax And Exceptional Item</t>
  </si>
  <si>
    <t>Depreciation and Amortisation Expense</t>
  </si>
  <si>
    <t>Interest Income</t>
  </si>
  <si>
    <t>Operating Profit Before Working Capital Changes</t>
  </si>
  <si>
    <t>Trade And Other Receivables</t>
  </si>
  <si>
    <t>Other Current and Non Current Assets</t>
  </si>
  <si>
    <t>Trade Payables And Others</t>
  </si>
  <si>
    <t>Sale Of Fixed Assets (Tangible / Intangible)</t>
  </si>
  <si>
    <t>Others-Before Working Capital Changes</t>
  </si>
  <si>
    <t>Dividend Paid</t>
  </si>
  <si>
    <t>Cash and Cash Equivalents at the Beginning of the Year</t>
  </si>
  <si>
    <t>Cash and Cash Equivalents at the End of the Year</t>
  </si>
  <si>
    <t>Sub-Head</t>
  </si>
  <si>
    <t>Foreign Exchange Gain / Loss</t>
  </si>
  <si>
    <t>Employees Stock Options Grants</t>
  </si>
  <si>
    <t>Interest Expense</t>
  </si>
  <si>
    <t>Fin Lease &amp; Rental Charges</t>
  </si>
  <si>
    <t>Provision For Doubtful Debts</t>
  </si>
  <si>
    <t>Profit On Sale Of Fixed Assets</t>
  </si>
  <si>
    <t>Profit On Sale Of Investments</t>
  </si>
  <si>
    <t>Adjustments for other financial assets, non-current</t>
  </si>
  <si>
    <t>Provisions</t>
  </si>
  <si>
    <t>Adjustments for other financial liabilities, non-current</t>
  </si>
  <si>
    <t>Other Current and Non Current Liabilities</t>
  </si>
  <si>
    <t>Cash Generated From Operations</t>
  </si>
  <si>
    <t>Income Tax Paid</t>
  </si>
  <si>
    <t>Net Cash Flow From Operating Activities</t>
  </si>
  <si>
    <t>Purchase Of Fixed Assets (Tangible / Intangible)</t>
  </si>
  <si>
    <t>Investments in Mutual Funds</t>
  </si>
  <si>
    <t>Fixed Deposits</t>
  </si>
  <si>
    <t>Interest Received</t>
  </si>
  <si>
    <t>Net Cash Flow From Investing Activities</t>
  </si>
  <si>
    <t>Payments of lease liabilities</t>
  </si>
  <si>
    <t>Proceeds From Issue Of Equity Shares (Inclu Share Premium)</t>
  </si>
  <si>
    <t>Net Cash Flow From Financing Activities</t>
  </si>
  <si>
    <t>Net Increase in Cash and Cash Equivalents</t>
  </si>
  <si>
    <t>Effect of Exchange Fluctuation Translation 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</si>
</sst>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2"/>
  <sheetViews>
    <sheetView workbookViewId="0">
      <selection activeCell="B1" sqref="B1:C1048576"/>
    </sheetView>
  </sheetViews>
  <sheetFormatPr defaultRowHeight="15" x14ac:dyDescent="0.25"/>
  <cols>
    <col min="1" max="2" width="63.42578125" customWidth="1"/>
    <col min="3" max="3" width="7.5703125" bestFit="1" customWidth="1"/>
    <col min="4" max="4" width="8.28515625" bestFit="1" customWidth="1"/>
  </cols>
  <sheetData>
    <row r="1" spans="1:4" x14ac:dyDescent="0.25">
      <c r="A1" s="4" t="s">
        <v>149</v>
      </c>
      <c r="B1" s="4" t="s">
        <v>150</v>
      </c>
      <c r="C1" s="4" t="s">
        <v>151</v>
      </c>
    </row>
    <row r="2" spans="1:4" x14ac:dyDescent="0.25">
      <c r="A2" s="1" t="s">
        <v>0</v>
      </c>
      <c r="B2" s="1"/>
      <c r="C2" s="1"/>
      <c r="D2" t="s">
        <v>148</v>
      </c>
    </row>
    <row r="3" spans="1:4" x14ac:dyDescent="0.25">
      <c r="A3" s="1" t="s">
        <v>1</v>
      </c>
      <c r="B3" s="1" t="s">
        <v>135</v>
      </c>
      <c r="C3" s="1">
        <v>256</v>
      </c>
    </row>
    <row r="4" spans="1:4" x14ac:dyDescent="0.25">
      <c r="A4" s="1" t="s">
        <v>2</v>
      </c>
      <c r="B4" s="1" t="s">
        <v>136</v>
      </c>
      <c r="C4" s="1">
        <v>265</v>
      </c>
    </row>
    <row r="5" spans="1:4" x14ac:dyDescent="0.25">
      <c r="A5" s="1" t="s">
        <v>3</v>
      </c>
      <c r="B5" s="1" t="s">
        <v>137</v>
      </c>
      <c r="C5" s="1">
        <v>25238</v>
      </c>
    </row>
    <row r="6" spans="1:4" x14ac:dyDescent="0.25">
      <c r="A6" s="1" t="s">
        <v>4</v>
      </c>
      <c r="B6" s="1"/>
      <c r="C6" s="1"/>
      <c r="D6" t="s">
        <v>148</v>
      </c>
    </row>
    <row r="7" spans="1:4" x14ac:dyDescent="0.25">
      <c r="A7" s="1" t="s">
        <v>5</v>
      </c>
      <c r="B7" s="1" t="s">
        <v>138</v>
      </c>
      <c r="C7" s="1">
        <v>230</v>
      </c>
    </row>
    <row r="8" spans="1:4" x14ac:dyDescent="0.25">
      <c r="A8" s="1" t="s">
        <v>6</v>
      </c>
      <c r="B8" s="1" t="s">
        <v>152</v>
      </c>
      <c r="C8" s="2">
        <v>307</v>
      </c>
    </row>
    <row r="9" spans="1:4" x14ac:dyDescent="0.25">
      <c r="A9" s="1" t="s">
        <v>7</v>
      </c>
      <c r="B9" s="1" t="s">
        <v>153</v>
      </c>
      <c r="C9" s="2">
        <v>227</v>
      </c>
    </row>
    <row r="10" spans="1:4" x14ac:dyDescent="0.25">
      <c r="A10" s="1" t="s">
        <v>8</v>
      </c>
      <c r="B10" s="1" t="s">
        <v>139</v>
      </c>
      <c r="C10" s="1">
        <v>238</v>
      </c>
    </row>
    <row r="11" spans="1:4" x14ac:dyDescent="0.25">
      <c r="A11" s="1" t="s">
        <v>9</v>
      </c>
      <c r="B11" s="1" t="s">
        <v>140</v>
      </c>
      <c r="C11" s="1">
        <v>246</v>
      </c>
    </row>
    <row r="12" spans="1:4" x14ac:dyDescent="0.25">
      <c r="A12" s="1" t="s">
        <v>10</v>
      </c>
      <c r="B12" s="1" t="s">
        <v>141</v>
      </c>
      <c r="C12" s="1">
        <v>232</v>
      </c>
    </row>
    <row r="13" spans="1:4" x14ac:dyDescent="0.25">
      <c r="A13" s="1" t="s">
        <v>11</v>
      </c>
      <c r="B13" s="1" t="s">
        <v>142</v>
      </c>
      <c r="C13" s="1">
        <v>279</v>
      </c>
    </row>
    <row r="14" spans="1:4" x14ac:dyDescent="0.25">
      <c r="A14" s="1" t="s">
        <v>12</v>
      </c>
      <c r="B14" s="1" t="s">
        <v>143</v>
      </c>
      <c r="C14" s="1">
        <v>320</v>
      </c>
    </row>
    <row r="15" spans="1:4" x14ac:dyDescent="0.25">
      <c r="A15" s="1" t="s">
        <v>118</v>
      </c>
      <c r="B15" s="1" t="s">
        <v>154</v>
      </c>
      <c r="C15" s="2">
        <v>296</v>
      </c>
    </row>
    <row r="16" spans="1:4" x14ac:dyDescent="0.25">
      <c r="A16" s="1" t="s">
        <v>13</v>
      </c>
      <c r="B16" s="1"/>
      <c r="C16" s="1"/>
      <c r="D16" t="s">
        <v>148</v>
      </c>
    </row>
    <row r="17" spans="1:4" x14ac:dyDescent="0.25">
      <c r="A17" s="3" t="s">
        <v>14</v>
      </c>
      <c r="B17" s="3" t="s">
        <v>144</v>
      </c>
      <c r="C17" s="3">
        <v>318</v>
      </c>
    </row>
    <row r="18" spans="1:4" x14ac:dyDescent="0.25">
      <c r="A18" s="3" t="s">
        <v>15</v>
      </c>
      <c r="B18" s="3" t="s">
        <v>144</v>
      </c>
      <c r="C18" s="3">
        <v>318</v>
      </c>
    </row>
    <row r="19" spans="1:4" x14ac:dyDescent="0.25">
      <c r="A19" s="1" t="s">
        <v>16</v>
      </c>
      <c r="B19" s="1" t="s">
        <v>156</v>
      </c>
      <c r="C19" s="2">
        <v>231</v>
      </c>
    </row>
    <row r="20" spans="1:4" x14ac:dyDescent="0.25">
      <c r="A20" s="1" t="s">
        <v>17</v>
      </c>
      <c r="B20" s="1"/>
      <c r="C20" s="1"/>
      <c r="D20" t="s">
        <v>157</v>
      </c>
    </row>
    <row r="21" spans="1:4" x14ac:dyDescent="0.25">
      <c r="A21" s="1" t="s">
        <v>132</v>
      </c>
      <c r="B21" s="1" t="s">
        <v>155</v>
      </c>
      <c r="C21" s="2">
        <v>269</v>
      </c>
    </row>
    <row r="22" spans="1:4" x14ac:dyDescent="0.25">
      <c r="A22" s="1" t="s">
        <v>18</v>
      </c>
      <c r="B22" s="1"/>
      <c r="C22" s="1"/>
      <c r="D22" t="s">
        <v>148</v>
      </c>
    </row>
    <row r="23" spans="1:4" x14ac:dyDescent="0.25">
      <c r="A23" s="1" t="s">
        <v>19</v>
      </c>
      <c r="B23" s="1"/>
      <c r="C23" s="1"/>
      <c r="D23" t="s">
        <v>162</v>
      </c>
    </row>
    <row r="24" spans="1:4" x14ac:dyDescent="0.25">
      <c r="A24" s="3" t="s">
        <v>20</v>
      </c>
      <c r="B24" s="3" t="s">
        <v>158</v>
      </c>
      <c r="C24" s="3">
        <v>22293</v>
      </c>
    </row>
    <row r="25" spans="1:4" x14ac:dyDescent="0.25">
      <c r="A25" s="3" t="s">
        <v>21</v>
      </c>
      <c r="B25" s="3" t="s">
        <v>158</v>
      </c>
      <c r="C25" s="3">
        <v>22293</v>
      </c>
    </row>
    <row r="26" spans="1:4" x14ac:dyDescent="0.25">
      <c r="A26" s="1" t="s">
        <v>24</v>
      </c>
      <c r="B26" s="1" t="s">
        <v>159</v>
      </c>
      <c r="C26" s="2">
        <v>16484</v>
      </c>
    </row>
    <row r="27" spans="1:4" x14ac:dyDescent="0.25">
      <c r="A27" s="1" t="s">
        <v>120</v>
      </c>
      <c r="B27" s="1" t="s">
        <v>160</v>
      </c>
      <c r="C27" s="2">
        <v>20019</v>
      </c>
    </row>
    <row r="28" spans="1:4" x14ac:dyDescent="0.25">
      <c r="A28" s="1" t="s">
        <v>133</v>
      </c>
      <c r="B28" s="1" t="s">
        <v>161</v>
      </c>
      <c r="C28" s="2">
        <v>282</v>
      </c>
    </row>
    <row r="29" spans="1:4" x14ac:dyDescent="0.25">
      <c r="A29" s="1" t="s">
        <v>25</v>
      </c>
      <c r="B29" s="1" t="s">
        <v>145</v>
      </c>
      <c r="C29" s="2">
        <v>309</v>
      </c>
    </row>
    <row r="30" spans="1:4" x14ac:dyDescent="0.25">
      <c r="A30" s="1" t="s">
        <v>122</v>
      </c>
      <c r="B30" s="1"/>
      <c r="C30" s="1"/>
      <c r="D30" t="s">
        <v>148</v>
      </c>
    </row>
    <row r="31" spans="1:4" x14ac:dyDescent="0.25">
      <c r="A31" s="1" t="s">
        <v>26</v>
      </c>
      <c r="B31" s="1" t="s">
        <v>146</v>
      </c>
      <c r="C31" s="1">
        <v>222</v>
      </c>
    </row>
    <row r="32" spans="1:4" x14ac:dyDescent="0.25">
      <c r="A32" s="1" t="s">
        <v>27</v>
      </c>
      <c r="B32" s="1" t="s">
        <v>147</v>
      </c>
      <c r="C32" s="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workbookViewId="0">
      <selection activeCell="B1" sqref="B1:C1048576"/>
    </sheetView>
  </sheetViews>
  <sheetFormatPr defaultRowHeight="15" x14ac:dyDescent="0.25"/>
  <cols>
    <col min="1" max="2" width="55.85546875" customWidth="1"/>
  </cols>
  <sheetData>
    <row r="1" spans="1:4" x14ac:dyDescent="0.25">
      <c r="A1" s="4" t="s">
        <v>149</v>
      </c>
      <c r="B1" s="4" t="s">
        <v>150</v>
      </c>
      <c r="C1" s="4" t="s">
        <v>151</v>
      </c>
    </row>
    <row r="2" spans="1:4" x14ac:dyDescent="0.25">
      <c r="A2" s="1" t="s">
        <v>0</v>
      </c>
      <c r="B2" s="1"/>
      <c r="C2" s="1"/>
      <c r="D2" t="s">
        <v>148</v>
      </c>
    </row>
    <row r="3" spans="1:4" x14ac:dyDescent="0.25">
      <c r="A3" s="1" t="s">
        <v>1</v>
      </c>
      <c r="B3" s="1" t="str">
        <f>VLOOKUP($A3,'P&amp;L_Standalone'!A:C,2,0)</f>
        <v>Gross Sales/Income from Operations</v>
      </c>
      <c r="C3" s="1">
        <f>VLOOKUP($A3,'P&amp;L_Standalone'!A:C,3,0)</f>
        <v>256</v>
      </c>
    </row>
    <row r="4" spans="1:4" x14ac:dyDescent="0.25">
      <c r="A4" s="1" t="s">
        <v>2</v>
      </c>
      <c r="B4" s="1" t="str">
        <f>VLOOKUP($A4,'P&amp;L_Standalone'!A:C,2,0)</f>
        <v>Miscellaneous Income</v>
      </c>
      <c r="C4" s="1">
        <f>VLOOKUP($A4,'P&amp;L_Standalone'!A:C,3,0)</f>
        <v>265</v>
      </c>
    </row>
    <row r="5" spans="1:4" x14ac:dyDescent="0.25">
      <c r="A5" s="1" t="s">
        <v>3</v>
      </c>
      <c r="B5" s="1" t="str">
        <f>VLOOKUP($A5,'P&amp;L_Standalone'!A:C,2,0)</f>
        <v>Total Income</v>
      </c>
      <c r="C5" s="1">
        <f>VLOOKUP($A5,'P&amp;L_Standalone'!A:C,3,0)</f>
        <v>25238</v>
      </c>
    </row>
    <row r="6" spans="1:4" x14ac:dyDescent="0.25">
      <c r="A6" s="1" t="s">
        <v>4</v>
      </c>
      <c r="B6" s="1"/>
      <c r="C6" s="1"/>
      <c r="D6" t="s">
        <v>148</v>
      </c>
    </row>
    <row r="7" spans="1:4" x14ac:dyDescent="0.25">
      <c r="A7" s="1" t="s">
        <v>5</v>
      </c>
      <c r="B7" s="1" t="str">
        <f>VLOOKUP($A7,'P&amp;L_Standalone'!A:C,2,0)</f>
        <v>Cost of Materials Consumed</v>
      </c>
      <c r="C7" s="1">
        <f>VLOOKUP($A7,'P&amp;L_Standalone'!A:C,3,0)</f>
        <v>230</v>
      </c>
    </row>
    <row r="8" spans="1:4" x14ac:dyDescent="0.25">
      <c r="A8" s="1" t="s">
        <v>6</v>
      </c>
      <c r="B8" s="1" t="str">
        <f>VLOOKUP($A8,'P&amp;L_Standalone'!A:C,2,0)</f>
        <v>Purchase of Stock-in-Trade</v>
      </c>
      <c r="C8" s="1">
        <f>VLOOKUP($A8,'P&amp;L_Standalone'!A:C,3,0)</f>
        <v>307</v>
      </c>
    </row>
    <row r="9" spans="1:4" x14ac:dyDescent="0.25">
      <c r="A9" s="1" t="s">
        <v>7</v>
      </c>
      <c r="B9" s="1" t="str">
        <f>VLOOKUP($A9,'P&amp;L_Standalone'!A:C,2,0)</f>
        <v>Changes in Inventories of Finished Goods, Work-In-Progress and Stock-In-Trade</v>
      </c>
      <c r="C9" s="1">
        <f>VLOOKUP($A9,'P&amp;L_Standalone'!A:C,3,0)</f>
        <v>227</v>
      </c>
    </row>
    <row r="10" spans="1:4" x14ac:dyDescent="0.25">
      <c r="A10" s="1" t="s">
        <v>8</v>
      </c>
      <c r="B10" s="1" t="str">
        <f>VLOOKUP($A10,'P&amp;L_Standalone'!A:C,2,0)</f>
        <v>Employee Benefit Expense</v>
      </c>
      <c r="C10" s="1">
        <f>VLOOKUP($A10,'P&amp;L_Standalone'!A:C,3,0)</f>
        <v>238</v>
      </c>
    </row>
    <row r="11" spans="1:4" x14ac:dyDescent="0.25">
      <c r="A11" s="1" t="s">
        <v>9</v>
      </c>
      <c r="B11" s="1" t="str">
        <f>VLOOKUP($A11,'P&amp;L_Standalone'!A:C,2,0)</f>
        <v>Finance Costs</v>
      </c>
      <c r="C11" s="1">
        <f>VLOOKUP($A11,'P&amp;L_Standalone'!A:C,3,0)</f>
        <v>246</v>
      </c>
    </row>
    <row r="12" spans="1:4" x14ac:dyDescent="0.25">
      <c r="A12" s="1" t="s">
        <v>10</v>
      </c>
      <c r="B12" s="1" t="str">
        <f>VLOOKUP($A12,'P&amp;L_Standalone'!A:C,2,0)</f>
        <v>Depreciation, Depletion and Amortisation Expense</v>
      </c>
      <c r="C12" s="1">
        <f>VLOOKUP($A12,'P&amp;L_Standalone'!A:C,3,0)</f>
        <v>232</v>
      </c>
    </row>
    <row r="13" spans="1:4" x14ac:dyDescent="0.25">
      <c r="A13" s="1" t="s">
        <v>11</v>
      </c>
      <c r="B13" s="1" t="str">
        <f>VLOOKUP($A13,'P&amp;L_Standalone'!A:C,2,0)</f>
        <v>Other Expenses</v>
      </c>
      <c r="C13" s="1">
        <f>VLOOKUP($A13,'P&amp;L_Standalone'!A:C,3,0)</f>
        <v>279</v>
      </c>
    </row>
    <row r="14" spans="1:4" x14ac:dyDescent="0.25">
      <c r="A14" s="1" t="s">
        <v>12</v>
      </c>
      <c r="B14" s="1" t="str">
        <f>VLOOKUP($A14,'P&amp;L_Standalone'!A:C,2,0)</f>
        <v>Total Expenses</v>
      </c>
      <c r="C14" s="1">
        <f>VLOOKUP($A14,'P&amp;L_Standalone'!A:C,3,0)</f>
        <v>320</v>
      </c>
    </row>
    <row r="15" spans="1:4" x14ac:dyDescent="0.25">
      <c r="A15" s="1" t="s">
        <v>118</v>
      </c>
      <c r="B15" s="1" t="str">
        <f>VLOOKUP($A15,'P&amp;L_Standalone'!A:C,2,0)</f>
        <v>Profit/(Loss) From Ordinary Activities before Tax</v>
      </c>
      <c r="C15" s="1">
        <f>VLOOKUP($A15,'P&amp;L_Standalone'!A:C,3,0)</f>
        <v>296</v>
      </c>
    </row>
    <row r="16" spans="1:4" x14ac:dyDescent="0.25">
      <c r="A16" s="1" t="s">
        <v>13</v>
      </c>
      <c r="B16" s="1"/>
      <c r="C16" s="1"/>
      <c r="D16" t="s">
        <v>148</v>
      </c>
    </row>
    <row r="17" spans="1:4" x14ac:dyDescent="0.25">
      <c r="A17" s="3" t="s">
        <v>14</v>
      </c>
      <c r="B17" s="3" t="str">
        <f>VLOOKUP($A17,'P&amp;L_Standalone'!A:C,2,0)</f>
        <v>Tax Expense</v>
      </c>
      <c r="C17" s="3">
        <f>VLOOKUP($A17,'P&amp;L_Standalone'!A:C,3,0)</f>
        <v>318</v>
      </c>
    </row>
    <row r="18" spans="1:4" x14ac:dyDescent="0.25">
      <c r="A18" s="3" t="s">
        <v>15</v>
      </c>
      <c r="B18" s="3" t="str">
        <f>VLOOKUP($A18,'P&amp;L_Standalone'!A:C,2,0)</f>
        <v>Tax Expense</v>
      </c>
      <c r="C18" s="3">
        <f>VLOOKUP($A18,'P&amp;L_Standalone'!A:C,3,0)</f>
        <v>318</v>
      </c>
    </row>
    <row r="19" spans="1:4" x14ac:dyDescent="0.25">
      <c r="A19" s="1" t="s">
        <v>16</v>
      </c>
      <c r="B19" s="1" t="str">
        <f>VLOOKUP($A19,'P&amp;L_Standalone'!A:C,2,0)</f>
        <v>Deferred Tax</v>
      </c>
      <c r="C19" s="1">
        <f>VLOOKUP($A19,'P&amp;L_Standalone'!A:C,3,0)</f>
        <v>231</v>
      </c>
    </row>
    <row r="20" spans="1:4" x14ac:dyDescent="0.25">
      <c r="A20" s="1" t="s">
        <v>17</v>
      </c>
      <c r="B20" s="1"/>
      <c r="C20" s="1"/>
      <c r="D20" t="s">
        <v>157</v>
      </c>
    </row>
    <row r="21" spans="1:4" x14ac:dyDescent="0.25">
      <c r="A21" s="1" t="s">
        <v>119</v>
      </c>
      <c r="B21" s="1" t="s">
        <v>155</v>
      </c>
      <c r="C21" s="2">
        <v>269</v>
      </c>
    </row>
    <row r="22" spans="1:4" x14ac:dyDescent="0.25">
      <c r="A22" s="1" t="s">
        <v>18</v>
      </c>
      <c r="B22" s="1"/>
      <c r="C22" s="1"/>
      <c r="D22" t="s">
        <v>148</v>
      </c>
    </row>
    <row r="23" spans="1:4" x14ac:dyDescent="0.25">
      <c r="A23" s="1" t="s">
        <v>19</v>
      </c>
      <c r="B23" s="1"/>
      <c r="C23" s="1"/>
      <c r="D23" t="s">
        <v>162</v>
      </c>
    </row>
    <row r="24" spans="1:4" x14ac:dyDescent="0.25">
      <c r="A24" s="3" t="s">
        <v>20</v>
      </c>
      <c r="B24" s="3" t="str">
        <f>VLOOKUP($A24,'P&amp;L_Standalone'!A:C,2,0)</f>
        <v>Items that will not be reclassified to Profit or Loss</v>
      </c>
      <c r="C24" s="3">
        <f>VLOOKUP($A24,'P&amp;L_Standalone'!A:C,3,0)</f>
        <v>22293</v>
      </c>
    </row>
    <row r="25" spans="1:4" x14ac:dyDescent="0.25">
      <c r="A25" s="3" t="s">
        <v>21</v>
      </c>
      <c r="B25" s="3" t="str">
        <f>VLOOKUP($A25,'P&amp;L_Standalone'!A:C,2,0)</f>
        <v>Items that will not be reclassified to Profit or Loss</v>
      </c>
      <c r="C25" s="3">
        <f>VLOOKUP($A25,'P&amp;L_Standalone'!A:C,3,0)</f>
        <v>22293</v>
      </c>
    </row>
    <row r="26" spans="1:4" x14ac:dyDescent="0.25">
      <c r="A26" s="1" t="s">
        <v>22</v>
      </c>
      <c r="B26" s="1"/>
      <c r="C26" s="1"/>
      <c r="D26" t="s">
        <v>162</v>
      </c>
    </row>
    <row r="27" spans="1:4" x14ac:dyDescent="0.25">
      <c r="A27" s="1" t="s">
        <v>23</v>
      </c>
      <c r="B27" s="1" t="s">
        <v>163</v>
      </c>
      <c r="C27" s="2">
        <v>22294</v>
      </c>
    </row>
    <row r="28" spans="1:4" x14ac:dyDescent="0.25">
      <c r="A28" s="1" t="s">
        <v>24</v>
      </c>
      <c r="B28" s="1" t="str">
        <f>VLOOKUP($A28,'P&amp;L_Standalone'!A:C,2,0)</f>
        <v>Other Comprehensive Income</v>
      </c>
      <c r="C28" s="1">
        <f>VLOOKUP($A28,'P&amp;L_Standalone'!A:C,3,0)</f>
        <v>16484</v>
      </c>
    </row>
    <row r="29" spans="1:4" x14ac:dyDescent="0.25">
      <c r="A29" s="1" t="s">
        <v>120</v>
      </c>
      <c r="B29" s="1" t="str">
        <f>VLOOKUP($A29,'P&amp;L_Standalone'!A:C,2,0)</f>
        <v>Total Comprehensive Gain (Loss) For the Year</v>
      </c>
      <c r="C29" s="1">
        <f>VLOOKUP($A29,'P&amp;L_Standalone'!A:C,3,0)</f>
        <v>20019</v>
      </c>
    </row>
    <row r="30" spans="1:4" x14ac:dyDescent="0.25">
      <c r="A30" s="1" t="s">
        <v>121</v>
      </c>
      <c r="B30" s="1" t="s">
        <v>161</v>
      </c>
      <c r="C30" s="2">
        <v>282</v>
      </c>
    </row>
    <row r="31" spans="1:4" x14ac:dyDescent="0.25">
      <c r="A31" s="1" t="s">
        <v>25</v>
      </c>
      <c r="B31" s="1" t="str">
        <f>VLOOKUP($A31,'P&amp;L_Standalone'!A:C,2,0)</f>
        <v>Reserve excluding Revaluation Reserves (as per Balance Sheet of Previous Accounting Year)</v>
      </c>
      <c r="C31" s="1">
        <f>VLOOKUP($A31,'P&amp;L_Standalone'!A:C,3,0)</f>
        <v>309</v>
      </c>
    </row>
    <row r="32" spans="1:4" x14ac:dyDescent="0.25">
      <c r="A32" s="1" t="s">
        <v>122</v>
      </c>
      <c r="B32" s="1"/>
      <c r="C32" s="1"/>
    </row>
    <row r="33" spans="1:3" x14ac:dyDescent="0.25">
      <c r="A33" s="1" t="s">
        <v>26</v>
      </c>
      <c r="B33" s="1" t="str">
        <f>VLOOKUP($A33,'P&amp;L_Standalone'!A:C,2,0)</f>
        <v>Basic EPS</v>
      </c>
      <c r="C33" s="1">
        <f>VLOOKUP($A33,'P&amp;L_Standalone'!A:C,3,0)</f>
        <v>222</v>
      </c>
    </row>
    <row r="34" spans="1:3" x14ac:dyDescent="0.25">
      <c r="A34" s="1" t="s">
        <v>27</v>
      </c>
      <c r="B34" s="1" t="str">
        <f>VLOOKUP($A34,'P&amp;L_Standalone'!A:C,2,0)</f>
        <v>Diluted EPS</v>
      </c>
      <c r="C34" s="1">
        <f>VLOOKUP($A34,'P&amp;L_Standalone'!A:C,3,0)</f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9"/>
  <sheetViews>
    <sheetView workbookViewId="0">
      <selection activeCell="B2" sqref="B2"/>
    </sheetView>
  </sheetViews>
  <sheetFormatPr defaultRowHeight="15" x14ac:dyDescent="0.25"/>
  <cols>
    <col min="1" max="1" width="58" customWidth="1"/>
    <col min="2" max="2" width="32.85546875" bestFit="1" customWidth="1"/>
    <col min="3" max="3" width="7.5703125" bestFit="1" customWidth="1"/>
  </cols>
  <sheetData>
    <row r="1" spans="1:4" x14ac:dyDescent="0.25">
      <c r="A1" s="4" t="s">
        <v>149</v>
      </c>
      <c r="B1" s="4" t="s">
        <v>150</v>
      </c>
      <c r="C1" s="4" t="s">
        <v>151</v>
      </c>
    </row>
    <row r="2" spans="1:4" x14ac:dyDescent="0.25">
      <c r="A2" s="1" t="s">
        <v>31</v>
      </c>
      <c r="B2" s="1"/>
      <c r="C2" s="1"/>
      <c r="D2" t="s">
        <v>148</v>
      </c>
    </row>
    <row r="3" spans="1:4" x14ac:dyDescent="0.25">
      <c r="A3" s="1" t="s">
        <v>32</v>
      </c>
      <c r="B3" s="1"/>
      <c r="C3" s="1"/>
      <c r="D3" t="s">
        <v>148</v>
      </c>
    </row>
    <row r="4" spans="1:4" x14ac:dyDescent="0.25">
      <c r="A4" s="1" t="s">
        <v>123</v>
      </c>
      <c r="B4" s="1" t="s">
        <v>164</v>
      </c>
      <c r="C4" s="1">
        <v>20222</v>
      </c>
    </row>
    <row r="5" spans="1:4" x14ac:dyDescent="0.25">
      <c r="A5" s="1" t="s">
        <v>33</v>
      </c>
      <c r="B5" s="1" t="s">
        <v>165</v>
      </c>
      <c r="C5" s="1">
        <v>13720</v>
      </c>
    </row>
    <row r="6" spans="1:4" x14ac:dyDescent="0.25">
      <c r="A6" s="1" t="s">
        <v>113</v>
      </c>
      <c r="B6" s="1" t="s">
        <v>34</v>
      </c>
      <c r="C6" s="1">
        <v>25736</v>
      </c>
    </row>
    <row r="7" spans="1:4" x14ac:dyDescent="0.25">
      <c r="A7" s="1" t="s">
        <v>35</v>
      </c>
      <c r="B7" s="1" t="s">
        <v>166</v>
      </c>
      <c r="C7" s="1">
        <v>20221</v>
      </c>
    </row>
    <row r="8" spans="1:4" x14ac:dyDescent="0.25">
      <c r="A8" s="1" t="s">
        <v>36</v>
      </c>
      <c r="B8" s="1" t="s">
        <v>167</v>
      </c>
      <c r="C8" s="1">
        <v>30342</v>
      </c>
    </row>
    <row r="9" spans="1:4" x14ac:dyDescent="0.25">
      <c r="A9" s="3" t="s">
        <v>134</v>
      </c>
      <c r="B9" s="3" t="s">
        <v>168</v>
      </c>
      <c r="C9" s="3">
        <v>13748</v>
      </c>
    </row>
    <row r="10" spans="1:4" x14ac:dyDescent="0.25">
      <c r="A10" s="1" t="s">
        <v>37</v>
      </c>
      <c r="B10" s="1"/>
      <c r="C10" s="1"/>
    </row>
    <row r="11" spans="1:4" x14ac:dyDescent="0.25">
      <c r="A11" s="3" t="s">
        <v>38</v>
      </c>
      <c r="B11" s="3" t="s">
        <v>168</v>
      </c>
      <c r="C11" s="3">
        <v>13748</v>
      </c>
    </row>
    <row r="12" spans="1:4" x14ac:dyDescent="0.25">
      <c r="A12" s="1" t="s">
        <v>39</v>
      </c>
      <c r="B12" s="1" t="s">
        <v>169</v>
      </c>
      <c r="C12" s="1">
        <v>20216</v>
      </c>
    </row>
    <row r="13" spans="1:4" x14ac:dyDescent="0.25">
      <c r="A13" s="1" t="s">
        <v>28</v>
      </c>
      <c r="B13" s="1" t="s">
        <v>170</v>
      </c>
      <c r="C13" s="1">
        <v>13726</v>
      </c>
    </row>
    <row r="14" spans="1:4" x14ac:dyDescent="0.25">
      <c r="A14" s="1" t="s">
        <v>29</v>
      </c>
      <c r="B14" s="1" t="s">
        <v>29</v>
      </c>
      <c r="C14" s="1">
        <v>20215</v>
      </c>
    </row>
    <row r="15" spans="1:4" x14ac:dyDescent="0.25">
      <c r="A15" s="1" t="s">
        <v>40</v>
      </c>
      <c r="B15" s="1" t="s">
        <v>171</v>
      </c>
      <c r="C15" s="1">
        <v>13753</v>
      </c>
    </row>
    <row r="16" spans="1:4" x14ac:dyDescent="0.25">
      <c r="A16" s="1" t="s">
        <v>41</v>
      </c>
      <c r="B16" s="1"/>
      <c r="C16" s="1"/>
      <c r="D16" t="s">
        <v>148</v>
      </c>
    </row>
    <row r="17" spans="1:4" x14ac:dyDescent="0.25">
      <c r="A17" s="1" t="s">
        <v>42</v>
      </c>
      <c r="B17" s="1" t="s">
        <v>42</v>
      </c>
      <c r="C17" s="1">
        <v>13737</v>
      </c>
    </row>
    <row r="18" spans="1:4" x14ac:dyDescent="0.25">
      <c r="A18" s="1" t="s">
        <v>37</v>
      </c>
      <c r="B18" s="1"/>
      <c r="C18" s="1"/>
      <c r="D18" t="s">
        <v>148</v>
      </c>
    </row>
    <row r="19" spans="1:4" x14ac:dyDescent="0.25">
      <c r="A19" s="1" t="s">
        <v>38</v>
      </c>
      <c r="B19" s="1" t="s">
        <v>186</v>
      </c>
      <c r="C19" s="2">
        <v>13724</v>
      </c>
    </row>
    <row r="20" spans="1:4" x14ac:dyDescent="0.25">
      <c r="A20" s="1" t="s">
        <v>43</v>
      </c>
      <c r="B20" s="1" t="s">
        <v>187</v>
      </c>
      <c r="C20" s="2">
        <v>13780</v>
      </c>
    </row>
    <row r="21" spans="1:4" x14ac:dyDescent="0.25">
      <c r="A21" s="1" t="s">
        <v>44</v>
      </c>
      <c r="B21" s="1" t="s">
        <v>172</v>
      </c>
      <c r="C21" s="1">
        <v>13722</v>
      </c>
    </row>
    <row r="22" spans="1:4" x14ac:dyDescent="0.25">
      <c r="A22" s="1" t="s">
        <v>124</v>
      </c>
      <c r="B22" s="1" t="s">
        <v>188</v>
      </c>
      <c r="C22" s="2">
        <v>29788</v>
      </c>
    </row>
    <row r="23" spans="1:4" x14ac:dyDescent="0.25">
      <c r="A23" s="1" t="s">
        <v>39</v>
      </c>
      <c r="B23" s="1" t="s">
        <v>189</v>
      </c>
      <c r="C23" s="2">
        <v>20231</v>
      </c>
    </row>
    <row r="24" spans="1:4" x14ac:dyDescent="0.25">
      <c r="A24" s="1" t="s">
        <v>45</v>
      </c>
      <c r="B24" s="1" t="s">
        <v>173</v>
      </c>
      <c r="C24" s="1">
        <v>13750</v>
      </c>
    </row>
    <row r="25" spans="1:4" x14ac:dyDescent="0.25">
      <c r="A25" s="1" t="s">
        <v>30</v>
      </c>
      <c r="B25" s="1" t="s">
        <v>30</v>
      </c>
      <c r="C25" s="2">
        <v>20208</v>
      </c>
    </row>
    <row r="26" spans="1:4" x14ac:dyDescent="0.25">
      <c r="A26" s="1" t="s">
        <v>46</v>
      </c>
      <c r="B26" s="1" t="s">
        <v>174</v>
      </c>
      <c r="C26" s="1">
        <v>13771</v>
      </c>
    </row>
    <row r="27" spans="1:4" x14ac:dyDescent="0.25">
      <c r="A27" s="1" t="s">
        <v>47</v>
      </c>
      <c r="B27" s="1"/>
      <c r="C27" s="1"/>
      <c r="D27" t="s">
        <v>148</v>
      </c>
    </row>
    <row r="28" spans="1:4" x14ac:dyDescent="0.25">
      <c r="A28" s="1" t="s">
        <v>48</v>
      </c>
      <c r="B28" s="1"/>
      <c r="C28" s="1"/>
      <c r="D28" t="s">
        <v>148</v>
      </c>
    </row>
    <row r="29" spans="1:4" x14ac:dyDescent="0.25">
      <c r="A29" s="1" t="s">
        <v>49</v>
      </c>
      <c r="B29" s="1" t="s">
        <v>175</v>
      </c>
      <c r="C29" s="1">
        <v>13765</v>
      </c>
    </row>
    <row r="30" spans="1:4" x14ac:dyDescent="0.25">
      <c r="A30" s="1" t="s">
        <v>50</v>
      </c>
      <c r="B30" s="1" t="s">
        <v>50</v>
      </c>
      <c r="C30" s="2">
        <v>13768</v>
      </c>
    </row>
    <row r="31" spans="1:4" x14ac:dyDescent="0.25">
      <c r="A31" s="1" t="s">
        <v>51</v>
      </c>
      <c r="B31" s="1" t="s">
        <v>176</v>
      </c>
      <c r="C31" s="1">
        <v>13762</v>
      </c>
    </row>
    <row r="32" spans="1:4" x14ac:dyDescent="0.25">
      <c r="A32" s="1" t="s">
        <v>52</v>
      </c>
      <c r="B32" s="1" t="s">
        <v>177</v>
      </c>
      <c r="C32" s="1">
        <v>13773</v>
      </c>
    </row>
    <row r="33" spans="1:4" x14ac:dyDescent="0.25">
      <c r="A33" s="1" t="s">
        <v>53</v>
      </c>
      <c r="B33" s="1"/>
      <c r="C33" s="1"/>
      <c r="D33" t="s">
        <v>148</v>
      </c>
    </row>
    <row r="34" spans="1:4" x14ac:dyDescent="0.25">
      <c r="A34" s="1" t="s">
        <v>54</v>
      </c>
      <c r="B34" s="1"/>
      <c r="C34" s="1"/>
      <c r="D34" t="s">
        <v>148</v>
      </c>
    </row>
    <row r="35" spans="1:4" x14ac:dyDescent="0.25">
      <c r="A35" s="1" t="s">
        <v>55</v>
      </c>
      <c r="B35" s="1"/>
      <c r="C35" s="1"/>
      <c r="D35" t="s">
        <v>148</v>
      </c>
    </row>
    <row r="36" spans="1:4" x14ac:dyDescent="0.25">
      <c r="A36" s="1" t="s">
        <v>56</v>
      </c>
      <c r="B36" s="1" t="s">
        <v>178</v>
      </c>
      <c r="C36" s="1">
        <v>30340</v>
      </c>
    </row>
    <row r="37" spans="1:4" x14ac:dyDescent="0.25">
      <c r="A37" s="1" t="s">
        <v>57</v>
      </c>
      <c r="B37" s="1" t="s">
        <v>179</v>
      </c>
      <c r="C37" s="1">
        <v>13743</v>
      </c>
    </row>
    <row r="38" spans="1:4" x14ac:dyDescent="0.25">
      <c r="A38" s="1" t="s">
        <v>58</v>
      </c>
      <c r="B38" s="1" t="s">
        <v>180</v>
      </c>
      <c r="C38" s="1">
        <v>26449</v>
      </c>
    </row>
    <row r="39" spans="1:4" x14ac:dyDescent="0.25">
      <c r="A39" s="1" t="s">
        <v>59</v>
      </c>
      <c r="B39" s="1"/>
      <c r="C39" s="1"/>
      <c r="D39" t="s">
        <v>148</v>
      </c>
    </row>
    <row r="40" spans="1:4" x14ac:dyDescent="0.25">
      <c r="A40" s="1" t="s">
        <v>55</v>
      </c>
      <c r="B40" s="1"/>
      <c r="C40" s="1"/>
      <c r="D40" t="s">
        <v>148</v>
      </c>
    </row>
    <row r="41" spans="1:4" x14ac:dyDescent="0.25">
      <c r="A41" s="1" t="s">
        <v>60</v>
      </c>
      <c r="B41" s="1"/>
      <c r="C41" s="1"/>
      <c r="D41" t="s">
        <v>148</v>
      </c>
    </row>
    <row r="42" spans="1:4" x14ac:dyDescent="0.25">
      <c r="A42" s="3" t="s">
        <v>61</v>
      </c>
      <c r="B42" s="3" t="s">
        <v>181</v>
      </c>
      <c r="C42" s="3">
        <v>13779</v>
      </c>
    </row>
    <row r="43" spans="1:4" x14ac:dyDescent="0.25">
      <c r="A43" s="3" t="s">
        <v>114</v>
      </c>
      <c r="B43" s="3" t="s">
        <v>181</v>
      </c>
      <c r="C43" s="3">
        <v>13779</v>
      </c>
    </row>
    <row r="44" spans="1:4" x14ac:dyDescent="0.25">
      <c r="A44" s="1" t="s">
        <v>63</v>
      </c>
      <c r="B44" s="1" t="s">
        <v>182</v>
      </c>
      <c r="C44" s="1">
        <v>20214</v>
      </c>
    </row>
    <row r="45" spans="1:4" x14ac:dyDescent="0.25">
      <c r="A45" s="1" t="s">
        <v>57</v>
      </c>
      <c r="B45" s="1" t="s">
        <v>190</v>
      </c>
      <c r="C45" s="2">
        <v>20213</v>
      </c>
    </row>
    <row r="46" spans="1:4" x14ac:dyDescent="0.25">
      <c r="A46" s="1" t="s">
        <v>64</v>
      </c>
      <c r="B46" s="1" t="s">
        <v>183</v>
      </c>
      <c r="C46" s="1">
        <v>26450</v>
      </c>
    </row>
    <row r="47" spans="1:4" x14ac:dyDescent="0.25">
      <c r="A47" s="1" t="s">
        <v>65</v>
      </c>
      <c r="B47" s="1" t="s">
        <v>184</v>
      </c>
      <c r="C47" s="1">
        <v>20211</v>
      </c>
    </row>
    <row r="48" spans="1:4" x14ac:dyDescent="0.25">
      <c r="A48" s="1" t="s">
        <v>66</v>
      </c>
      <c r="B48" s="1"/>
      <c r="C48" s="1"/>
      <c r="D48" t="s">
        <v>148</v>
      </c>
    </row>
    <row r="49" spans="1:3" x14ac:dyDescent="0.25">
      <c r="A49" s="1" t="s">
        <v>67</v>
      </c>
      <c r="B49" s="1" t="s">
        <v>185</v>
      </c>
      <c r="C49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8"/>
  <sheetViews>
    <sheetView workbookViewId="0">
      <selection activeCell="B2" sqref="B2"/>
    </sheetView>
  </sheetViews>
  <sheetFormatPr defaultRowHeight="15" x14ac:dyDescent="0.25"/>
  <cols>
    <col min="1" max="1" width="47.85546875" customWidth="1"/>
    <col min="2" max="2" width="46.7109375" bestFit="1" customWidth="1"/>
  </cols>
  <sheetData>
    <row r="1" spans="1:4" x14ac:dyDescent="0.25">
      <c r="A1" s="4" t="s">
        <v>149</v>
      </c>
      <c r="B1" s="4" t="s">
        <v>150</v>
      </c>
      <c r="C1" s="4" t="s">
        <v>151</v>
      </c>
    </row>
    <row r="2" spans="1:4" x14ac:dyDescent="0.25">
      <c r="A2" s="1" t="s">
        <v>31</v>
      </c>
      <c r="B2" s="1"/>
      <c r="C2" s="1"/>
      <c r="D2" t="s">
        <v>148</v>
      </c>
    </row>
    <row r="3" spans="1:4" x14ac:dyDescent="0.25">
      <c r="A3" s="1" t="s">
        <v>32</v>
      </c>
      <c r="B3" s="1"/>
      <c r="C3" s="1"/>
      <c r="D3" t="s">
        <v>148</v>
      </c>
    </row>
    <row r="4" spans="1:4" x14ac:dyDescent="0.25">
      <c r="A4" s="1" t="s">
        <v>123</v>
      </c>
      <c r="B4" s="1" t="s">
        <v>164</v>
      </c>
      <c r="C4" s="1">
        <v>20222</v>
      </c>
    </row>
    <row r="5" spans="1:4" x14ac:dyDescent="0.25">
      <c r="A5" s="1" t="s">
        <v>33</v>
      </c>
      <c r="B5" s="1" t="s">
        <v>165</v>
      </c>
      <c r="C5" s="1">
        <v>13720</v>
      </c>
    </row>
    <row r="6" spans="1:4" x14ac:dyDescent="0.25">
      <c r="A6" s="1" t="s">
        <v>34</v>
      </c>
      <c r="B6" s="1" t="s">
        <v>34</v>
      </c>
      <c r="C6" s="1">
        <v>25736</v>
      </c>
    </row>
    <row r="7" spans="1:4" x14ac:dyDescent="0.25">
      <c r="A7" s="1" t="s">
        <v>35</v>
      </c>
      <c r="B7" s="1" t="s">
        <v>166</v>
      </c>
      <c r="C7" s="1">
        <v>20221</v>
      </c>
    </row>
    <row r="8" spans="1:4" x14ac:dyDescent="0.25">
      <c r="A8" s="1" t="s">
        <v>36</v>
      </c>
      <c r="B8" s="1" t="s">
        <v>167</v>
      </c>
      <c r="C8" s="1">
        <v>30342</v>
      </c>
    </row>
    <row r="9" spans="1:4" x14ac:dyDescent="0.25">
      <c r="A9" s="1" t="s">
        <v>37</v>
      </c>
      <c r="B9" s="1"/>
      <c r="C9" s="1"/>
      <c r="D9" t="s">
        <v>148</v>
      </c>
    </row>
    <row r="10" spans="1:4" x14ac:dyDescent="0.25">
      <c r="A10" s="1" t="s">
        <v>38</v>
      </c>
      <c r="B10" s="1" t="s">
        <v>168</v>
      </c>
      <c r="C10" s="1">
        <v>13748</v>
      </c>
    </row>
    <row r="11" spans="1:4" x14ac:dyDescent="0.25">
      <c r="A11" s="1" t="s">
        <v>39</v>
      </c>
      <c r="B11" s="1" t="s">
        <v>169</v>
      </c>
      <c r="C11" s="1">
        <v>20216</v>
      </c>
    </row>
    <row r="12" spans="1:4" x14ac:dyDescent="0.25">
      <c r="A12" s="1" t="s">
        <v>28</v>
      </c>
      <c r="B12" s="1" t="s">
        <v>170</v>
      </c>
      <c r="C12" s="1">
        <v>13726</v>
      </c>
    </row>
    <row r="13" spans="1:4" x14ac:dyDescent="0.25">
      <c r="A13" s="1" t="s">
        <v>29</v>
      </c>
      <c r="B13" s="1" t="s">
        <v>29</v>
      </c>
      <c r="C13" s="1">
        <v>20215</v>
      </c>
    </row>
    <row r="14" spans="1:4" x14ac:dyDescent="0.25">
      <c r="A14" s="1" t="s">
        <v>40</v>
      </c>
      <c r="B14" s="1" t="s">
        <v>171</v>
      </c>
      <c r="C14" s="1">
        <v>13753</v>
      </c>
    </row>
    <row r="15" spans="1:4" x14ac:dyDescent="0.25">
      <c r="A15" s="1" t="s">
        <v>41</v>
      </c>
      <c r="B15" s="1"/>
      <c r="C15" s="1"/>
      <c r="D15" t="s">
        <v>148</v>
      </c>
    </row>
    <row r="16" spans="1:4" x14ac:dyDescent="0.25">
      <c r="A16" s="1" t="s">
        <v>42</v>
      </c>
      <c r="B16" s="1" t="s">
        <v>42</v>
      </c>
      <c r="C16" s="1">
        <v>13737</v>
      </c>
    </row>
    <row r="17" spans="1:4" x14ac:dyDescent="0.25">
      <c r="A17" s="1" t="s">
        <v>37</v>
      </c>
      <c r="B17" s="1"/>
      <c r="C17" s="1"/>
      <c r="D17" t="s">
        <v>148</v>
      </c>
    </row>
    <row r="18" spans="1:4" x14ac:dyDescent="0.25">
      <c r="A18" s="1" t="s">
        <v>38</v>
      </c>
      <c r="B18" s="1" t="s">
        <v>186</v>
      </c>
      <c r="C18" s="2">
        <v>13724</v>
      </c>
    </row>
    <row r="19" spans="1:4" x14ac:dyDescent="0.25">
      <c r="A19" s="1" t="s">
        <v>43</v>
      </c>
      <c r="B19" s="1" t="s">
        <v>187</v>
      </c>
      <c r="C19" s="1">
        <v>13780</v>
      </c>
    </row>
    <row r="20" spans="1:4" x14ac:dyDescent="0.25">
      <c r="A20" s="1" t="s">
        <v>44</v>
      </c>
      <c r="B20" s="1" t="s">
        <v>172</v>
      </c>
      <c r="C20" s="1">
        <v>13722</v>
      </c>
    </row>
    <row r="21" spans="1:4" x14ac:dyDescent="0.25">
      <c r="A21" s="1" t="s">
        <v>124</v>
      </c>
      <c r="B21" s="1" t="s">
        <v>188</v>
      </c>
      <c r="C21" s="1">
        <v>29788</v>
      </c>
    </row>
    <row r="22" spans="1:4" x14ac:dyDescent="0.25">
      <c r="A22" s="1" t="s">
        <v>39</v>
      </c>
      <c r="B22" s="1" t="s">
        <v>189</v>
      </c>
      <c r="C22" s="2">
        <v>20231</v>
      </c>
    </row>
    <row r="23" spans="1:4" x14ac:dyDescent="0.25">
      <c r="A23" s="1" t="s">
        <v>45</v>
      </c>
      <c r="B23" s="1" t="s">
        <v>173</v>
      </c>
      <c r="C23" s="1">
        <v>13750</v>
      </c>
    </row>
    <row r="24" spans="1:4" x14ac:dyDescent="0.25">
      <c r="A24" s="1" t="s">
        <v>30</v>
      </c>
      <c r="B24" s="1" t="s">
        <v>30</v>
      </c>
      <c r="C24" s="1">
        <v>20208</v>
      </c>
    </row>
    <row r="25" spans="1:4" x14ac:dyDescent="0.25">
      <c r="A25" s="1" t="s">
        <v>46</v>
      </c>
      <c r="B25" s="1" t="s">
        <v>174</v>
      </c>
      <c r="C25" s="1">
        <v>13771</v>
      </c>
    </row>
    <row r="26" spans="1:4" x14ac:dyDescent="0.25">
      <c r="A26" s="1" t="s">
        <v>47</v>
      </c>
      <c r="B26" s="1"/>
      <c r="C26" s="1"/>
      <c r="D26" t="s">
        <v>148</v>
      </c>
    </row>
    <row r="27" spans="1:4" x14ac:dyDescent="0.25">
      <c r="A27" s="1" t="s">
        <v>48</v>
      </c>
      <c r="B27" s="1"/>
      <c r="C27" s="1"/>
      <c r="D27" t="s">
        <v>148</v>
      </c>
    </row>
    <row r="28" spans="1:4" x14ac:dyDescent="0.25">
      <c r="A28" s="1" t="s">
        <v>49</v>
      </c>
      <c r="B28" s="1" t="s">
        <v>175</v>
      </c>
      <c r="C28" s="1">
        <v>13765</v>
      </c>
    </row>
    <row r="29" spans="1:4" x14ac:dyDescent="0.25">
      <c r="A29" s="1" t="s">
        <v>50</v>
      </c>
      <c r="B29" s="1" t="s">
        <v>50</v>
      </c>
      <c r="C29" s="1">
        <v>13768</v>
      </c>
    </row>
    <row r="30" spans="1:4" x14ac:dyDescent="0.25">
      <c r="A30" s="1" t="s">
        <v>51</v>
      </c>
      <c r="B30" s="1" t="s">
        <v>176</v>
      </c>
      <c r="C30" s="1">
        <v>13762</v>
      </c>
    </row>
    <row r="31" spans="1:4" x14ac:dyDescent="0.25">
      <c r="A31" s="1" t="s">
        <v>52</v>
      </c>
      <c r="B31" s="1" t="s">
        <v>177</v>
      </c>
      <c r="C31" s="1">
        <v>13773</v>
      </c>
    </row>
    <row r="32" spans="1:4" x14ac:dyDescent="0.25">
      <c r="A32" s="1" t="s">
        <v>53</v>
      </c>
      <c r="B32" s="1"/>
      <c r="C32" s="1"/>
      <c r="D32" t="s">
        <v>148</v>
      </c>
    </row>
    <row r="33" spans="1:4" x14ac:dyDescent="0.25">
      <c r="A33" s="1" t="s">
        <v>54</v>
      </c>
      <c r="B33" s="1"/>
      <c r="C33" s="1"/>
      <c r="D33" t="s">
        <v>148</v>
      </c>
    </row>
    <row r="34" spans="1:4" x14ac:dyDescent="0.25">
      <c r="A34" s="1" t="s">
        <v>55</v>
      </c>
      <c r="B34" s="1"/>
      <c r="C34" s="1"/>
      <c r="D34" t="s">
        <v>148</v>
      </c>
    </row>
    <row r="35" spans="1:4" x14ac:dyDescent="0.25">
      <c r="A35" s="1" t="s">
        <v>56</v>
      </c>
      <c r="B35" s="1" t="s">
        <v>178</v>
      </c>
      <c r="C35" s="1">
        <v>30340</v>
      </c>
      <c r="D35" t="s">
        <v>148</v>
      </c>
    </row>
    <row r="36" spans="1:4" x14ac:dyDescent="0.25">
      <c r="A36" s="1" t="s">
        <v>57</v>
      </c>
      <c r="B36" s="1" t="s">
        <v>179</v>
      </c>
      <c r="C36" s="1">
        <v>13743</v>
      </c>
    </row>
    <row r="37" spans="1:4" x14ac:dyDescent="0.25">
      <c r="A37" s="1" t="s">
        <v>58</v>
      </c>
      <c r="B37" s="1" t="s">
        <v>180</v>
      </c>
      <c r="C37" s="1">
        <v>26449</v>
      </c>
    </row>
    <row r="38" spans="1:4" x14ac:dyDescent="0.25">
      <c r="A38" s="1" t="s">
        <v>59</v>
      </c>
      <c r="B38" s="1"/>
      <c r="C38" s="1"/>
      <c r="D38" t="s">
        <v>148</v>
      </c>
    </row>
    <row r="39" spans="1:4" x14ac:dyDescent="0.25">
      <c r="A39" s="1" t="s">
        <v>55</v>
      </c>
      <c r="B39" s="1"/>
      <c r="C39" s="1"/>
      <c r="D39" t="s">
        <v>148</v>
      </c>
    </row>
    <row r="40" spans="1:4" x14ac:dyDescent="0.25">
      <c r="A40" s="1" t="s">
        <v>60</v>
      </c>
      <c r="B40" s="1"/>
      <c r="C40" s="1"/>
    </row>
    <row r="41" spans="1:4" x14ac:dyDescent="0.25">
      <c r="A41" s="3" t="s">
        <v>61</v>
      </c>
      <c r="B41" s="3" t="s">
        <v>181</v>
      </c>
      <c r="C41" s="3">
        <v>20227</v>
      </c>
    </row>
    <row r="42" spans="1:4" x14ac:dyDescent="0.25">
      <c r="A42" s="3" t="s">
        <v>62</v>
      </c>
      <c r="B42" s="3" t="s">
        <v>181</v>
      </c>
      <c r="C42" s="3">
        <v>20227</v>
      </c>
    </row>
    <row r="43" spans="1:4" x14ac:dyDescent="0.25">
      <c r="A43" s="1" t="s">
        <v>63</v>
      </c>
      <c r="B43" s="1" t="s">
        <v>182</v>
      </c>
      <c r="C43" s="1">
        <v>20214</v>
      </c>
    </row>
    <row r="44" spans="1:4" x14ac:dyDescent="0.25">
      <c r="A44" s="1" t="s">
        <v>57</v>
      </c>
      <c r="B44" s="1" t="s">
        <v>190</v>
      </c>
      <c r="C44" s="2">
        <v>20213</v>
      </c>
    </row>
    <row r="45" spans="1:4" x14ac:dyDescent="0.25">
      <c r="A45" s="1" t="s">
        <v>64</v>
      </c>
      <c r="B45" s="1" t="s">
        <v>183</v>
      </c>
      <c r="C45" s="1">
        <v>26450</v>
      </c>
      <c r="D45" t="s">
        <v>148</v>
      </c>
    </row>
    <row r="46" spans="1:4" x14ac:dyDescent="0.25">
      <c r="A46" s="1" t="s">
        <v>65</v>
      </c>
      <c r="B46" s="1" t="s">
        <v>184</v>
      </c>
      <c r="C46" s="1">
        <v>20211</v>
      </c>
    </row>
    <row r="47" spans="1:4" x14ac:dyDescent="0.25">
      <c r="A47" s="1" t="s">
        <v>66</v>
      </c>
      <c r="B47" s="1"/>
      <c r="C47" s="1"/>
      <c r="D47" t="s">
        <v>148</v>
      </c>
    </row>
    <row r="48" spans="1:4" x14ac:dyDescent="0.25">
      <c r="A48" s="1" t="s">
        <v>67</v>
      </c>
      <c r="B48" s="1" t="s">
        <v>185</v>
      </c>
      <c r="C48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2"/>
  <sheetViews>
    <sheetView workbookViewId="0">
      <selection activeCell="B2" sqref="B2"/>
    </sheetView>
  </sheetViews>
  <sheetFormatPr defaultRowHeight="15" x14ac:dyDescent="0.25"/>
  <cols>
    <col min="1" max="1" width="49.85546875" customWidth="1"/>
    <col min="2" max="2" width="50.42578125" bestFit="1" customWidth="1"/>
  </cols>
  <sheetData>
    <row r="1" spans="1:4" x14ac:dyDescent="0.25">
      <c r="A1" s="4" t="s">
        <v>149</v>
      </c>
      <c r="B1" s="4" t="s">
        <v>150</v>
      </c>
      <c r="C1" s="4" t="s">
        <v>151</v>
      </c>
    </row>
    <row r="2" spans="1:4" x14ac:dyDescent="0.25">
      <c r="A2" s="1" t="s">
        <v>125</v>
      </c>
      <c r="B2" s="1"/>
      <c r="C2" s="1"/>
      <c r="D2" t="s">
        <v>148</v>
      </c>
    </row>
    <row r="3" spans="1:4" x14ac:dyDescent="0.25">
      <c r="A3" s="1" t="s">
        <v>68</v>
      </c>
      <c r="B3" s="1" t="s">
        <v>191</v>
      </c>
      <c r="C3" s="1">
        <v>17539</v>
      </c>
    </row>
    <row r="4" spans="1:4" x14ac:dyDescent="0.25">
      <c r="A4" s="1" t="s">
        <v>69</v>
      </c>
      <c r="B4" s="1"/>
      <c r="C4" s="1"/>
      <c r="D4" t="s">
        <v>203</v>
      </c>
    </row>
    <row r="5" spans="1:4" x14ac:dyDescent="0.25">
      <c r="A5" s="1" t="s">
        <v>70</v>
      </c>
      <c r="B5" s="1" t="s">
        <v>204</v>
      </c>
      <c r="C5" s="2">
        <v>30414</v>
      </c>
    </row>
    <row r="6" spans="1:4" x14ac:dyDescent="0.25">
      <c r="A6" s="1" t="s">
        <v>72</v>
      </c>
      <c r="B6" s="1" t="s">
        <v>205</v>
      </c>
      <c r="C6" s="2">
        <v>30407</v>
      </c>
    </row>
    <row r="7" spans="1:4" x14ac:dyDescent="0.25">
      <c r="A7" s="1" t="s">
        <v>73</v>
      </c>
      <c r="B7" s="1" t="s">
        <v>206</v>
      </c>
      <c r="C7" s="2">
        <v>30479</v>
      </c>
    </row>
    <row r="8" spans="1:4" x14ac:dyDescent="0.25">
      <c r="A8" s="1" t="s">
        <v>74</v>
      </c>
      <c r="B8" s="1" t="s">
        <v>207</v>
      </c>
      <c r="C8" s="2">
        <v>30411</v>
      </c>
    </row>
    <row r="9" spans="1:4" x14ac:dyDescent="0.25">
      <c r="A9" s="1" t="s">
        <v>75</v>
      </c>
      <c r="B9" s="1" t="s">
        <v>192</v>
      </c>
      <c r="C9" s="1">
        <v>30399</v>
      </c>
    </row>
    <row r="10" spans="1:4" x14ac:dyDescent="0.25">
      <c r="A10" s="1" t="s">
        <v>76</v>
      </c>
      <c r="B10" s="1" t="s">
        <v>193</v>
      </c>
      <c r="C10" s="1">
        <v>30481</v>
      </c>
    </row>
    <row r="11" spans="1:4" x14ac:dyDescent="0.25">
      <c r="A11" s="1" t="s">
        <v>77</v>
      </c>
      <c r="B11" s="1" t="s">
        <v>208</v>
      </c>
      <c r="C11" s="2">
        <v>30631</v>
      </c>
    </row>
    <row r="12" spans="1:4" x14ac:dyDescent="0.25">
      <c r="A12" s="1" t="s">
        <v>126</v>
      </c>
      <c r="B12" s="1" t="s">
        <v>209</v>
      </c>
      <c r="C12" s="2">
        <v>30576</v>
      </c>
    </row>
    <row r="13" spans="1:4" x14ac:dyDescent="0.25">
      <c r="A13" s="3" t="s">
        <v>78</v>
      </c>
      <c r="B13" s="3" t="s">
        <v>210</v>
      </c>
      <c r="C13" s="3">
        <v>30577</v>
      </c>
    </row>
    <row r="14" spans="1:4" x14ac:dyDescent="0.25">
      <c r="A14" s="3" t="s">
        <v>79</v>
      </c>
      <c r="B14" s="3" t="s">
        <v>210</v>
      </c>
      <c r="C14" s="3">
        <v>30577</v>
      </c>
    </row>
    <row r="15" spans="1:4" x14ac:dyDescent="0.25">
      <c r="A15" s="3" t="s">
        <v>80</v>
      </c>
      <c r="B15" s="3" t="s">
        <v>210</v>
      </c>
      <c r="C15" s="3">
        <v>30577</v>
      </c>
    </row>
    <row r="16" spans="1:4" x14ac:dyDescent="0.25">
      <c r="A16" s="1" t="s">
        <v>81</v>
      </c>
      <c r="B16" s="1" t="s">
        <v>194</v>
      </c>
      <c r="C16" s="1">
        <v>30511</v>
      </c>
    </row>
    <row r="17" spans="1:4" x14ac:dyDescent="0.25">
      <c r="A17" s="1" t="s">
        <v>82</v>
      </c>
      <c r="B17" s="1"/>
      <c r="C17" s="1"/>
      <c r="D17" t="s">
        <v>203</v>
      </c>
    </row>
    <row r="18" spans="1:4" x14ac:dyDescent="0.25">
      <c r="A18" s="1" t="s">
        <v>83</v>
      </c>
      <c r="B18" s="1" t="s">
        <v>195</v>
      </c>
      <c r="C18" s="1">
        <v>30674</v>
      </c>
    </row>
    <row r="19" spans="1:4" x14ac:dyDescent="0.25">
      <c r="A19" s="1" t="s">
        <v>84</v>
      </c>
      <c r="B19" s="1" t="s">
        <v>42</v>
      </c>
      <c r="C19" s="1">
        <v>30487</v>
      </c>
    </row>
    <row r="20" spans="1:4" x14ac:dyDescent="0.25">
      <c r="A20" s="1" t="s">
        <v>85</v>
      </c>
      <c r="B20" s="1" t="s">
        <v>211</v>
      </c>
      <c r="C20" s="2">
        <v>30452</v>
      </c>
    </row>
    <row r="21" spans="1:4" x14ac:dyDescent="0.25">
      <c r="A21" s="1" t="s">
        <v>86</v>
      </c>
      <c r="B21" s="1" t="s">
        <v>196</v>
      </c>
      <c r="C21" s="1">
        <v>0</v>
      </c>
    </row>
    <row r="22" spans="1:4" x14ac:dyDescent="0.25">
      <c r="A22" s="1" t="s">
        <v>87</v>
      </c>
      <c r="B22" s="1" t="s">
        <v>212</v>
      </c>
      <c r="C22" s="2">
        <v>30627</v>
      </c>
    </row>
    <row r="23" spans="1:4" x14ac:dyDescent="0.25">
      <c r="A23" s="1" t="s">
        <v>115</v>
      </c>
      <c r="B23" s="1" t="s">
        <v>197</v>
      </c>
      <c r="C23" s="1">
        <v>30675</v>
      </c>
    </row>
    <row r="24" spans="1:4" x14ac:dyDescent="0.25">
      <c r="A24" s="1" t="s">
        <v>116</v>
      </c>
      <c r="B24" s="1" t="s">
        <v>213</v>
      </c>
      <c r="C24" s="2">
        <v>30454</v>
      </c>
    </row>
    <row r="25" spans="1:4" x14ac:dyDescent="0.25">
      <c r="A25" s="1" t="s">
        <v>90</v>
      </c>
      <c r="B25" s="1" t="s">
        <v>214</v>
      </c>
      <c r="C25" s="2">
        <v>30519</v>
      </c>
    </row>
    <row r="26" spans="1:4" x14ac:dyDescent="0.25">
      <c r="A26" s="1" t="s">
        <v>91</v>
      </c>
      <c r="B26" s="1" t="s">
        <v>215</v>
      </c>
      <c r="C26" s="2">
        <v>30372</v>
      </c>
    </row>
    <row r="27" spans="1:4" x14ac:dyDescent="0.25">
      <c r="A27" s="1" t="s">
        <v>92</v>
      </c>
      <c r="B27" s="1" t="s">
        <v>216</v>
      </c>
      <c r="C27" s="2">
        <v>30422</v>
      </c>
    </row>
    <row r="28" spans="1:4" x14ac:dyDescent="0.25">
      <c r="A28" s="1" t="s">
        <v>93</v>
      </c>
      <c r="B28" s="1" t="s">
        <v>217</v>
      </c>
      <c r="C28" s="2">
        <v>17538</v>
      </c>
    </row>
    <row r="29" spans="1:4" x14ac:dyDescent="0.25">
      <c r="A29" s="1" t="s">
        <v>127</v>
      </c>
      <c r="B29" s="1"/>
      <c r="C29" s="1"/>
      <c r="D29" t="s">
        <v>148</v>
      </c>
    </row>
    <row r="30" spans="1:4" x14ac:dyDescent="0.25">
      <c r="A30" s="1" t="s">
        <v>128</v>
      </c>
      <c r="B30" s="1" t="s">
        <v>218</v>
      </c>
      <c r="C30" s="2">
        <v>17556</v>
      </c>
    </row>
    <row r="31" spans="1:4" x14ac:dyDescent="0.25">
      <c r="A31" s="1" t="s">
        <v>129</v>
      </c>
      <c r="B31" s="1" t="s">
        <v>198</v>
      </c>
      <c r="C31" s="1">
        <v>30662</v>
      </c>
    </row>
    <row r="32" spans="1:4" x14ac:dyDescent="0.25">
      <c r="A32" s="3" t="s">
        <v>94</v>
      </c>
      <c r="B32" s="3" t="s">
        <v>219</v>
      </c>
      <c r="C32" s="3">
        <v>30489</v>
      </c>
    </row>
    <row r="33" spans="1:4" x14ac:dyDescent="0.25">
      <c r="A33" s="3" t="s">
        <v>95</v>
      </c>
      <c r="B33" s="3" t="s">
        <v>219</v>
      </c>
      <c r="C33" s="3">
        <v>30489</v>
      </c>
    </row>
    <row r="34" spans="1:4" x14ac:dyDescent="0.25">
      <c r="A34" s="1" t="s">
        <v>96</v>
      </c>
      <c r="B34" s="1" t="s">
        <v>199</v>
      </c>
      <c r="C34" s="1">
        <v>17542</v>
      </c>
    </row>
    <row r="35" spans="1:4" x14ac:dyDescent="0.25">
      <c r="A35" s="1" t="s">
        <v>97</v>
      </c>
      <c r="B35" s="1" t="s">
        <v>220</v>
      </c>
      <c r="C35" s="2">
        <v>30412</v>
      </c>
    </row>
    <row r="36" spans="1:4" x14ac:dyDescent="0.25">
      <c r="A36" s="1" t="s">
        <v>98</v>
      </c>
      <c r="B36" s="1" t="s">
        <v>221</v>
      </c>
      <c r="C36" s="2">
        <v>30485</v>
      </c>
    </row>
    <row r="37" spans="1:4" x14ac:dyDescent="0.25">
      <c r="A37" s="1" t="s">
        <v>99</v>
      </c>
      <c r="B37" s="1" t="s">
        <v>222</v>
      </c>
      <c r="C37" s="2">
        <v>17537</v>
      </c>
    </row>
    <row r="38" spans="1:4" x14ac:dyDescent="0.25">
      <c r="A38" s="1" t="s">
        <v>130</v>
      </c>
      <c r="B38" s="1"/>
      <c r="C38" s="1"/>
      <c r="D38" t="s">
        <v>148</v>
      </c>
    </row>
    <row r="39" spans="1:4" x14ac:dyDescent="0.25">
      <c r="A39" s="1" t="s">
        <v>117</v>
      </c>
      <c r="B39" s="1" t="s">
        <v>200</v>
      </c>
      <c r="C39" s="1">
        <v>17528</v>
      </c>
    </row>
    <row r="40" spans="1:4" x14ac:dyDescent="0.25">
      <c r="A40" s="1" t="s">
        <v>100</v>
      </c>
      <c r="B40" s="1" t="s">
        <v>223</v>
      </c>
      <c r="C40" s="2">
        <v>30467</v>
      </c>
    </row>
    <row r="41" spans="1:4" x14ac:dyDescent="0.25">
      <c r="A41" s="1" t="s">
        <v>101</v>
      </c>
      <c r="B41" s="1" t="s">
        <v>224</v>
      </c>
      <c r="C41" s="2">
        <v>17553</v>
      </c>
    </row>
    <row r="42" spans="1:4" x14ac:dyDescent="0.25">
      <c r="A42" s="1" t="s">
        <v>102</v>
      </c>
      <c r="B42" s="1" t="s">
        <v>225</v>
      </c>
      <c r="C42" s="2">
        <v>17536</v>
      </c>
    </row>
    <row r="43" spans="1:4" x14ac:dyDescent="0.25">
      <c r="A43" s="1" t="s">
        <v>131</v>
      </c>
      <c r="B43" s="1" t="s">
        <v>226</v>
      </c>
      <c r="C43" s="2">
        <v>17541</v>
      </c>
    </row>
    <row r="44" spans="1:4" x14ac:dyDescent="0.25">
      <c r="A44" s="1" t="s">
        <v>103</v>
      </c>
      <c r="B44" s="1" t="s">
        <v>201</v>
      </c>
      <c r="C44" s="1">
        <v>17519</v>
      </c>
    </row>
    <row r="45" spans="1:4" x14ac:dyDescent="0.25">
      <c r="A45" s="1" t="s">
        <v>105</v>
      </c>
      <c r="B45" s="1" t="s">
        <v>202</v>
      </c>
      <c r="C45" s="1">
        <v>30371</v>
      </c>
    </row>
    <row r="46" spans="1:4" x14ac:dyDescent="0.25">
      <c r="A46" s="1" t="s">
        <v>106</v>
      </c>
      <c r="B46" s="1"/>
      <c r="C46" s="1"/>
    </row>
    <row r="47" spans="1:4" x14ac:dyDescent="0.25">
      <c r="A47" s="1" t="s">
        <v>107</v>
      </c>
      <c r="B47" s="1"/>
      <c r="C47" s="1"/>
    </row>
    <row r="48" spans="1:4" x14ac:dyDescent="0.25">
      <c r="A48" s="1" t="s">
        <v>108</v>
      </c>
      <c r="B48" s="1"/>
      <c r="C48" s="1"/>
    </row>
    <row r="49" spans="1:3" x14ac:dyDescent="0.25">
      <c r="A49" s="1" t="s">
        <v>109</v>
      </c>
      <c r="B49" s="1"/>
      <c r="C49" s="1"/>
    </row>
    <row r="50" spans="1:3" x14ac:dyDescent="0.25">
      <c r="A50" s="1" t="s">
        <v>110</v>
      </c>
      <c r="B50" s="1"/>
      <c r="C50" s="1"/>
    </row>
    <row r="51" spans="1:3" x14ac:dyDescent="0.25">
      <c r="A51" s="1" t="s">
        <v>111</v>
      </c>
      <c r="B51" s="1"/>
      <c r="C51" s="1"/>
    </row>
    <row r="52" spans="1:3" x14ac:dyDescent="0.25">
      <c r="A52" s="1" t="s">
        <v>112</v>
      </c>
      <c r="B52" s="1"/>
      <c r="C52" s="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4"/>
  <sheetViews>
    <sheetView workbookViewId="0">
      <selection activeCell="B9" sqref="B9"/>
    </sheetView>
  </sheetViews>
  <sheetFormatPr defaultRowHeight="15" x14ac:dyDescent="0.25"/>
  <cols>
    <col min="1" max="1" width="61.28515625" customWidth="1"/>
    <col min="2" max="2" width="51.5703125" customWidth="1"/>
    <col min="4" max="4" width="13.140625" customWidth="1"/>
  </cols>
  <sheetData>
    <row r="1" spans="1:4" x14ac:dyDescent="0.25">
      <c r="A1" s="4" t="s">
        <v>149</v>
      </c>
      <c r="B1" s="4" t="s">
        <v>150</v>
      </c>
      <c r="C1" s="4" t="s">
        <v>151</v>
      </c>
    </row>
    <row r="2" spans="1:4" x14ac:dyDescent="0.25">
      <c r="A2" s="1" t="s">
        <v>125</v>
      </c>
      <c r="B2" s="1"/>
      <c r="C2" s="1"/>
      <c r="D2" t="s">
        <v>148</v>
      </c>
    </row>
    <row r="3" spans="1:4" x14ac:dyDescent="0.25">
      <c r="A3" s="1" t="s">
        <v>68</v>
      </c>
      <c r="B3" s="1" t="s">
        <v>191</v>
      </c>
      <c r="C3" s="1">
        <v>17539</v>
      </c>
    </row>
    <row r="4" spans="1:4" x14ac:dyDescent="0.25">
      <c r="A4" s="1" t="s">
        <v>69</v>
      </c>
      <c r="B4" s="1"/>
      <c r="C4" s="1"/>
      <c r="D4" t="s">
        <v>203</v>
      </c>
    </row>
    <row r="5" spans="1:4" x14ac:dyDescent="0.25">
      <c r="A5" s="3" t="s">
        <v>70</v>
      </c>
      <c r="B5" s="3" t="s">
        <v>204</v>
      </c>
      <c r="C5" s="3">
        <v>30414</v>
      </c>
    </row>
    <row r="6" spans="1:4" x14ac:dyDescent="0.25">
      <c r="A6" s="3" t="s">
        <v>71</v>
      </c>
      <c r="B6" s="3" t="s">
        <v>204</v>
      </c>
      <c r="C6" s="3">
        <v>30414</v>
      </c>
    </row>
    <row r="7" spans="1:4" x14ac:dyDescent="0.25">
      <c r="A7" s="1" t="s">
        <v>72</v>
      </c>
      <c r="B7" s="1" t="s">
        <v>205</v>
      </c>
      <c r="C7" s="1">
        <v>30407</v>
      </c>
    </row>
    <row r="8" spans="1:4" x14ac:dyDescent="0.25">
      <c r="A8" s="1" t="s">
        <v>73</v>
      </c>
      <c r="B8" s="1" t="s">
        <v>206</v>
      </c>
      <c r="C8" s="1">
        <v>30479</v>
      </c>
    </row>
    <row r="9" spans="1:4" x14ac:dyDescent="0.25">
      <c r="A9" s="1" t="s">
        <v>74</v>
      </c>
      <c r="B9" s="1" t="s">
        <v>207</v>
      </c>
      <c r="C9" s="1">
        <v>30411</v>
      </c>
    </row>
    <row r="10" spans="1:4" x14ac:dyDescent="0.25">
      <c r="A10" s="1" t="s">
        <v>75</v>
      </c>
      <c r="B10" s="1" t="s">
        <v>192</v>
      </c>
      <c r="C10" s="1">
        <v>30399</v>
      </c>
    </row>
    <row r="11" spans="1:4" x14ac:dyDescent="0.25">
      <c r="A11" s="1" t="s">
        <v>76</v>
      </c>
      <c r="B11" s="1" t="s">
        <v>193</v>
      </c>
      <c r="C11" s="1">
        <v>30481</v>
      </c>
    </row>
    <row r="12" spans="1:4" x14ac:dyDescent="0.25">
      <c r="A12" s="1" t="s">
        <v>77</v>
      </c>
      <c r="B12" s="1" t="s">
        <v>208</v>
      </c>
      <c r="C12" s="1">
        <v>30631</v>
      </c>
    </row>
    <row r="13" spans="1:4" x14ac:dyDescent="0.25">
      <c r="A13" s="1" t="s">
        <v>126</v>
      </c>
      <c r="B13" s="1" t="s">
        <v>209</v>
      </c>
      <c r="C13" s="1">
        <v>30576</v>
      </c>
    </row>
    <row r="14" spans="1:4" x14ac:dyDescent="0.25">
      <c r="A14" s="3" t="s">
        <v>78</v>
      </c>
      <c r="B14" s="3" t="s">
        <v>210</v>
      </c>
      <c r="C14" s="3">
        <v>30577</v>
      </c>
    </row>
    <row r="15" spans="1:4" x14ac:dyDescent="0.25">
      <c r="A15" s="3" t="s">
        <v>79</v>
      </c>
      <c r="B15" s="3" t="s">
        <v>210</v>
      </c>
      <c r="C15" s="3">
        <v>30577</v>
      </c>
    </row>
    <row r="16" spans="1:4" x14ac:dyDescent="0.25">
      <c r="A16" s="3" t="s">
        <v>80</v>
      </c>
      <c r="B16" s="3" t="s">
        <v>210</v>
      </c>
      <c r="C16" s="3">
        <v>30577</v>
      </c>
    </row>
    <row r="17" spans="1:4" x14ac:dyDescent="0.25">
      <c r="A17" s="1" t="s">
        <v>81</v>
      </c>
      <c r="B17" s="1" t="s">
        <v>194</v>
      </c>
      <c r="C17" s="1">
        <v>30511</v>
      </c>
    </row>
    <row r="18" spans="1:4" x14ac:dyDescent="0.25">
      <c r="A18" s="1" t="s">
        <v>82</v>
      </c>
      <c r="B18" s="1"/>
      <c r="C18" s="1"/>
      <c r="D18" t="s">
        <v>203</v>
      </c>
    </row>
    <row r="19" spans="1:4" x14ac:dyDescent="0.25">
      <c r="A19" s="1" t="s">
        <v>83</v>
      </c>
      <c r="B19" s="1" t="s">
        <v>195</v>
      </c>
      <c r="C19" s="1">
        <v>30674</v>
      </c>
    </row>
    <row r="20" spans="1:4" x14ac:dyDescent="0.25">
      <c r="A20" s="1" t="s">
        <v>84</v>
      </c>
      <c r="B20" s="1" t="s">
        <v>42</v>
      </c>
      <c r="C20" s="1">
        <v>30487</v>
      </c>
    </row>
    <row r="21" spans="1:4" x14ac:dyDescent="0.25">
      <c r="A21" s="1" t="s">
        <v>85</v>
      </c>
      <c r="B21" s="1" t="s">
        <v>211</v>
      </c>
      <c r="C21" s="1">
        <v>30452</v>
      </c>
    </row>
    <row r="22" spans="1:4" x14ac:dyDescent="0.25">
      <c r="A22" s="1" t="s">
        <v>86</v>
      </c>
      <c r="B22" s="1" t="s">
        <v>196</v>
      </c>
      <c r="C22" s="1">
        <v>0</v>
      </c>
    </row>
    <row r="23" spans="1:4" x14ac:dyDescent="0.25">
      <c r="A23" s="1" t="s">
        <v>87</v>
      </c>
      <c r="B23" s="1" t="s">
        <v>212</v>
      </c>
      <c r="C23" s="1">
        <v>30627</v>
      </c>
    </row>
    <row r="24" spans="1:4" x14ac:dyDescent="0.25">
      <c r="A24" s="1" t="s">
        <v>88</v>
      </c>
      <c r="B24" s="1" t="s">
        <v>197</v>
      </c>
      <c r="C24" s="2">
        <v>30675</v>
      </c>
    </row>
    <row r="25" spans="1:4" x14ac:dyDescent="0.25">
      <c r="A25" s="1" t="s">
        <v>89</v>
      </c>
      <c r="B25" s="1" t="s">
        <v>213</v>
      </c>
      <c r="C25" s="2">
        <v>30454</v>
      </c>
    </row>
    <row r="26" spans="1:4" x14ac:dyDescent="0.25">
      <c r="A26" s="1" t="s">
        <v>90</v>
      </c>
      <c r="B26" s="1" t="s">
        <v>214</v>
      </c>
      <c r="C26" s="1">
        <v>30519</v>
      </c>
    </row>
    <row r="27" spans="1:4" x14ac:dyDescent="0.25">
      <c r="A27" s="1" t="s">
        <v>91</v>
      </c>
      <c r="B27" s="1" t="s">
        <v>215</v>
      </c>
      <c r="C27" s="1">
        <v>30372</v>
      </c>
    </row>
    <row r="28" spans="1:4" x14ac:dyDescent="0.25">
      <c r="A28" s="1" t="s">
        <v>92</v>
      </c>
      <c r="B28" s="1" t="s">
        <v>216</v>
      </c>
      <c r="C28" s="1">
        <v>30422</v>
      </c>
    </row>
    <row r="29" spans="1:4" x14ac:dyDescent="0.25">
      <c r="A29" s="1" t="s">
        <v>93</v>
      </c>
      <c r="B29" s="1" t="s">
        <v>217</v>
      </c>
      <c r="C29" s="1">
        <v>17538</v>
      </c>
    </row>
    <row r="30" spans="1:4" x14ac:dyDescent="0.25">
      <c r="A30" s="1" t="s">
        <v>127</v>
      </c>
      <c r="B30" s="1"/>
      <c r="C30" s="1"/>
      <c r="D30" t="s">
        <v>148</v>
      </c>
    </row>
    <row r="31" spans="1:4" x14ac:dyDescent="0.25">
      <c r="A31" s="1" t="s">
        <v>128</v>
      </c>
      <c r="B31" s="1" t="s">
        <v>218</v>
      </c>
      <c r="C31" s="1">
        <v>17556</v>
      </c>
    </row>
    <row r="32" spans="1:4" x14ac:dyDescent="0.25">
      <c r="A32" s="1" t="s">
        <v>129</v>
      </c>
      <c r="B32" s="1" t="s">
        <v>198</v>
      </c>
      <c r="C32" s="1">
        <v>30662</v>
      </c>
    </row>
    <row r="33" spans="1:4" x14ac:dyDescent="0.25">
      <c r="A33" s="3" t="s">
        <v>94</v>
      </c>
      <c r="B33" s="3" t="s">
        <v>219</v>
      </c>
      <c r="C33" s="3">
        <v>30489</v>
      </c>
    </row>
    <row r="34" spans="1:4" x14ac:dyDescent="0.25">
      <c r="A34" s="3" t="s">
        <v>95</v>
      </c>
      <c r="B34" s="3" t="s">
        <v>219</v>
      </c>
      <c r="C34" s="3">
        <v>30489</v>
      </c>
    </row>
    <row r="35" spans="1:4" x14ac:dyDescent="0.25">
      <c r="A35" s="1" t="s">
        <v>96</v>
      </c>
      <c r="B35" s="1" t="s">
        <v>199</v>
      </c>
      <c r="C35" s="1">
        <v>17542</v>
      </c>
    </row>
    <row r="36" spans="1:4" x14ac:dyDescent="0.25">
      <c r="A36" s="1" t="s">
        <v>97</v>
      </c>
      <c r="B36" s="1" t="s">
        <v>220</v>
      </c>
      <c r="C36" s="1">
        <v>30412</v>
      </c>
    </row>
    <row r="37" spans="1:4" x14ac:dyDescent="0.25">
      <c r="A37" s="1" t="s">
        <v>98</v>
      </c>
      <c r="B37" s="1" t="s">
        <v>221</v>
      </c>
      <c r="C37" s="1">
        <v>30485</v>
      </c>
    </row>
    <row r="38" spans="1:4" x14ac:dyDescent="0.25">
      <c r="A38" s="1" t="s">
        <v>99</v>
      </c>
      <c r="B38" s="1" t="s">
        <v>222</v>
      </c>
      <c r="C38" s="1">
        <v>17537</v>
      </c>
    </row>
    <row r="39" spans="1:4" x14ac:dyDescent="0.25">
      <c r="A39" s="1" t="s">
        <v>130</v>
      </c>
      <c r="B39" s="1"/>
      <c r="C39" s="1"/>
      <c r="D39" t="s">
        <v>148</v>
      </c>
    </row>
    <row r="40" spans="1:4" x14ac:dyDescent="0.25">
      <c r="A40" s="1" t="s">
        <v>117</v>
      </c>
      <c r="B40" s="1" t="s">
        <v>200</v>
      </c>
      <c r="C40" s="1">
        <v>17528</v>
      </c>
    </row>
    <row r="41" spans="1:4" x14ac:dyDescent="0.25">
      <c r="A41" s="1" t="s">
        <v>100</v>
      </c>
      <c r="B41" s="1" t="s">
        <v>223</v>
      </c>
      <c r="C41" s="1">
        <v>30467</v>
      </c>
    </row>
    <row r="42" spans="1:4" x14ac:dyDescent="0.25">
      <c r="A42" s="1" t="s">
        <v>101</v>
      </c>
      <c r="B42" s="1" t="s">
        <v>224</v>
      </c>
      <c r="C42" s="1">
        <v>17553</v>
      </c>
    </row>
    <row r="43" spans="1:4" x14ac:dyDescent="0.25">
      <c r="A43" s="1" t="s">
        <v>102</v>
      </c>
      <c r="B43" s="1" t="s">
        <v>225</v>
      </c>
      <c r="C43" s="1">
        <v>17536</v>
      </c>
    </row>
    <row r="44" spans="1:4" x14ac:dyDescent="0.25">
      <c r="A44" s="1" t="s">
        <v>131</v>
      </c>
      <c r="B44" s="1" t="s">
        <v>226</v>
      </c>
      <c r="C44" s="1">
        <v>17541</v>
      </c>
    </row>
    <row r="45" spans="1:4" x14ac:dyDescent="0.25">
      <c r="A45" s="1" t="s">
        <v>103</v>
      </c>
      <c r="B45" s="1" t="s">
        <v>201</v>
      </c>
      <c r="C45" s="1">
        <v>17519</v>
      </c>
    </row>
    <row r="46" spans="1:4" x14ac:dyDescent="0.25">
      <c r="A46" s="1" t="s">
        <v>104</v>
      </c>
      <c r="B46" s="1" t="s">
        <v>227</v>
      </c>
      <c r="C46" s="2">
        <v>17529</v>
      </c>
    </row>
    <row r="47" spans="1:4" x14ac:dyDescent="0.25">
      <c r="A47" s="1" t="s">
        <v>105</v>
      </c>
      <c r="B47" s="1" t="s">
        <v>202</v>
      </c>
      <c r="C47" s="1">
        <v>30371</v>
      </c>
    </row>
    <row r="48" spans="1:4" x14ac:dyDescent="0.25">
      <c r="A48" s="1" t="s">
        <v>106</v>
      </c>
      <c r="B48" s="1"/>
      <c r="C48" s="1"/>
    </row>
    <row r="49" spans="1:3" x14ac:dyDescent="0.25">
      <c r="A49" s="1" t="s">
        <v>107</v>
      </c>
      <c r="B49" s="1"/>
      <c r="C49" s="1"/>
    </row>
    <row r="50" spans="1:3" x14ac:dyDescent="0.25">
      <c r="A50" s="1" t="s">
        <v>108</v>
      </c>
      <c r="B50" s="1"/>
      <c r="C50" s="1"/>
    </row>
    <row r="51" spans="1:3" x14ac:dyDescent="0.25">
      <c r="A51" s="1" t="s">
        <v>109</v>
      </c>
      <c r="B51" s="1"/>
      <c r="C51" s="1"/>
    </row>
    <row r="52" spans="1:3" x14ac:dyDescent="0.25">
      <c r="A52" s="1" t="s">
        <v>110</v>
      </c>
      <c r="B52" s="1"/>
      <c r="C52" s="1"/>
    </row>
    <row r="53" spans="1:3" x14ac:dyDescent="0.25">
      <c r="A53" s="1" t="s">
        <v>111</v>
      </c>
      <c r="B53" s="1"/>
      <c r="C53" s="1"/>
    </row>
    <row r="54" spans="1:3" x14ac:dyDescent="0.25">
      <c r="A54" s="1" t="s">
        <v>112</v>
      </c>
      <c r="B54" s="1"/>
      <c r="C54" s="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90149-03DD-42E1-AF68-C7070BB5B7B9}">
  <dimension ref="A1:C1"/>
  <sheetViews>
    <sheetView workbookViewId="0"/>
  </sheetViews>
  <sheetFormatPr defaultRowHeight="15" x14ac:dyDescent="0.25"/>
  <sheetData>
    <row r="1" spans="1:3" x14ac:dyDescent="0.25">
      <c r="A1" s="5" t="s">
        <v>149</v>
      </c>
      <c r="B1" s="5" t="s">
        <v>150</v>
      </c>
      <c r="C1" s="6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B9461-0392-4102-B041-BF0D8D277DFB}">
  <dimension ref="A1:C1"/>
  <sheetViews>
    <sheetView tabSelected="1" workbookViewId="0"/>
  </sheetViews>
  <sheetFormatPr defaultRowHeight="15" x14ac:dyDescent="0.25"/>
  <sheetData>
    <row r="1" spans="1:3" x14ac:dyDescent="0.25">
      <c r="A1" s="5" t="s">
        <v>149</v>
      </c>
      <c r="B1" s="5" t="s">
        <v>150</v>
      </c>
      <c r="C1" s="6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2025-12-31T05:55:26Z</dcterms:created>
  <dcterms:modified xsi:type="dcterms:W3CDTF">2026-01-20T10:04:16Z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2026-01-01T04:57:54Z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be5e90f1-ca0f-4773-abfd-636bb711601c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