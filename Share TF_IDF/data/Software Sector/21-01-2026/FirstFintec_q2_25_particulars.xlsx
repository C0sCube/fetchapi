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4_20251231\"/>
    </mc:Choice>
  </mc:AlternateContent>
  <xr:revisionPtr revIDLastSave="0" documentId="13_ncr:1_{DF963EB5-13AF-4E48-A636-C63006A11587}" xr6:coauthVersionLast="47" xr6:coauthVersionMax="47" xr10:uidLastSave="{00000000-0000-0000-0000-000000000000}"/>
  <bookViews>
    <workbookView xWindow="-120" yWindow="-120" windowWidth="20730" windowHeight="11040" firstSheet="4" activeTab="4" xr2:uid="{00000000-000D-0000-FFFF-FFFF00000000}"/>
  </bookViews>
  <sheets>
    <sheet name="P&amp;L_Standalone" sheetId="1" r:id="rId1"/>
    <sheet name="P&amp;L_Consolidated" sheetId="8" r:id="rId2"/>
    <sheet name="BS_Standalone" sheetId="5" r:id="rId3"/>
    <sheet name="BS_Consolidated" sheetId="9" r:id="rId4"/>
    <sheet name="CFS_Standalone" sheetId="3" r:id="rId5"/>
    <sheet name="CFS_Consolidated" sheetId="10" r:id="rId6"/>
    <sheet name="SR_Standalone" sheetId="6" r:id="rId7"/>
    <sheet name="SR_Consolidated" sheetId="7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B29" i="1"/>
  <c r="C20" i="1"/>
  <c r="B20" i="1"/>
  <c r="C13" i="1"/>
  <c r="B13" i="1"/>
  <c r="C12" i="1"/>
  <c r="B12" i="1"/>
  <c r="C10" i="1"/>
  <c r="B10" i="1"/>
  <c r="C9" i="1"/>
  <c r="B9" i="1"/>
  <c r="C7" i="1"/>
  <c r="B7" i="1"/>
  <c r="C4" i="1"/>
  <c r="B4" i="1"/>
  <c r="C3" i="1"/>
  <c r="B3" i="1"/>
  <c r="B2" i="1"/>
  <c r="C2" i="1"/>
</calcChain>
</file>

<file path=xl/sharedStrings.xml><?xml version="1.0" encoding="utf-8"?>
<sst xmlns="http://schemas.openxmlformats.org/spreadsheetml/2006/main" count="220" uniqueCount="169">
  <si>
    <t>Other Income</t>
  </si>
  <si>
    <t>Total income</t>
  </si>
  <si>
    <t>Expenditure</t>
  </si>
  <si>
    <t>Cost of materials consumed</t>
  </si>
  <si>
    <t>Purchase of Stock in Trade</t>
  </si>
  <si>
    <t>Employee benefits expense</t>
  </si>
  <si>
    <t>Depreciation and amortisation expenses</t>
  </si>
  <si>
    <t>Operating and Other expenses</t>
  </si>
  <si>
    <t>Finance Costs</t>
  </si>
  <si>
    <t>Total Expenses</t>
  </si>
  <si>
    <t>Profit /(Loss) from operation before exceptional items and Tax</t>
  </si>
  <si>
    <t>Exceptional Items</t>
  </si>
  <si>
    <t>Capital Loss</t>
  </si>
  <si>
    <t>Tax expense</t>
  </si>
  <si>
    <t>Provision for Tax</t>
  </si>
  <si>
    <t>Deferred Tax</t>
  </si>
  <si>
    <t>Earlier years provisions w/off</t>
  </si>
  <si>
    <t>Items that will not be re-classified to the profit or loss</t>
  </si>
  <si>
    <t>Income Tax relating to items that will not be re-classified to the profit or loss</t>
  </si>
  <si>
    <t>Items that will be re-classified to the profit or loss</t>
  </si>
  <si>
    <t>Total comprehensive income for the period</t>
  </si>
  <si>
    <t>Before Extraordinary Items</t>
  </si>
  <si>
    <t>After Extraordinary items</t>
  </si>
  <si>
    <t>Profit before taxes</t>
  </si>
  <si>
    <t>Depreciation</t>
  </si>
  <si>
    <t>Tax Paid</t>
  </si>
  <si>
    <t>Previous year GST Input Subsidy</t>
  </si>
  <si>
    <t>Loss on sale of Investments</t>
  </si>
  <si>
    <t>Operating profit before working capital changes</t>
  </si>
  <si>
    <t>Increase in Current Assets</t>
  </si>
  <si>
    <t>(Increase)/Decrease in Receivables</t>
  </si>
  <si>
    <t>(Increase)/Decrease in Inventories</t>
  </si>
  <si>
    <t>(Increase)/Decrease in Loans and Advances</t>
  </si>
  <si>
    <t>Increase/(Decrease) in Current Liabilities</t>
  </si>
  <si>
    <t>Cash from Operations</t>
  </si>
  <si>
    <t>Cash flows from Investing Activities</t>
  </si>
  <si>
    <t>Trade Investments Sale</t>
  </si>
  <si>
    <t>Purchase of fixed assets</t>
  </si>
  <si>
    <t>Advances for Assets</t>
  </si>
  <si>
    <t>(Increase)/Decrease in Goodwill on Amalgamation</t>
  </si>
  <si>
    <t>Cash flow from Financing Activities</t>
  </si>
  <si>
    <t>Increase /(Decrease) in Equity Share Capital</t>
  </si>
  <si>
    <t>Increase in Securities Premium</t>
  </si>
  <si>
    <t>Increase in Capital Reserve</t>
  </si>
  <si>
    <t>Decrease in Revaluation Reserve</t>
  </si>
  <si>
    <t>Dividend</t>
  </si>
  <si>
    <t>Secured /Unsecured loans</t>
  </si>
  <si>
    <t>Cash and Cash Equivalent as at beginning of the year</t>
  </si>
  <si>
    <t>Cash and Cash Equivalent as at end of the year</t>
  </si>
  <si>
    <t>Non-current assets</t>
  </si>
  <si>
    <t>Fixed assets</t>
  </si>
  <si>
    <t>Software &amp; IPR's</t>
  </si>
  <si>
    <t>Intangible assets - Goodwill</t>
  </si>
  <si>
    <t>Non-current investments</t>
  </si>
  <si>
    <t>Other Non-Current Assets</t>
  </si>
  <si>
    <t>Differed Tax Assets (Net)</t>
  </si>
  <si>
    <t>Loans</t>
  </si>
  <si>
    <t>Total - Non Current Assets</t>
  </si>
  <si>
    <t>Current assets</t>
  </si>
  <si>
    <t>Trade receivables</t>
  </si>
  <si>
    <t>Inventories</t>
  </si>
  <si>
    <t>Cash and cash equivalents</t>
  </si>
  <si>
    <t>Bank balances other than cash and cash equivalents</t>
  </si>
  <si>
    <t>Short-term loans and advances</t>
  </si>
  <si>
    <t>Investments</t>
  </si>
  <si>
    <t>Other Current Assets</t>
  </si>
  <si>
    <t>Other Financial Assets</t>
  </si>
  <si>
    <t>Total - Current Assets</t>
  </si>
  <si>
    <t>TOTAL</t>
  </si>
  <si>
    <t>EQUITY</t>
  </si>
  <si>
    <t>Equity Share Capital</t>
  </si>
  <si>
    <t>Other Equity - Reserves and Surplus</t>
  </si>
  <si>
    <t>Total Equity</t>
  </si>
  <si>
    <t>LIABILITIES</t>
  </si>
  <si>
    <t>Non-Current Liabilities</t>
  </si>
  <si>
    <t>Long term borrowings</t>
  </si>
  <si>
    <t>Defferred tax liabilities (Net)</t>
  </si>
  <si>
    <t>Total - Non Current Liabilities</t>
  </si>
  <si>
    <t>Current Liabilities</t>
  </si>
  <si>
    <t>Short-term borrowings</t>
  </si>
  <si>
    <t>Trade payables</t>
  </si>
  <si>
    <t>Short-term provisions</t>
  </si>
  <si>
    <t>Other Cuurent Liabilities</t>
  </si>
  <si>
    <t>Total - Current Liabilities</t>
  </si>
  <si>
    <t>Add</t>
  </si>
  <si>
    <t>Net increase in cash and cash Equivalent</t>
  </si>
  <si>
    <t>ASSETS</t>
  </si>
  <si>
    <t>Property, Plant Equipment, Equipment and other Tangible assets</t>
  </si>
  <si>
    <t>EQUITY AND LIABILITIES</t>
  </si>
  <si>
    <t>Provisions</t>
  </si>
  <si>
    <t>Revenue from Operations</t>
  </si>
  <si>
    <t>Change in Inventories of F.G,WIP and Stock in Trade</t>
  </si>
  <si>
    <t>Profit/(Loss) from ordinary activities before tax</t>
  </si>
  <si>
    <t>Net Profit/(Loss) from continuing operartions</t>
  </si>
  <si>
    <t>Other Comprehensive Income, net of Income Tax</t>
  </si>
  <si>
    <t>Income Tax relating to items that will be re-classified to the profit or loss</t>
  </si>
  <si>
    <t>Total other comprehensive income, net of Income Tax</t>
  </si>
  <si>
    <t>Paid- up equity share capital (Face Value of Rs.10/- each)</t>
  </si>
  <si>
    <t>Basic and Diluted Earnings per Share (of Rs.10/- each)</t>
  </si>
  <si>
    <t>Particulars</t>
  </si>
  <si>
    <t>Cogencis Field</t>
  </si>
  <si>
    <t>Field id</t>
  </si>
  <si>
    <t>Heading</t>
  </si>
  <si>
    <t>Cost of Materials Consumed</t>
  </si>
  <si>
    <t>Changes in Inventories of Finished Goods, Work-In-Progress and Stock-In-Trade</t>
  </si>
  <si>
    <t>Other Expenses</t>
  </si>
  <si>
    <t>Profit/(Loss) from Ordinary Activities after Finance Costs but before Exceptional Items</t>
  </si>
  <si>
    <t>Other Exceptional Items</t>
  </si>
  <si>
    <t>Profit/(Loss) From Ordinary Activities before Tax</t>
  </si>
  <si>
    <t>Tax Expense</t>
  </si>
  <si>
    <t>Net Profit/(Loss) for the Period</t>
  </si>
  <si>
    <t>Items that will not be reclassified to Profit or Loss</t>
  </si>
  <si>
    <t>Income Tax related to items that will not be reclassified to Profit or Loss</t>
  </si>
  <si>
    <t>Items that will be reclassified to Profit or Loss</t>
  </si>
  <si>
    <t>Income Tax related to items that will be reclassified to Profit or Loss</t>
  </si>
  <si>
    <t>Other Comprehensive Income</t>
  </si>
  <si>
    <t>Paid-Up Equity Share Capital</t>
  </si>
  <si>
    <t>Basic EPS</t>
  </si>
  <si>
    <t>Diluted EPS</t>
  </si>
  <si>
    <t>Other Non-Current Financial Assets</t>
  </si>
  <si>
    <t>Loans Non-Current</t>
  </si>
  <si>
    <t>Cash And Cash Equivalents</t>
  </si>
  <si>
    <t>Bank balance other than cash and cash equivalents</t>
  </si>
  <si>
    <t>Non-Current Investments</t>
  </si>
  <si>
    <t>Total Current Assets</t>
  </si>
  <si>
    <t>Total Non-Current Assets</t>
  </si>
  <si>
    <t>Share Capital</t>
  </si>
  <si>
    <t>Total Share Holder's Funds</t>
  </si>
  <si>
    <t>Long-Term Provisions</t>
  </si>
  <si>
    <t>Total Current Liabilities</t>
  </si>
  <si>
    <t>Property, Plant &amp; Equipment</t>
  </si>
  <si>
    <t>Goodwill</t>
  </si>
  <si>
    <t>Deferred Tax Assets (Net)</t>
  </si>
  <si>
    <t>Trade Receivables</t>
  </si>
  <si>
    <t>Loans, Current</t>
  </si>
  <si>
    <t>Current Investments</t>
  </si>
  <si>
    <t>Other Current Financial Assets</t>
  </si>
  <si>
    <t>Total Assets</t>
  </si>
  <si>
    <t>Reserves And Surplus/Other Equity</t>
  </si>
  <si>
    <t>Borrowings</t>
  </si>
  <si>
    <t>Deferred Tax Liability (Net)</t>
  </si>
  <si>
    <t>Total Non-Current Liabilities</t>
  </si>
  <si>
    <t>Trade Payables</t>
  </si>
  <si>
    <t>Short-Term Provisions</t>
  </si>
  <si>
    <t>Other liabilities</t>
  </si>
  <si>
    <t>Total Equity And Liabilities</t>
  </si>
  <si>
    <t>Operating Profit Before Working Capital Changes</t>
  </si>
  <si>
    <t>Net Profit Before Tax And Exceptional Item</t>
  </si>
  <si>
    <t>Depreciation and Amortisation Expense</t>
  </si>
  <si>
    <t>Loss On Sale Of Investments</t>
  </si>
  <si>
    <t>Other Current and Non Current Assets</t>
  </si>
  <si>
    <t>Trade And Other Receivables</t>
  </si>
  <si>
    <t>Loans And Advances</t>
  </si>
  <si>
    <t>Other Current and Non Current Liabilities</t>
  </si>
  <si>
    <t>Net Cash Flow From Operating Activities</t>
  </si>
  <si>
    <t>Purchase Of Fixed Assets (Tangible / Intangible)</t>
  </si>
  <si>
    <t>Net Cash Flow From Investing Activities</t>
  </si>
  <si>
    <t>Proceeds From Issue Of Equity Shares (Inclu Share Premium)</t>
  </si>
  <si>
    <t>Proceeds from Share Premium</t>
  </si>
  <si>
    <t>Dividend Paid</t>
  </si>
  <si>
    <t>Net Cash Flow From Financing Activities</t>
  </si>
  <si>
    <t>Net increase (decrease) in cash and cash equivalents before effect of exchange rate changes</t>
  </si>
  <si>
    <t>Cash and Cash Equivalents at the Beginning of the Year</t>
  </si>
  <si>
    <t>Cash and Cash Equivalents at the End of the Year</t>
  </si>
  <si>
    <t>Sale Of Investments</t>
  </si>
  <si>
    <t>Others-Financing Activities</t>
  </si>
  <si>
    <t>Proceeds From Long Term Borrowings</t>
  </si>
  <si>
    <t>Income Tax Paid</t>
  </si>
  <si>
    <t>Others-Investing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</si>
</sst>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2" fillId="2" borderId="1" xfId="0" applyFont="1" applyFill="1" applyBorder="1"/>
  </cellXfs>
  <cellStyles count="1"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M:\CFD-Finance\Finstinct%20Output%20Processed%20File\Field%20Mapping%20Combined%20File.xlsx-New.xlsx" TargetMode="External"/><Relationship Id="rId1" Type="http://schemas.openxmlformats.org/officeDocument/2006/relationships/externalLinkPath" Target="/CFD-Finance/Finstinct%20Output%20Processed%20File/Field%20Mapping%20Combined%20File.xlsx-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olidated Balance Sheet"/>
      <sheetName val="Standalone Balance Sheet"/>
      <sheetName val="Consolidated Cash Flow"/>
      <sheetName val="Standalone Cash Flow"/>
      <sheetName val="Consolidated P&amp;L"/>
      <sheetName val="Standalone P&amp;L"/>
      <sheetName val="Consolidated Segment Finance"/>
      <sheetName val="Standalone Segment Finance"/>
      <sheetName val="Sheet4"/>
      <sheetName val="Sheet3"/>
      <sheetName val="Sheet2"/>
      <sheetName val="Sheet1"/>
      <sheetName val="Field Mapping Combined Fi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workbookViewId="0">
      <selection activeCell="B1" sqref="B1:C1048576"/>
    </sheetView>
  </sheetViews>
  <sheetFormatPr defaultRowHeight="15" x14ac:dyDescent="0.25"/>
  <cols>
    <col min="1" max="2" width="54.7109375" customWidth="1"/>
    <col min="3" max="3" width="7.5703125" bestFit="1" customWidth="1"/>
    <col min="4" max="4" width="8.28515625" bestFit="1" customWidth="1"/>
  </cols>
  <sheetData>
    <row r="1" spans="1:4" x14ac:dyDescent="0.25">
      <c r="A1" s="1" t="s">
        <v>99</v>
      </c>
      <c r="B1" s="1" t="s">
        <v>100</v>
      </c>
      <c r="C1" s="2" t="s">
        <v>101</v>
      </c>
    </row>
    <row r="2" spans="1:4" x14ac:dyDescent="0.25">
      <c r="A2" s="3" t="s">
        <v>90</v>
      </c>
      <c r="B2" s="3" t="str">
        <f>VLOOKUP($A2,[1]!Standalone_P_L[[#All],[Particulars]:[Field id]],2,0)</f>
        <v>Gross Sales/Income from Operations</v>
      </c>
      <c r="C2" s="3">
        <f>VLOOKUP(A2,[1]!Standalone_P_L[[#All],[Particulars]:[Field id]],3,0)</f>
        <v>256</v>
      </c>
    </row>
    <row r="3" spans="1:4" x14ac:dyDescent="0.25">
      <c r="A3" s="3" t="s">
        <v>0</v>
      </c>
      <c r="B3" s="3" t="str">
        <f>VLOOKUP($A3,[1]!Standalone_P_L[[#All],[Particulars]:[Field id]],2,0)</f>
        <v>Miscellaneous Income</v>
      </c>
      <c r="C3" s="3">
        <f>VLOOKUP(A3,[1]!Standalone_P_L[[#All],[Particulars]:[Field id]],3,0)</f>
        <v>265</v>
      </c>
    </row>
    <row r="4" spans="1:4" x14ac:dyDescent="0.25">
      <c r="A4" s="3" t="s">
        <v>1</v>
      </c>
      <c r="B4" s="3" t="str">
        <f>VLOOKUP($A4,[1]!Standalone_P_L[[#All],[Particulars]:[Field id]],2,0)</f>
        <v>Total Income</v>
      </c>
      <c r="C4" s="3">
        <f>VLOOKUP(A4,[1]!Standalone_P_L[[#All],[Particulars]:[Field id]],3,0)</f>
        <v>25238</v>
      </c>
    </row>
    <row r="5" spans="1:4" x14ac:dyDescent="0.25">
      <c r="A5" s="3" t="s">
        <v>2</v>
      </c>
      <c r="B5" s="3"/>
      <c r="C5" s="3"/>
      <c r="D5" t="s">
        <v>102</v>
      </c>
    </row>
    <row r="6" spans="1:4" x14ac:dyDescent="0.25">
      <c r="A6" s="3" t="s">
        <v>3</v>
      </c>
      <c r="B6" s="3" t="s">
        <v>103</v>
      </c>
      <c r="C6" s="4">
        <v>230</v>
      </c>
    </row>
    <row r="7" spans="1:4" x14ac:dyDescent="0.25">
      <c r="A7" s="3" t="s">
        <v>4</v>
      </c>
      <c r="B7" s="3" t="str">
        <f>VLOOKUP($A7,[1]!Standalone_P_L[[#All],[Particulars]:[Field id]],2,0)</f>
        <v>Purchase of Stock-in-Trade</v>
      </c>
      <c r="C7" s="3">
        <f>VLOOKUP(A7,[1]!Standalone_P_L[[#All],[Particulars]:[Field id]],3,0)</f>
        <v>307</v>
      </c>
    </row>
    <row r="8" spans="1:4" x14ac:dyDescent="0.25">
      <c r="A8" s="3" t="s">
        <v>91</v>
      </c>
      <c r="B8" s="3" t="s">
        <v>104</v>
      </c>
      <c r="C8" s="4">
        <v>227</v>
      </c>
    </row>
    <row r="9" spans="1:4" x14ac:dyDescent="0.25">
      <c r="A9" s="3" t="s">
        <v>5</v>
      </c>
      <c r="B9" s="3" t="str">
        <f>VLOOKUP($A9,[1]!Standalone_P_L[[#All],[Particulars]:[Field id]],2,0)</f>
        <v>Employee Benefit Expense</v>
      </c>
      <c r="C9" s="3">
        <f>VLOOKUP(A9,[1]!Standalone_P_L[[#All],[Particulars]:[Field id]],3,0)</f>
        <v>238</v>
      </c>
    </row>
    <row r="10" spans="1:4" x14ac:dyDescent="0.25">
      <c r="A10" s="3" t="s">
        <v>6</v>
      </c>
      <c r="B10" s="3" t="str">
        <f>VLOOKUP($A10,[1]!Standalone_P_L[[#All],[Particulars]:[Field id]],2,0)</f>
        <v>Depreciation, Depletion and Amortisation Expense</v>
      </c>
      <c r="C10" s="3">
        <f>VLOOKUP(A10,[1]!Standalone_P_L[[#All],[Particulars]:[Field id]],3,0)</f>
        <v>232</v>
      </c>
    </row>
    <row r="11" spans="1:4" x14ac:dyDescent="0.25">
      <c r="A11" s="3" t="s">
        <v>7</v>
      </c>
      <c r="B11" s="3" t="s">
        <v>105</v>
      </c>
      <c r="C11" s="4">
        <v>279</v>
      </c>
    </row>
    <row r="12" spans="1:4" x14ac:dyDescent="0.25">
      <c r="A12" s="3" t="s">
        <v>8</v>
      </c>
      <c r="B12" s="3" t="str">
        <f>VLOOKUP($A12,[1]!Standalone_P_L[[#All],[Particulars]:[Field id]],2,0)</f>
        <v>Finance Costs</v>
      </c>
      <c r="C12" s="3">
        <f>VLOOKUP(A12,[1]!Standalone_P_L[[#All],[Particulars]:[Field id]],3,0)</f>
        <v>246</v>
      </c>
    </row>
    <row r="13" spans="1:4" x14ac:dyDescent="0.25">
      <c r="A13" s="3" t="s">
        <v>9</v>
      </c>
      <c r="B13" s="3" t="str">
        <f>VLOOKUP($A13,[1]!Standalone_P_L[[#All],[Particulars]:[Field id]],2,0)</f>
        <v>Total Expenses</v>
      </c>
      <c r="C13" s="3">
        <f>VLOOKUP(A13,[1]!Standalone_P_L[[#All],[Particulars]:[Field id]],3,0)</f>
        <v>320</v>
      </c>
    </row>
    <row r="14" spans="1:4" x14ac:dyDescent="0.25">
      <c r="A14" s="3" t="s">
        <v>10</v>
      </c>
      <c r="B14" s="3" t="s">
        <v>106</v>
      </c>
      <c r="C14" s="4">
        <v>294</v>
      </c>
    </row>
    <row r="15" spans="1:4" x14ac:dyDescent="0.25">
      <c r="A15" s="3" t="s">
        <v>11</v>
      </c>
      <c r="B15" s="3"/>
      <c r="C15" s="3"/>
      <c r="D15" t="s">
        <v>102</v>
      </c>
    </row>
    <row r="16" spans="1:4" x14ac:dyDescent="0.25">
      <c r="A16" s="3" t="s">
        <v>12</v>
      </c>
      <c r="B16" s="3" t="s">
        <v>107</v>
      </c>
      <c r="C16" s="4">
        <v>278</v>
      </c>
    </row>
    <row r="17" spans="1:4" x14ac:dyDescent="0.25">
      <c r="A17" s="3" t="s">
        <v>92</v>
      </c>
      <c r="B17" s="3" t="s">
        <v>108</v>
      </c>
      <c r="C17" s="4">
        <v>296</v>
      </c>
    </row>
    <row r="18" spans="1:4" x14ac:dyDescent="0.25">
      <c r="A18" s="3" t="s">
        <v>13</v>
      </c>
      <c r="B18" s="3"/>
      <c r="C18" s="3"/>
      <c r="D18" t="s">
        <v>102</v>
      </c>
    </row>
    <row r="19" spans="1:4" x14ac:dyDescent="0.25">
      <c r="A19" s="5" t="s">
        <v>14</v>
      </c>
      <c r="B19" s="5" t="s">
        <v>109</v>
      </c>
      <c r="C19" s="5">
        <v>318</v>
      </c>
    </row>
    <row r="20" spans="1:4" x14ac:dyDescent="0.25">
      <c r="A20" s="3" t="s">
        <v>15</v>
      </c>
      <c r="B20" s="3" t="str">
        <f>VLOOKUP($A20,[1]!Standalone_P_L[[#All],[Particulars]:[Field id]],2,0)</f>
        <v>Deferred Tax</v>
      </c>
      <c r="C20" s="3">
        <f>VLOOKUP(A20,[1]!Standalone_P_L[[#All],[Particulars]:[Field id]],3,0)</f>
        <v>231</v>
      </c>
    </row>
    <row r="21" spans="1:4" x14ac:dyDescent="0.25">
      <c r="A21" s="5" t="s">
        <v>16</v>
      </c>
      <c r="B21" s="5" t="s">
        <v>109</v>
      </c>
      <c r="C21" s="5">
        <v>318</v>
      </c>
    </row>
    <row r="22" spans="1:4" x14ac:dyDescent="0.25">
      <c r="A22" s="3" t="s">
        <v>93</v>
      </c>
      <c r="B22" s="3" t="s">
        <v>110</v>
      </c>
      <c r="C22" s="4">
        <v>269</v>
      </c>
    </row>
    <row r="23" spans="1:4" x14ac:dyDescent="0.25">
      <c r="A23" s="3" t="s">
        <v>94</v>
      </c>
      <c r="B23" s="3"/>
      <c r="C23" s="3"/>
      <c r="D23" t="s">
        <v>102</v>
      </c>
    </row>
    <row r="24" spans="1:4" x14ac:dyDescent="0.25">
      <c r="A24" s="3" t="s">
        <v>17</v>
      </c>
      <c r="B24" s="3" t="s">
        <v>111</v>
      </c>
      <c r="C24" s="4">
        <v>22293</v>
      </c>
    </row>
    <row r="25" spans="1:4" x14ac:dyDescent="0.25">
      <c r="A25" s="3" t="s">
        <v>18</v>
      </c>
      <c r="B25" s="3" t="s">
        <v>112</v>
      </c>
      <c r="C25" s="4">
        <v>22295</v>
      </c>
    </row>
    <row r="26" spans="1:4" x14ac:dyDescent="0.25">
      <c r="A26" s="3" t="s">
        <v>19</v>
      </c>
      <c r="B26" s="3" t="s">
        <v>113</v>
      </c>
      <c r="C26" s="4">
        <v>22294</v>
      </c>
    </row>
    <row r="27" spans="1:4" x14ac:dyDescent="0.25">
      <c r="A27" s="3" t="s">
        <v>95</v>
      </c>
      <c r="B27" s="3" t="s">
        <v>114</v>
      </c>
      <c r="C27" s="4">
        <v>22296</v>
      </c>
    </row>
    <row r="28" spans="1:4" x14ac:dyDescent="0.25">
      <c r="A28" s="3" t="s">
        <v>96</v>
      </c>
      <c r="B28" s="3" t="s">
        <v>115</v>
      </c>
      <c r="C28" s="4">
        <v>16484</v>
      </c>
    </row>
    <row r="29" spans="1:4" x14ac:dyDescent="0.25">
      <c r="A29" s="3" t="s">
        <v>20</v>
      </c>
      <c r="B29" s="3" t="str">
        <f>VLOOKUP($A29,[1]!Standalone_P_L[[#All],[Particulars]:[Field id]],2,0)</f>
        <v>Total Comprehensive Gain (Loss) For the Year</v>
      </c>
      <c r="C29" s="3">
        <f>VLOOKUP(A29,[1]!Standalone_P_L[[#All],[Particulars]:[Field id]],3,0)</f>
        <v>20019</v>
      </c>
    </row>
    <row r="30" spans="1:4" x14ac:dyDescent="0.25">
      <c r="A30" s="3" t="s">
        <v>97</v>
      </c>
      <c r="B30" s="3" t="s">
        <v>116</v>
      </c>
      <c r="C30" s="4">
        <v>282</v>
      </c>
    </row>
    <row r="31" spans="1:4" x14ac:dyDescent="0.25">
      <c r="A31" s="3" t="s">
        <v>98</v>
      </c>
      <c r="B31" s="3"/>
      <c r="C31" s="3"/>
      <c r="D31" t="s">
        <v>102</v>
      </c>
    </row>
    <row r="32" spans="1:4" x14ac:dyDescent="0.25">
      <c r="A32" s="3" t="s">
        <v>21</v>
      </c>
      <c r="B32" s="3" t="s">
        <v>117</v>
      </c>
      <c r="C32" s="4">
        <v>222</v>
      </c>
    </row>
    <row r="33" spans="1:3" x14ac:dyDescent="0.25">
      <c r="A33" s="3" t="s">
        <v>22</v>
      </c>
      <c r="B33" s="3" t="s">
        <v>118</v>
      </c>
      <c r="C33" s="4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ED2E9-DCA4-4C0E-A369-4CE46EAD7266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99</v>
      </c>
      <c r="B1" s="1" t="s">
        <v>100</v>
      </c>
      <c r="C1" s="2" t="s">
        <v>101</v>
      </c>
    </row>
  </sheetData>
  <conditionalFormatting sqref="C1">
    <cfRule type="duplicateValues" dxfId="35" priority="1"/>
    <cfRule type="duplicateValues" dxfId="34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2"/>
  <sheetViews>
    <sheetView workbookViewId="0">
      <selection activeCell="B1" sqref="B1"/>
    </sheetView>
  </sheetViews>
  <sheetFormatPr defaultRowHeight="15" x14ac:dyDescent="0.25"/>
  <cols>
    <col min="1" max="1" width="53.28515625" customWidth="1"/>
    <col min="2" max="2" width="46.7109375" bestFit="1" customWidth="1"/>
    <col min="3" max="3" width="7.5703125" bestFit="1" customWidth="1"/>
    <col min="4" max="4" width="8.28515625" bestFit="1" customWidth="1"/>
  </cols>
  <sheetData>
    <row r="1" spans="1:4" x14ac:dyDescent="0.25">
      <c r="A1" s="1" t="s">
        <v>99</v>
      </c>
      <c r="B1" s="1" t="s">
        <v>100</v>
      </c>
      <c r="C1" s="2" t="s">
        <v>101</v>
      </c>
    </row>
    <row r="2" spans="1:4" x14ac:dyDescent="0.25">
      <c r="A2" s="3" t="s">
        <v>86</v>
      </c>
      <c r="B2" s="3"/>
      <c r="C2" s="3"/>
      <c r="D2" t="s">
        <v>102</v>
      </c>
    </row>
    <row r="3" spans="1:4" x14ac:dyDescent="0.25">
      <c r="A3" s="3" t="s">
        <v>49</v>
      </c>
      <c r="B3" s="3"/>
      <c r="C3" s="3"/>
      <c r="D3" t="s">
        <v>102</v>
      </c>
    </row>
    <row r="4" spans="1:4" x14ac:dyDescent="0.25">
      <c r="A4" s="3" t="s">
        <v>50</v>
      </c>
      <c r="B4" s="3"/>
      <c r="C4" s="3"/>
      <c r="D4" t="s">
        <v>102</v>
      </c>
    </row>
    <row r="5" spans="1:4" x14ac:dyDescent="0.25">
      <c r="A5" s="5" t="s">
        <v>87</v>
      </c>
      <c r="B5" s="5" t="s">
        <v>130</v>
      </c>
      <c r="C5" s="5">
        <v>20222</v>
      </c>
    </row>
    <row r="6" spans="1:4" x14ac:dyDescent="0.25">
      <c r="A6" s="5" t="s">
        <v>51</v>
      </c>
      <c r="B6" s="5" t="s">
        <v>130</v>
      </c>
      <c r="C6" s="5">
        <v>20222</v>
      </c>
    </row>
    <row r="7" spans="1:4" x14ac:dyDescent="0.25">
      <c r="A7" s="3" t="s">
        <v>52</v>
      </c>
      <c r="B7" s="3" t="s">
        <v>131</v>
      </c>
      <c r="C7" s="4">
        <v>20220</v>
      </c>
    </row>
    <row r="8" spans="1:4" x14ac:dyDescent="0.25">
      <c r="A8" s="3" t="s">
        <v>53</v>
      </c>
      <c r="B8" s="3" t="s">
        <v>123</v>
      </c>
      <c r="C8" s="4">
        <v>13748</v>
      </c>
    </row>
    <row r="9" spans="1:4" x14ac:dyDescent="0.25">
      <c r="A9" s="3" t="s">
        <v>66</v>
      </c>
      <c r="B9" s="3" t="s">
        <v>119</v>
      </c>
      <c r="C9" s="3">
        <v>20216</v>
      </c>
    </row>
    <row r="10" spans="1:4" x14ac:dyDescent="0.25">
      <c r="A10" s="3" t="s">
        <v>54</v>
      </c>
      <c r="B10" s="3" t="s">
        <v>54</v>
      </c>
      <c r="C10" s="3">
        <v>13753</v>
      </c>
    </row>
    <row r="11" spans="1:4" x14ac:dyDescent="0.25">
      <c r="A11" s="3" t="s">
        <v>55</v>
      </c>
      <c r="B11" s="3" t="s">
        <v>132</v>
      </c>
      <c r="C11" s="4">
        <v>13726</v>
      </c>
    </row>
    <row r="12" spans="1:4" x14ac:dyDescent="0.25">
      <c r="A12" s="3" t="s">
        <v>56</v>
      </c>
      <c r="B12" s="3" t="s">
        <v>120</v>
      </c>
      <c r="C12" s="3">
        <v>20217</v>
      </c>
    </row>
    <row r="13" spans="1:4" x14ac:dyDescent="0.25">
      <c r="A13" s="3" t="s">
        <v>57</v>
      </c>
      <c r="B13" s="3" t="s">
        <v>125</v>
      </c>
      <c r="C13" s="4">
        <v>13777</v>
      </c>
    </row>
    <row r="14" spans="1:4" x14ac:dyDescent="0.25">
      <c r="A14" s="3" t="s">
        <v>58</v>
      </c>
      <c r="B14" s="3"/>
      <c r="C14" s="3"/>
      <c r="D14" t="s">
        <v>102</v>
      </c>
    </row>
    <row r="15" spans="1:4" x14ac:dyDescent="0.25">
      <c r="A15" s="3" t="s">
        <v>59</v>
      </c>
      <c r="B15" s="3" t="s">
        <v>133</v>
      </c>
      <c r="C15" s="4">
        <v>13780</v>
      </c>
    </row>
    <row r="16" spans="1:4" x14ac:dyDescent="0.25">
      <c r="A16" s="3" t="s">
        <v>60</v>
      </c>
      <c r="B16" s="3" t="s">
        <v>60</v>
      </c>
      <c r="C16" s="4">
        <v>13737</v>
      </c>
    </row>
    <row r="17" spans="1:4" x14ac:dyDescent="0.25">
      <c r="A17" s="3" t="s">
        <v>61</v>
      </c>
      <c r="B17" s="3" t="s">
        <v>121</v>
      </c>
      <c r="C17" s="3">
        <v>13722</v>
      </c>
    </row>
    <row r="18" spans="1:4" x14ac:dyDescent="0.25">
      <c r="A18" s="3" t="s">
        <v>62</v>
      </c>
      <c r="B18" s="3" t="s">
        <v>122</v>
      </c>
      <c r="C18" s="3">
        <v>29788</v>
      </c>
    </row>
    <row r="19" spans="1:4" x14ac:dyDescent="0.25">
      <c r="A19" s="3" t="s">
        <v>63</v>
      </c>
      <c r="B19" s="3" t="s">
        <v>134</v>
      </c>
      <c r="C19" s="4">
        <v>20230</v>
      </c>
    </row>
    <row r="20" spans="1:4" x14ac:dyDescent="0.25">
      <c r="A20" s="3" t="s">
        <v>64</v>
      </c>
      <c r="B20" s="3" t="s">
        <v>135</v>
      </c>
      <c r="C20" s="4">
        <v>13724</v>
      </c>
    </row>
    <row r="21" spans="1:4" x14ac:dyDescent="0.25">
      <c r="A21" s="3" t="s">
        <v>65</v>
      </c>
      <c r="B21" s="3" t="s">
        <v>65</v>
      </c>
      <c r="C21" s="4">
        <v>13750</v>
      </c>
    </row>
    <row r="22" spans="1:4" x14ac:dyDescent="0.25">
      <c r="A22" s="3" t="s">
        <v>66</v>
      </c>
      <c r="B22" s="3" t="s">
        <v>136</v>
      </c>
      <c r="C22" s="4">
        <v>20231</v>
      </c>
    </row>
    <row r="23" spans="1:4" x14ac:dyDescent="0.25">
      <c r="A23" s="3" t="s">
        <v>67</v>
      </c>
      <c r="B23" s="3" t="s">
        <v>124</v>
      </c>
      <c r="C23" s="4">
        <v>13774</v>
      </c>
    </row>
    <row r="24" spans="1:4" x14ac:dyDescent="0.25">
      <c r="A24" s="3" t="s">
        <v>68</v>
      </c>
      <c r="B24" s="6" t="s">
        <v>137</v>
      </c>
      <c r="C24" s="6">
        <v>13771</v>
      </c>
    </row>
    <row r="25" spans="1:4" x14ac:dyDescent="0.25">
      <c r="A25" s="3" t="s">
        <v>88</v>
      </c>
      <c r="B25" s="3"/>
      <c r="C25" s="3"/>
      <c r="D25" t="s">
        <v>102</v>
      </c>
    </row>
    <row r="26" spans="1:4" x14ac:dyDescent="0.25">
      <c r="A26" s="3" t="s">
        <v>69</v>
      </c>
      <c r="B26" s="3"/>
      <c r="C26" s="3"/>
      <c r="D26" t="s">
        <v>102</v>
      </c>
    </row>
    <row r="27" spans="1:4" x14ac:dyDescent="0.25">
      <c r="A27" s="3" t="s">
        <v>70</v>
      </c>
      <c r="B27" s="3" t="s">
        <v>126</v>
      </c>
      <c r="C27" s="3">
        <v>13765</v>
      </c>
    </row>
    <row r="28" spans="1:4" x14ac:dyDescent="0.25">
      <c r="A28" s="3" t="s">
        <v>71</v>
      </c>
      <c r="B28" s="3" t="s">
        <v>138</v>
      </c>
      <c r="C28" s="4">
        <v>13762</v>
      </c>
    </row>
    <row r="29" spans="1:4" x14ac:dyDescent="0.25">
      <c r="A29" s="3" t="s">
        <v>72</v>
      </c>
      <c r="B29" s="3" t="s">
        <v>127</v>
      </c>
      <c r="C29" s="3">
        <v>13773</v>
      </c>
    </row>
    <row r="30" spans="1:4" x14ac:dyDescent="0.25">
      <c r="A30" s="3" t="s">
        <v>73</v>
      </c>
      <c r="B30" s="3"/>
      <c r="C30" s="3"/>
      <c r="D30" t="s">
        <v>102</v>
      </c>
    </row>
    <row r="31" spans="1:4" x14ac:dyDescent="0.25">
      <c r="A31" s="3" t="s">
        <v>74</v>
      </c>
      <c r="B31" s="3"/>
      <c r="C31" s="3"/>
      <c r="D31" t="s">
        <v>102</v>
      </c>
    </row>
    <row r="32" spans="1:4" x14ac:dyDescent="0.25">
      <c r="A32" s="3" t="s">
        <v>75</v>
      </c>
      <c r="B32" s="3" t="s">
        <v>139</v>
      </c>
      <c r="C32" s="4">
        <v>20223</v>
      </c>
    </row>
    <row r="33" spans="1:4" x14ac:dyDescent="0.25">
      <c r="A33" s="3" t="s">
        <v>76</v>
      </c>
      <c r="B33" s="3" t="s">
        <v>140</v>
      </c>
      <c r="C33" s="4">
        <v>13727</v>
      </c>
    </row>
    <row r="34" spans="1:4" x14ac:dyDescent="0.25">
      <c r="A34" s="3" t="s">
        <v>89</v>
      </c>
      <c r="B34" s="3" t="s">
        <v>128</v>
      </c>
      <c r="C34" s="4">
        <v>13743</v>
      </c>
    </row>
    <row r="35" spans="1:4" x14ac:dyDescent="0.25">
      <c r="A35" s="3" t="s">
        <v>77</v>
      </c>
      <c r="B35" s="3" t="s">
        <v>141</v>
      </c>
      <c r="C35" s="4">
        <v>13778</v>
      </c>
    </row>
    <row r="36" spans="1:4" x14ac:dyDescent="0.25">
      <c r="A36" s="3" t="s">
        <v>78</v>
      </c>
      <c r="B36" s="3"/>
      <c r="C36" s="3"/>
      <c r="D36" t="s">
        <v>102</v>
      </c>
    </row>
    <row r="37" spans="1:4" x14ac:dyDescent="0.25">
      <c r="A37" s="3" t="s">
        <v>79</v>
      </c>
      <c r="B37" s="3" t="s">
        <v>139</v>
      </c>
      <c r="C37" s="4">
        <v>20209</v>
      </c>
    </row>
    <row r="38" spans="1:4" x14ac:dyDescent="0.25">
      <c r="A38" s="3" t="s">
        <v>80</v>
      </c>
      <c r="B38" s="3" t="s">
        <v>142</v>
      </c>
      <c r="C38" s="4">
        <v>13779</v>
      </c>
    </row>
    <row r="39" spans="1:4" x14ac:dyDescent="0.25">
      <c r="A39" s="3" t="s">
        <v>81</v>
      </c>
      <c r="B39" s="3" t="s">
        <v>143</v>
      </c>
      <c r="C39" s="4">
        <v>13767</v>
      </c>
    </row>
    <row r="40" spans="1:4" x14ac:dyDescent="0.25">
      <c r="A40" s="3" t="s">
        <v>82</v>
      </c>
      <c r="B40" s="3" t="s">
        <v>144</v>
      </c>
      <c r="C40" s="4">
        <v>26450</v>
      </c>
    </row>
    <row r="41" spans="1:4" x14ac:dyDescent="0.25">
      <c r="A41" s="3" t="s">
        <v>83</v>
      </c>
      <c r="B41" s="4" t="s">
        <v>129</v>
      </c>
      <c r="C41" s="4">
        <v>13775</v>
      </c>
    </row>
    <row r="42" spans="1:4" x14ac:dyDescent="0.25">
      <c r="A42" s="3" t="s">
        <v>68</v>
      </c>
      <c r="B42" s="6" t="s">
        <v>145</v>
      </c>
      <c r="C42" s="6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5B30E-D939-4FBF-96D4-EB46D69D6381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99</v>
      </c>
      <c r="B1" s="1" t="s">
        <v>100</v>
      </c>
      <c r="C1" s="2" t="s">
        <v>101</v>
      </c>
    </row>
  </sheetData>
  <conditionalFormatting sqref="C1">
    <cfRule type="duplicateValues" dxfId="3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tabSelected="1" workbookViewId="0">
      <selection activeCell="B8" sqref="B8"/>
    </sheetView>
  </sheetViews>
  <sheetFormatPr defaultRowHeight="15" x14ac:dyDescent="0.25"/>
  <cols>
    <col min="1" max="1" width="48.28515625" bestFit="1" customWidth="1"/>
    <col min="2" max="2" width="57.140625" customWidth="1"/>
    <col min="3" max="3" width="7.5703125" bestFit="1" customWidth="1"/>
    <col min="4" max="4" width="8.28515625" bestFit="1" customWidth="1"/>
  </cols>
  <sheetData>
    <row r="1" spans="1:4" x14ac:dyDescent="0.25">
      <c r="A1" s="1" t="s">
        <v>99</v>
      </c>
      <c r="B1" s="1" t="s">
        <v>100</v>
      </c>
      <c r="C1" s="2" t="s">
        <v>101</v>
      </c>
    </row>
    <row r="2" spans="1:4" x14ac:dyDescent="0.25">
      <c r="A2" s="3" t="s">
        <v>23</v>
      </c>
      <c r="B2" s="3" t="s">
        <v>147</v>
      </c>
      <c r="C2" s="4">
        <v>17539</v>
      </c>
    </row>
    <row r="3" spans="1:4" x14ac:dyDescent="0.25">
      <c r="A3" s="3" t="s">
        <v>84</v>
      </c>
      <c r="B3" s="3"/>
      <c r="C3" s="3"/>
      <c r="D3" t="s">
        <v>102</v>
      </c>
    </row>
    <row r="4" spans="1:4" x14ac:dyDescent="0.25">
      <c r="A4" s="3" t="s">
        <v>24</v>
      </c>
      <c r="B4" s="3" t="s">
        <v>148</v>
      </c>
      <c r="C4" s="4">
        <v>30399</v>
      </c>
    </row>
    <row r="5" spans="1:4" x14ac:dyDescent="0.25">
      <c r="A5" s="5" t="s">
        <v>25</v>
      </c>
      <c r="B5" s="5" t="s">
        <v>167</v>
      </c>
      <c r="C5" s="5">
        <v>30422</v>
      </c>
    </row>
    <row r="6" spans="1:4" x14ac:dyDescent="0.25">
      <c r="A6" s="5" t="s">
        <v>26</v>
      </c>
      <c r="B6" s="5" t="s">
        <v>167</v>
      </c>
      <c r="C6" s="5">
        <v>30422</v>
      </c>
    </row>
    <row r="7" spans="1:4" x14ac:dyDescent="0.25">
      <c r="A7" s="3" t="s">
        <v>27</v>
      </c>
      <c r="B7" s="3" t="s">
        <v>149</v>
      </c>
      <c r="C7" s="4">
        <v>30503</v>
      </c>
    </row>
    <row r="8" spans="1:4" x14ac:dyDescent="0.25">
      <c r="A8" s="3" t="s">
        <v>28</v>
      </c>
      <c r="B8" s="3" t="s">
        <v>146</v>
      </c>
      <c r="C8" s="3">
        <v>30511</v>
      </c>
    </row>
    <row r="9" spans="1:4" x14ac:dyDescent="0.25">
      <c r="A9" s="3" t="s">
        <v>29</v>
      </c>
      <c r="B9" s="3" t="s">
        <v>150</v>
      </c>
      <c r="C9" s="4">
        <v>30518</v>
      </c>
    </row>
    <row r="10" spans="1:4" x14ac:dyDescent="0.25">
      <c r="A10" s="3" t="s">
        <v>30</v>
      </c>
      <c r="B10" s="3" t="s">
        <v>151</v>
      </c>
      <c r="C10" s="4">
        <v>30674</v>
      </c>
    </row>
    <row r="11" spans="1:4" x14ac:dyDescent="0.25">
      <c r="A11" s="3" t="s">
        <v>31</v>
      </c>
      <c r="B11" s="3" t="s">
        <v>60</v>
      </c>
      <c r="C11" s="3">
        <v>30487</v>
      </c>
    </row>
    <row r="12" spans="1:4" x14ac:dyDescent="0.25">
      <c r="A12" s="3" t="s">
        <v>32</v>
      </c>
      <c r="B12" s="3" t="s">
        <v>152</v>
      </c>
      <c r="C12" s="4">
        <v>30497</v>
      </c>
    </row>
    <row r="13" spans="1:4" x14ac:dyDescent="0.25">
      <c r="A13" s="3" t="s">
        <v>33</v>
      </c>
      <c r="B13" s="3" t="s">
        <v>153</v>
      </c>
      <c r="C13" s="4">
        <v>30519</v>
      </c>
    </row>
    <row r="14" spans="1:4" x14ac:dyDescent="0.25">
      <c r="A14" s="3" t="s">
        <v>34</v>
      </c>
      <c r="B14" s="3" t="s">
        <v>154</v>
      </c>
      <c r="C14" s="4">
        <v>17538</v>
      </c>
    </row>
    <row r="15" spans="1:4" x14ac:dyDescent="0.25">
      <c r="A15" s="3" t="s">
        <v>35</v>
      </c>
      <c r="B15" s="3"/>
      <c r="C15" s="3"/>
      <c r="D15" t="s">
        <v>102</v>
      </c>
    </row>
    <row r="16" spans="1:4" x14ac:dyDescent="0.25">
      <c r="A16" s="3" t="s">
        <v>36</v>
      </c>
      <c r="B16" s="3" t="s">
        <v>164</v>
      </c>
      <c r="C16" s="4">
        <v>17563</v>
      </c>
    </row>
    <row r="17" spans="1:4" x14ac:dyDescent="0.25">
      <c r="A17" s="5" t="s">
        <v>37</v>
      </c>
      <c r="B17" s="5" t="s">
        <v>155</v>
      </c>
      <c r="C17" s="5">
        <v>17556</v>
      </c>
    </row>
    <row r="18" spans="1:4" x14ac:dyDescent="0.25">
      <c r="A18" s="5" t="s">
        <v>38</v>
      </c>
      <c r="B18" s="5" t="s">
        <v>155</v>
      </c>
      <c r="C18" s="5">
        <v>17556</v>
      </c>
    </row>
    <row r="19" spans="1:4" x14ac:dyDescent="0.25">
      <c r="A19" s="3" t="s">
        <v>39</v>
      </c>
      <c r="B19" s="3" t="s">
        <v>168</v>
      </c>
      <c r="C19" s="4">
        <v>17545</v>
      </c>
    </row>
    <row r="20" spans="1:4" x14ac:dyDescent="0.25">
      <c r="A20" s="3" t="s">
        <v>35</v>
      </c>
      <c r="B20" s="3" t="s">
        <v>156</v>
      </c>
      <c r="C20" s="4">
        <v>17537</v>
      </c>
    </row>
    <row r="21" spans="1:4" x14ac:dyDescent="0.25">
      <c r="A21" s="3" t="s">
        <v>40</v>
      </c>
      <c r="B21" s="3"/>
      <c r="C21" s="3"/>
      <c r="D21" t="s">
        <v>102</v>
      </c>
    </row>
    <row r="22" spans="1:4" x14ac:dyDescent="0.25">
      <c r="A22" s="5" t="s">
        <v>41</v>
      </c>
      <c r="B22" s="5" t="s">
        <v>157</v>
      </c>
      <c r="C22" s="5">
        <v>17553</v>
      </c>
    </row>
    <row r="23" spans="1:4" x14ac:dyDescent="0.25">
      <c r="A23" s="3" t="s">
        <v>42</v>
      </c>
      <c r="B23" s="3" t="s">
        <v>158</v>
      </c>
      <c r="C23" s="4">
        <v>30621</v>
      </c>
    </row>
    <row r="24" spans="1:4" x14ac:dyDescent="0.25">
      <c r="A24" s="5" t="s">
        <v>43</v>
      </c>
      <c r="B24" s="5" t="s">
        <v>157</v>
      </c>
      <c r="C24" s="5">
        <v>17553</v>
      </c>
    </row>
    <row r="25" spans="1:4" x14ac:dyDescent="0.25">
      <c r="A25" s="3" t="s">
        <v>44</v>
      </c>
      <c r="B25" s="3" t="s">
        <v>165</v>
      </c>
      <c r="C25" s="4">
        <v>17543</v>
      </c>
    </row>
    <row r="26" spans="1:4" x14ac:dyDescent="0.25">
      <c r="A26" s="3" t="s">
        <v>45</v>
      </c>
      <c r="B26" s="3" t="s">
        <v>159</v>
      </c>
      <c r="C26" s="4">
        <v>17528</v>
      </c>
    </row>
    <row r="27" spans="1:4" x14ac:dyDescent="0.25">
      <c r="A27" s="3" t="s">
        <v>46</v>
      </c>
      <c r="B27" s="3" t="s">
        <v>166</v>
      </c>
      <c r="C27" s="4">
        <v>17554</v>
      </c>
    </row>
    <row r="28" spans="1:4" x14ac:dyDescent="0.25">
      <c r="A28" s="3" t="s">
        <v>40</v>
      </c>
      <c r="B28" s="3" t="s">
        <v>160</v>
      </c>
      <c r="C28" s="4">
        <v>17536</v>
      </c>
    </row>
    <row r="29" spans="1:4" x14ac:dyDescent="0.25">
      <c r="A29" s="3" t="s">
        <v>85</v>
      </c>
      <c r="B29" s="3" t="s">
        <v>161</v>
      </c>
      <c r="C29" s="4">
        <v>30458</v>
      </c>
    </row>
    <row r="30" spans="1:4" x14ac:dyDescent="0.25">
      <c r="A30" s="3" t="s">
        <v>47</v>
      </c>
      <c r="B30" s="3" t="s">
        <v>162</v>
      </c>
      <c r="C30" s="4">
        <v>17519</v>
      </c>
    </row>
    <row r="31" spans="1:4" x14ac:dyDescent="0.25">
      <c r="A31" s="3" t="s">
        <v>48</v>
      </c>
      <c r="B31" s="3" t="s">
        <v>163</v>
      </c>
      <c r="C31" s="4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AEED5-F256-4DE9-88C7-32A04BA71F14}">
  <dimension ref="A1:C1"/>
  <sheetViews>
    <sheetView workbookViewId="0"/>
  </sheetViews>
  <sheetFormatPr defaultRowHeight="15" x14ac:dyDescent="0.25"/>
  <sheetData>
    <row r="1" spans="1:3" x14ac:dyDescent="0.25">
      <c r="A1" s="1" t="s">
        <v>99</v>
      </c>
      <c r="B1" s="1" t="s">
        <v>100</v>
      </c>
      <c r="C1" s="2" t="s">
        <v>101</v>
      </c>
    </row>
  </sheetData>
  <conditionalFormatting sqref="C1">
    <cfRule type="duplicateValues" dxfId="3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7B47-E941-4711-BC35-F709F8547A77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99</v>
      </c>
      <c r="B1" s="1" t="s">
        <v>100</v>
      </c>
      <c r="C1" s="2" t="s">
        <v>101</v>
      </c>
    </row>
  </sheetData>
  <conditionalFormatting sqref="C1">
    <cfRule type="duplicateValues" dxfId="31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6066A-4DF2-400A-A220-7A345067B283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99</v>
      </c>
      <c r="B1" s="1" t="s">
        <v>100</v>
      </c>
      <c r="C1" s="2" t="s">
        <v>101</v>
      </c>
    </row>
  </sheetData>
  <conditionalFormatting sqref="C1">
    <cfRule type="duplicateValues" dxfId="3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2025-12-31T04:30:38Z</dcterms:created>
  <dcterms:modified xsi:type="dcterms:W3CDTF">2026-01-20T10:07:46Z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2026-01-01T06:25:32Z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9ac0fdd4-e776-4f1f-b9b4-20948de104bc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