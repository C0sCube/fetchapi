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392A9849-4342-4EB5-89D0-7590B9E7FA7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8" r:id="rId2"/>
    <sheet name="BS_Standalone" sheetId="2" r:id="rId3"/>
    <sheet name="BS_Consolidated" sheetId="7" r:id="rId4"/>
    <sheet name="CFS_Standalone" sheetId="3" r:id="rId5"/>
    <sheet name="CFS_Consolidated" sheetId="6" r:id="rId6"/>
    <sheet name="SR_Standalone" sheetId="4" r:id="rId7"/>
    <sheet name="SR_Consolidated" sheetId="5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<sst xmlns="http://schemas.openxmlformats.org/spreadsheetml/2006/main" count="217" uniqueCount="160">
  <si>
    <t>Revenue from Operations</t>
  </si>
  <si>
    <t>Other Income</t>
  </si>
  <si>
    <t>Total Income</t>
  </si>
  <si>
    <t>EXPENSES</t>
  </si>
  <si>
    <t>Cost of materials consumed</t>
  </si>
  <si>
    <t>Purchases of Stock in trade</t>
  </si>
  <si>
    <t>Changes in Inventories of finished goods Stock-in-trade and work in progress</t>
  </si>
  <si>
    <t>Employee benefits expense</t>
  </si>
  <si>
    <t>Finance Costs</t>
  </si>
  <si>
    <t>Depreciation and amortization expenses</t>
  </si>
  <si>
    <t>Administrative Charges</t>
  </si>
  <si>
    <t>Other expenses</t>
  </si>
  <si>
    <t>Total Expenses</t>
  </si>
  <si>
    <t>Profit/(las5) before exceptional Items and tax</t>
  </si>
  <si>
    <t>Exceptional Items</t>
  </si>
  <si>
    <t>Profit/(loss) before tax</t>
  </si>
  <si>
    <t>Tax Expense</t>
  </si>
  <si>
    <t>Current Tax</t>
  </si>
  <si>
    <t>Deferred Tax</t>
  </si>
  <si>
    <t>Profit/(Loss) for the period from continuing operations</t>
  </si>
  <si>
    <t>Profit/(Loss) from discontinued operations</t>
  </si>
  <si>
    <t>Tax Expense of discontinued operations</t>
  </si>
  <si>
    <t>Profit/ (loss} from Discontinued operations! After Tax)</t>
  </si>
  <si>
    <t>Profit/(loss) for the period</t>
  </si>
  <si>
    <t>Other Comprehensive Income</t>
  </si>
  <si>
    <r>
      <rPr>
        <sz val="11"/>
        <color theme="1"/>
        <rFont val="Calibri"/>
        <family val="2"/>
        <charset val="1"/>
      </rPr>
      <t xml:space="preserve">Total Comprehensive Income for the </t>
    </r>
    <r>
      <rPr>
        <sz val="11"/>
        <color theme="1"/>
        <rFont val="Calibri"/>
        <family val="2"/>
      </rPr>
      <t>period  [Comprising Profit and Other Comprehensive Income for the period]</t>
    </r>
  </si>
  <si>
    <t>Paid up Equity Share Capital (Face value of Rs.4/- each)</t>
  </si>
  <si>
    <t>Reserves excluding revaluation reserves as per balance sheet of previous years</t>
  </si>
  <si>
    <t>Earnings per Equity Share (for continuing operation)</t>
  </si>
  <si>
    <t>Basic</t>
  </si>
  <si>
    <t>Diluted</t>
  </si>
  <si>
    <t>Earnings per Equity Share (for discontinued operation)</t>
  </si>
  <si>
    <t>Earnings per Equity Share (for continuing &amp; discontinued operation)</t>
  </si>
  <si>
    <t>Assets</t>
  </si>
  <si>
    <t>NON-CURRENT ASSETS</t>
  </si>
  <si>
    <t>Property, Plant &amp; Equipment</t>
  </si>
  <si>
    <t>Deferred tax Assets</t>
  </si>
  <si>
    <t>CURRENT ASSETS</t>
  </si>
  <si>
    <t>Inventories</t>
  </si>
  <si>
    <t>Financial Assets</t>
  </si>
  <si>
    <t>Loans and advances</t>
  </si>
  <si>
    <t>Trade Receivables</t>
  </si>
  <si>
    <t>Cash &amp; Cash Equivalents</t>
  </si>
  <si>
    <t>Other Current Assets</t>
  </si>
  <si>
    <t>Total</t>
  </si>
  <si>
    <t>EQUITY AND LIABILITES</t>
  </si>
  <si>
    <t>EQUITY</t>
  </si>
  <si>
    <t>Equity Share Capital</t>
  </si>
  <si>
    <t>Other Equity</t>
  </si>
  <si>
    <t>Total Equity Attributable to Owners of the Company</t>
  </si>
  <si>
    <t>Non-Current Liabilities</t>
  </si>
  <si>
    <t>Financial Liabilities</t>
  </si>
  <si>
    <t>Borrowings(Unsecured Loans)</t>
  </si>
  <si>
    <t>Deferred Tax Liabilities</t>
  </si>
  <si>
    <t>Current Liabilities</t>
  </si>
  <si>
    <t>Borrowings</t>
  </si>
  <si>
    <t>Trade Payables</t>
  </si>
  <si>
    <t>Other Current Liabilites</t>
  </si>
  <si>
    <t>Provisions</t>
  </si>
  <si>
    <t>Total Equity and Liabilities</t>
  </si>
  <si>
    <t>CASH FLOW FROM OPERATING ACTIVITIES:</t>
  </si>
  <si>
    <t>Net profit before tax</t>
  </si>
  <si>
    <t>Adjustment far:</t>
  </si>
  <si>
    <t>Depreciation and Amortisation</t>
  </si>
  <si>
    <t xml:space="preserve">Preliminary Expenses Written off </t>
  </si>
  <si>
    <t>interest Earned</t>
  </si>
  <si>
    <t>Cash Flows from Operations before changes in assets and liabilities</t>
  </si>
  <si>
    <t>Movements in Working Capital::</t>
  </si>
  <si>
    <t>(Increase)/ Decrease in trade receivables</t>
  </si>
  <si>
    <t>(Increase)/Decrease in other Current Assets</t>
  </si>
  <si>
    <t>(Increase) / Decrease in Inventories</t>
  </si>
  <si>
    <t>(Increase) / Decrease In Loans and Advances</t>
  </si>
  <si>
    <t>Increase I (Decrease) in Trade Payables</t>
  </si>
  <si>
    <t>Increase / (Decrease) in Short Term Provision</t>
  </si>
  <si>
    <t>Increase/! Decrease) in Other current liabilities</t>
  </si>
  <si>
    <t>Change In Working Capital</t>
  </si>
  <si>
    <t>Changes in non current assets and liabilities</t>
  </si>
  <si>
    <t>Decrease/(Increase) in loans &amp; advances</t>
  </si>
  <si>
    <t>(Decrease) / Increase in Long Term Provisions</t>
  </si>
  <si>
    <t>Decrease / (Increase) in Other non Current Assets</t>
  </si>
  <si>
    <t>Cash Generated From Operations</t>
  </si>
  <si>
    <t>Less: Taxes paid</t>
  </si>
  <si>
    <t>Net cash from operating activities</t>
  </si>
  <si>
    <t>CASH FLOW FROM INVESTING ACTIVITIES</t>
  </si>
  <si>
    <t>(Increase) / Decrease in Fixed assets and Capital Work In progress</t>
  </si>
  <si>
    <t>Bank Balances not considered as Cash and Cash equivalents</t>
  </si>
  <si>
    <t>Investment in equity Shares</t>
  </si>
  <si>
    <t>-Balance of Unclaimed Dividend</t>
  </si>
  <si>
    <t>Net cash used in Investing activities</t>
  </si>
  <si>
    <t>CASH FLOW FROM FINANCING ACTIVITIES</t>
  </si>
  <si>
    <t>Increase / (Decrease) In Share Capital</t>
  </si>
  <si>
    <t>Increase / (Decrease) in Borrowings</t>
  </si>
  <si>
    <t>Interest paid</t>
  </si>
  <si>
    <t>Net cash Flow from Financing Activities</t>
  </si>
  <si>
    <t>Effect of exchange differences on translation of foreign currency cash and cash equivalents</t>
  </si>
  <si>
    <t>Net Increase/(Decrease) in cash &amp; cash equivalents</t>
  </si>
  <si>
    <t>CASH &amp; CASH EQUIVALENTS AT THE BEGINNING OF THE YEAR</t>
  </si>
  <si>
    <t>CASH &amp; CASH EQUIVALENTS AT THE END OF THE YEAR</t>
  </si>
  <si>
    <t>Particulars</t>
  </si>
  <si>
    <t>Cogencis Field</t>
  </si>
  <si>
    <t>Field id</t>
  </si>
  <si>
    <t>Miscellaneous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</si>
  <si>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</si>
  <si>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</si>
  <si>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</si>
  <si>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</si>
  <si>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</si>
  <si>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Administration Expenses</t>
  </si>
  <si>
    <t>Other Expenses</t>
  </si>
  <si>
    <t>Other Exceptional Items</t>
  </si>
  <si>
    <t>Profit/(Loss) From Ordinary Activities before Tax</t>
  </si>
  <si>
    <t>Profit/(Loss) for the Period from Continuing Operations</t>
  </si>
  <si>
    <t>Profit/(Loss) from Discontinuing Operations</t>
  </si>
  <si>
    <t>Tax Expense of Discontinuing Operations</t>
  </si>
  <si>
    <t>Net Profit/(Loss) for the Period</t>
  </si>
  <si>
    <t>Reserve excluding Revaluation Reserves (as per Balance Sheet of Previous Accounting Year)</t>
  </si>
  <si>
    <t>Basic EPS</t>
  </si>
  <si>
    <t>Diluted EPS</t>
  </si>
  <si>
    <t>Heading</t>
  </si>
  <si>
    <t>Net Profit From Discontinuing Operations (After Tax)</t>
  </si>
  <si>
    <t>Items that will not be reclassified to Profit or Loss</t>
  </si>
  <si>
    <t>Total Comprehensive Gain (Loss) For the Year</t>
  </si>
  <si>
    <t>Paid-Up Equity Share Capital</t>
  </si>
  <si>
    <t>Profit/(Loss) from Ordinary Activities after Finance Costs but before Exceptional Items</t>
  </si>
  <si>
    <t>Deferred Tax Assets (Net)</t>
  </si>
  <si>
    <t>Cash And Cash Equivalents</t>
  </si>
  <si>
    <t>Total Equity And Liabilities</t>
  </si>
  <si>
    <t>Share Capital</t>
  </si>
  <si>
    <t>Reserves And Surplus/Other Equity</t>
  </si>
  <si>
    <t>Total Share Holder's Funds</t>
  </si>
  <si>
    <t>Deferred Tax Liability (Net)</t>
  </si>
  <si>
    <t>Other liabilities</t>
  </si>
  <si>
    <t>Loans, Current</t>
  </si>
  <si>
    <t>Total Assets</t>
  </si>
  <si>
    <t>Short-Term Provisions</t>
  </si>
  <si>
    <t>Net Profit Before Tax And Exceptional Item</t>
  </si>
  <si>
    <t>Depreciation and Amortisation Expense</t>
  </si>
  <si>
    <t>Interest Income</t>
  </si>
  <si>
    <t>Operating Profit Before Working Capital Changes</t>
  </si>
  <si>
    <t>Trade And Other Receivables</t>
  </si>
  <si>
    <t>Other Current and Non Current Assets</t>
  </si>
  <si>
    <t>Loans And Advances</t>
  </si>
  <si>
    <t>Trade Payables And Others</t>
  </si>
  <si>
    <t>Income Tax Paid</t>
  </si>
  <si>
    <t>Net Cash Flow From Operating Activities</t>
  </si>
  <si>
    <t>Purchase Of Fixed Assets (Tangible / Intangible)</t>
  </si>
  <si>
    <t>Others-Investing Activities</t>
  </si>
  <si>
    <t>Purchase Of Investments</t>
  </si>
  <si>
    <t>Net Cash Flow From Investing Activities</t>
  </si>
  <si>
    <t>Proceeds From Issue Of Equity Shares (Inclu Share Premium)</t>
  </si>
  <si>
    <t>Interest Paid</t>
  </si>
  <si>
    <t>Net Cash Flow From Financing Activities</t>
  </si>
  <si>
    <t>Effect of Exchange Fluctuation Translation Reserve</t>
  </si>
  <si>
    <t>Cash and Cash Equivalents at the Beginning of the Year</t>
  </si>
  <si>
    <t>Cash and Cash Equivalents at the End of the Year</t>
  </si>
  <si>
    <t>Miscellaneous Expenditure Written Off</t>
  </si>
  <si>
    <t>Other Current and Non Current Liabilities</t>
  </si>
  <si>
    <t>Proceeds From Long Term Borrowings</t>
  </si>
  <si>
    <t>Net Increase in Cash and Cash Equivalents</t>
  </si>
  <si>
    <t>Calculated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</si>
</sst>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FD-Finance\Finstinct%20Output%20Processed%20File\Field%20Mapping%20Combined%20File.xlsx-New.xlsx-Revised.xlsx" TargetMode="External"/><Relationship Id="rId1" Type="http://schemas.openxmlformats.org/officeDocument/2006/relationships/externalLinkPath" Target="/CFD-Finance/Finstinct%20Output%20Processed%20File/Field%20Mapping%20Combined%20File.xlsx-New.xlsx-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Balance Sheet"/>
      <sheetName val="Standalone Balance Sheet"/>
      <sheetName val="Consolidated Cash Flow"/>
      <sheetName val="Standalone Cash Flow"/>
      <sheetName val="Consolidated P&amp;L"/>
      <sheetName val="Standalone P&amp;L"/>
      <sheetName val="Consolidated Segment Finance"/>
      <sheetName val="Standalone Segment Finance"/>
      <sheetName val="Sheet4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/>
  </sheetViews>
  <sheetFormatPr defaultColWidth="8.5703125" defaultRowHeight="15" x14ac:dyDescent="0.25"/>
  <cols>
    <col min="1" max="2" width="77.42578125" customWidth="1"/>
    <col min="3" max="3" width="7.5703125" bestFit="1" customWidth="1"/>
  </cols>
  <sheetData>
    <row r="1" spans="1:4" x14ac:dyDescent="0.25">
      <c r="A1" s="1" t="s">
        <v>98</v>
      </c>
      <c r="B1" s="1" t="s">
        <v>99</v>
      </c>
      <c r="C1" s="1" t="s">
        <v>100</v>
      </c>
    </row>
    <row r="2" spans="1:4" x14ac:dyDescent="0.25">
      <c r="A2" s="2" t="s">
        <v>0</v>
      </c>
      <c r="B2" s="2" t="str">
        <f>VLOOKUP($A2,[1]!Standalone_P_L[[#All],[Particulars]:[Field id]],2,0)</f>
        <v>Gross Sales/Income from Operations</v>
      </c>
      <c r="C2" s="2">
        <f>VLOOKUP($A2,[1]!Standalone_P_L[[#All],[Particulars]:[Field id]],3,0)</f>
        <v>256</v>
      </c>
    </row>
    <row r="3" spans="1:4" x14ac:dyDescent="0.25">
      <c r="A3" s="2" t="s">
        <v>1</v>
      </c>
      <c r="B3" s="2" t="s">
        <v>101</v>
      </c>
      <c r="C3" s="2">
        <v>265</v>
      </c>
    </row>
    <row r="4" spans="1:4" x14ac:dyDescent="0.25">
      <c r="A4" s="2" t="s">
        <v>2</v>
      </c>
      <c r="B4" s="2" t="s">
        <v>2</v>
      </c>
      <c r="C4" s="2">
        <v>25238</v>
      </c>
    </row>
    <row r="5" spans="1:4" x14ac:dyDescent="0.25">
      <c r="A5" s="2" t="s">
        <v>3</v>
      </c>
      <c r="B5" s="2"/>
      <c r="C5" s="2"/>
      <c r="D5" t="s">
        <v>118</v>
      </c>
    </row>
    <row r="6" spans="1:4" x14ac:dyDescent="0.25">
      <c r="A6" s="2" t="s">
        <v>4</v>
      </c>
      <c r="B6" s="2" t="s">
        <v>102</v>
      </c>
      <c r="C6" s="2">
        <v>230</v>
      </c>
    </row>
    <row r="7" spans="1:4" x14ac:dyDescent="0.25">
      <c r="A7" s="2" t="s">
        <v>5</v>
      </c>
      <c r="B7" s="2" t="s">
        <v>103</v>
      </c>
      <c r="C7" s="2">
        <v>307</v>
      </c>
    </row>
    <row r="8" spans="1:4" x14ac:dyDescent="0.25">
      <c r="A8" s="2" t="s">
        <v>6</v>
      </c>
      <c r="B8" s="2" t="s">
        <v>104</v>
      </c>
      <c r="C8" s="2">
        <v>227</v>
      </c>
    </row>
    <row r="9" spans="1:4" x14ac:dyDescent="0.25">
      <c r="A9" s="2" t="s">
        <v>7</v>
      </c>
      <c r="B9" s="2" t="s">
        <v>105</v>
      </c>
      <c r="C9" s="2">
        <v>238</v>
      </c>
    </row>
    <row r="10" spans="1:4" x14ac:dyDescent="0.25">
      <c r="A10" s="2" t="s">
        <v>8</v>
      </c>
      <c r="B10" s="2" t="s">
        <v>8</v>
      </c>
      <c r="C10" s="2">
        <v>246</v>
      </c>
    </row>
    <row r="11" spans="1:4" x14ac:dyDescent="0.25">
      <c r="A11" s="2" t="s">
        <v>9</v>
      </c>
      <c r="B11" s="2" t="s">
        <v>106</v>
      </c>
      <c r="C11" s="2">
        <v>232</v>
      </c>
    </row>
    <row r="12" spans="1:4" x14ac:dyDescent="0.25">
      <c r="A12" s="2" t="s">
        <v>10</v>
      </c>
      <c r="B12" s="2" t="s">
        <v>107</v>
      </c>
      <c r="C12" s="2">
        <v>14861</v>
      </c>
    </row>
    <row r="13" spans="1:4" x14ac:dyDescent="0.25">
      <c r="A13" s="2" t="s">
        <v>11</v>
      </c>
      <c r="B13" s="2" t="s">
        <v>108</v>
      </c>
      <c r="C13" s="2">
        <v>279</v>
      </c>
    </row>
    <row r="14" spans="1:4" x14ac:dyDescent="0.25">
      <c r="A14" s="2" t="s">
        <v>12</v>
      </c>
      <c r="B14" s="2" t="s">
        <v>12</v>
      </c>
      <c r="C14" s="2">
        <v>320</v>
      </c>
    </row>
    <row r="15" spans="1:4" x14ac:dyDescent="0.25">
      <c r="A15" s="2" t="s">
        <v>13</v>
      </c>
      <c r="B15" s="4" t="s">
        <v>123</v>
      </c>
      <c r="C15" s="5">
        <v>294</v>
      </c>
    </row>
    <row r="16" spans="1:4" x14ac:dyDescent="0.25">
      <c r="A16" s="2" t="s">
        <v>14</v>
      </c>
      <c r="B16" s="2" t="s">
        <v>109</v>
      </c>
      <c r="C16" s="2">
        <v>278</v>
      </c>
    </row>
    <row r="17" spans="1:4" x14ac:dyDescent="0.25">
      <c r="A17" s="2" t="s">
        <v>15</v>
      </c>
      <c r="B17" s="2" t="s">
        <v>110</v>
      </c>
      <c r="C17" s="2">
        <v>296</v>
      </c>
    </row>
    <row r="18" spans="1:4" x14ac:dyDescent="0.25">
      <c r="A18" s="2" t="s">
        <v>16</v>
      </c>
      <c r="B18" s="2"/>
      <c r="C18" s="2"/>
      <c r="D18" t="s">
        <v>118</v>
      </c>
    </row>
    <row r="19" spans="1:4" x14ac:dyDescent="0.25">
      <c r="A19" s="2" t="s">
        <v>17</v>
      </c>
      <c r="B19" s="2" t="s">
        <v>16</v>
      </c>
      <c r="C19" s="2">
        <v>318</v>
      </c>
    </row>
    <row r="20" spans="1:4" x14ac:dyDescent="0.25">
      <c r="A20" s="2" t="s">
        <v>18</v>
      </c>
      <c r="B20" s="2" t="s">
        <v>18</v>
      </c>
      <c r="C20" s="2">
        <v>231</v>
      </c>
    </row>
    <row r="21" spans="1:4" x14ac:dyDescent="0.25">
      <c r="A21" s="2" t="s">
        <v>19</v>
      </c>
      <c r="B21" s="2" t="s">
        <v>111</v>
      </c>
      <c r="C21" s="2">
        <v>20017</v>
      </c>
    </row>
    <row r="22" spans="1:4" x14ac:dyDescent="0.25">
      <c r="A22" s="2" t="s">
        <v>20</v>
      </c>
      <c r="B22" s="2" t="s">
        <v>112</v>
      </c>
      <c r="C22" s="2">
        <v>20016</v>
      </c>
    </row>
    <row r="23" spans="1:4" x14ac:dyDescent="0.25">
      <c r="A23" s="2" t="s">
        <v>21</v>
      </c>
      <c r="B23" s="2" t="s">
        <v>113</v>
      </c>
      <c r="C23" s="2">
        <v>20018</v>
      </c>
    </row>
    <row r="24" spans="1:4" x14ac:dyDescent="0.25">
      <c r="A24" s="2" t="s">
        <v>22</v>
      </c>
      <c r="B24" s="4" t="s">
        <v>119</v>
      </c>
      <c r="C24" s="5">
        <v>20015</v>
      </c>
    </row>
    <row r="25" spans="1:4" x14ac:dyDescent="0.25">
      <c r="A25" s="2" t="s">
        <v>23</v>
      </c>
      <c r="B25" s="6" t="s">
        <v>114</v>
      </c>
      <c r="C25" s="6">
        <v>269</v>
      </c>
    </row>
    <row r="26" spans="1:4" x14ac:dyDescent="0.25">
      <c r="A26" s="2" t="s">
        <v>24</v>
      </c>
      <c r="B26" s="6" t="s">
        <v>120</v>
      </c>
      <c r="C26" s="7">
        <v>22293</v>
      </c>
    </row>
    <row r="27" spans="1:4" x14ac:dyDescent="0.25">
      <c r="A27" s="2" t="s">
        <v>25</v>
      </c>
      <c r="B27" s="4" t="s">
        <v>121</v>
      </c>
      <c r="C27" s="5">
        <v>20019</v>
      </c>
    </row>
    <row r="28" spans="1:4" x14ac:dyDescent="0.25">
      <c r="A28" s="2" t="s">
        <v>26</v>
      </c>
      <c r="B28" s="2" t="s">
        <v>122</v>
      </c>
      <c r="C28" s="3">
        <v>282</v>
      </c>
    </row>
    <row r="29" spans="1:4" x14ac:dyDescent="0.25">
      <c r="A29" s="2" t="s">
        <v>27</v>
      </c>
      <c r="B29" s="2" t="s">
        <v>115</v>
      </c>
      <c r="C29" s="2">
        <v>309</v>
      </c>
    </row>
    <row r="30" spans="1:4" x14ac:dyDescent="0.25">
      <c r="A30" s="2" t="s">
        <v>28</v>
      </c>
      <c r="B30" s="2"/>
      <c r="C30" s="2"/>
      <c r="D30" t="s">
        <v>118</v>
      </c>
    </row>
    <row r="31" spans="1:4" x14ac:dyDescent="0.25">
      <c r="A31" s="8" t="s">
        <v>29</v>
      </c>
      <c r="B31" s="8" t="s">
        <v>116</v>
      </c>
      <c r="C31" s="2">
        <v>222</v>
      </c>
    </row>
    <row r="32" spans="1:4" x14ac:dyDescent="0.25">
      <c r="A32" s="8" t="s">
        <v>30</v>
      </c>
      <c r="B32" s="8" t="s">
        <v>117</v>
      </c>
      <c r="C32" s="2">
        <v>234</v>
      </c>
    </row>
    <row r="33" spans="1:4" x14ac:dyDescent="0.25">
      <c r="A33" s="2" t="s">
        <v>31</v>
      </c>
      <c r="B33" s="2"/>
      <c r="C33" s="2"/>
      <c r="D33" t="s">
        <v>118</v>
      </c>
    </row>
    <row r="34" spans="1:4" x14ac:dyDescent="0.25">
      <c r="A34" s="8" t="s">
        <v>29</v>
      </c>
      <c r="B34" s="8" t="s">
        <v>116</v>
      </c>
      <c r="C34" s="2">
        <v>222</v>
      </c>
    </row>
    <row r="35" spans="1:4" x14ac:dyDescent="0.25">
      <c r="A35" s="8" t="s">
        <v>30</v>
      </c>
      <c r="B35" s="8" t="s">
        <v>117</v>
      </c>
      <c r="C35" s="2">
        <v>234</v>
      </c>
    </row>
    <row r="36" spans="1:4" x14ac:dyDescent="0.25">
      <c r="A36" s="2" t="s">
        <v>32</v>
      </c>
      <c r="B36" s="2"/>
      <c r="C36" s="2"/>
      <c r="D36" t="s">
        <v>118</v>
      </c>
    </row>
    <row r="37" spans="1:4" x14ac:dyDescent="0.25">
      <c r="A37" s="8" t="s">
        <v>29</v>
      </c>
      <c r="B37" s="8" t="s">
        <v>116</v>
      </c>
      <c r="C37" s="2">
        <v>222</v>
      </c>
    </row>
    <row r="38" spans="1:4" x14ac:dyDescent="0.25">
      <c r="A38" s="8" t="s">
        <v>30</v>
      </c>
      <c r="B38" s="8" t="s">
        <v>117</v>
      </c>
      <c r="C38" s="2">
        <v>234</v>
      </c>
    </row>
  </sheetData>
  <conditionalFormatting sqref="C1:C1048576">
    <cfRule type="duplicateValues" dxfId="9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DE4E-AB26-49E6-9CBD-CD463BAFCA7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98</v>
      </c>
      <c r="B1" s="1" t="s">
        <v>99</v>
      </c>
      <c r="C1" s="1" t="s">
        <v>100</v>
      </c>
    </row>
  </sheetData>
  <conditionalFormatting sqref="C1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zoomScaleNormal="100" workbookViewId="0">
      <selection activeCell="C1" sqref="C1:C1048576"/>
    </sheetView>
  </sheetViews>
  <sheetFormatPr defaultColWidth="8.5703125" defaultRowHeight="15" x14ac:dyDescent="0.25"/>
  <cols>
    <col min="1" max="1" width="48" bestFit="1" customWidth="1"/>
    <col min="2" max="2" width="32.7109375" bestFit="1" customWidth="1"/>
    <col min="3" max="3" width="7.5703125" bestFit="1" customWidth="1"/>
  </cols>
  <sheetData>
    <row r="1" spans="1:3" x14ac:dyDescent="0.25">
      <c r="A1" s="1" t="s">
        <v>98</v>
      </c>
      <c r="B1" s="1" t="s">
        <v>99</v>
      </c>
      <c r="C1" s="1" t="s">
        <v>100</v>
      </c>
    </row>
    <row r="2" spans="1:3" x14ac:dyDescent="0.25">
      <c r="A2" s="2" t="s">
        <v>33</v>
      </c>
      <c r="B2" s="2"/>
      <c r="C2" s="2"/>
    </row>
    <row r="3" spans="1:3" x14ac:dyDescent="0.25">
      <c r="A3" s="2" t="s">
        <v>34</v>
      </c>
      <c r="B3" s="2"/>
      <c r="C3" s="2"/>
    </row>
    <row r="4" spans="1:3" x14ac:dyDescent="0.25">
      <c r="A4" s="2" t="s">
        <v>35</v>
      </c>
      <c r="B4" s="2" t="s">
        <v>35</v>
      </c>
      <c r="C4" s="2">
        <v>20222</v>
      </c>
    </row>
    <row r="5" spans="1:3" x14ac:dyDescent="0.25">
      <c r="A5" s="2" t="s">
        <v>36</v>
      </c>
      <c r="B5" s="2" t="s">
        <v>124</v>
      </c>
      <c r="C5" s="3">
        <v>13726</v>
      </c>
    </row>
    <row r="6" spans="1:3" x14ac:dyDescent="0.25">
      <c r="A6" s="2" t="s">
        <v>37</v>
      </c>
      <c r="B6" s="2"/>
      <c r="C6" s="2"/>
    </row>
    <row r="7" spans="1:3" x14ac:dyDescent="0.25">
      <c r="A7" s="2" t="s">
        <v>38</v>
      </c>
      <c r="B7" s="2" t="s">
        <v>38</v>
      </c>
      <c r="C7" s="2">
        <v>13737</v>
      </c>
    </row>
    <row r="8" spans="1:3" x14ac:dyDescent="0.25">
      <c r="A8" s="2" t="s">
        <v>39</v>
      </c>
      <c r="B8" s="2"/>
      <c r="C8" s="2"/>
    </row>
    <row r="9" spans="1:3" x14ac:dyDescent="0.25">
      <c r="A9" s="2" t="s">
        <v>40</v>
      </c>
      <c r="B9" s="2" t="s">
        <v>132</v>
      </c>
      <c r="C9" s="3">
        <v>20230</v>
      </c>
    </row>
    <row r="10" spans="1:3" x14ac:dyDescent="0.25">
      <c r="A10" s="2" t="s">
        <v>41</v>
      </c>
      <c r="B10" s="2" t="s">
        <v>41</v>
      </c>
      <c r="C10" s="3">
        <v>13780</v>
      </c>
    </row>
    <row r="11" spans="1:3" x14ac:dyDescent="0.25">
      <c r="A11" s="2" t="s">
        <v>42</v>
      </c>
      <c r="B11" s="2" t="s">
        <v>125</v>
      </c>
      <c r="C11" s="2">
        <v>13722</v>
      </c>
    </row>
    <row r="12" spans="1:3" x14ac:dyDescent="0.25">
      <c r="A12" s="2" t="s">
        <v>43</v>
      </c>
      <c r="B12" s="2" t="s">
        <v>43</v>
      </c>
      <c r="C12" s="2">
        <v>13750</v>
      </c>
    </row>
    <row r="13" spans="1:3" x14ac:dyDescent="0.25">
      <c r="A13" s="2" t="s">
        <v>44</v>
      </c>
      <c r="B13" s="2" t="s">
        <v>133</v>
      </c>
      <c r="C13" s="2">
        <v>13771</v>
      </c>
    </row>
    <row r="14" spans="1:3" x14ac:dyDescent="0.25">
      <c r="A14" s="2" t="s">
        <v>45</v>
      </c>
      <c r="B14" s="2"/>
      <c r="C14" s="2"/>
    </row>
    <row r="15" spans="1:3" x14ac:dyDescent="0.25">
      <c r="A15" s="2" t="s">
        <v>46</v>
      </c>
      <c r="B15" s="2"/>
      <c r="C15" s="2"/>
    </row>
    <row r="16" spans="1:3" x14ac:dyDescent="0.25">
      <c r="A16" s="2" t="s">
        <v>47</v>
      </c>
      <c r="B16" s="2" t="s">
        <v>127</v>
      </c>
      <c r="C16" s="2">
        <v>13765</v>
      </c>
    </row>
    <row r="17" spans="1:3" x14ac:dyDescent="0.25">
      <c r="A17" s="2" t="s">
        <v>48</v>
      </c>
      <c r="B17" s="2" t="s">
        <v>128</v>
      </c>
      <c r="C17" s="2">
        <v>13762</v>
      </c>
    </row>
    <row r="18" spans="1:3" x14ac:dyDescent="0.25">
      <c r="A18" s="2" t="s">
        <v>49</v>
      </c>
      <c r="B18" s="2" t="s">
        <v>129</v>
      </c>
      <c r="C18" s="2">
        <v>13773</v>
      </c>
    </row>
    <row r="19" spans="1:3" x14ac:dyDescent="0.25">
      <c r="A19" s="2" t="s">
        <v>50</v>
      </c>
      <c r="B19" s="2"/>
      <c r="C19" s="2"/>
    </row>
    <row r="20" spans="1:3" x14ac:dyDescent="0.25">
      <c r="A20" s="2" t="s">
        <v>51</v>
      </c>
      <c r="B20" s="2"/>
      <c r="C20" s="2"/>
    </row>
    <row r="21" spans="1:3" x14ac:dyDescent="0.25">
      <c r="A21" s="2" t="s">
        <v>52</v>
      </c>
      <c r="B21" s="2" t="s">
        <v>55</v>
      </c>
      <c r="C21" s="2">
        <v>20223</v>
      </c>
    </row>
    <row r="22" spans="1:3" x14ac:dyDescent="0.25">
      <c r="A22" s="2" t="s">
        <v>53</v>
      </c>
      <c r="B22" s="2" t="s">
        <v>130</v>
      </c>
      <c r="C22" s="2">
        <v>13727</v>
      </c>
    </row>
    <row r="23" spans="1:3" x14ac:dyDescent="0.25">
      <c r="A23" s="2" t="s">
        <v>54</v>
      </c>
      <c r="B23" s="2"/>
      <c r="C23" s="2"/>
    </row>
    <row r="24" spans="1:3" x14ac:dyDescent="0.25">
      <c r="A24" s="2" t="s">
        <v>51</v>
      </c>
      <c r="B24" s="2"/>
      <c r="C24" s="2"/>
    </row>
    <row r="25" spans="1:3" x14ac:dyDescent="0.25">
      <c r="A25" s="2" t="s">
        <v>55</v>
      </c>
      <c r="B25" s="2" t="s">
        <v>55</v>
      </c>
      <c r="C25" s="2">
        <v>20209</v>
      </c>
    </row>
    <row r="26" spans="1:3" x14ac:dyDescent="0.25">
      <c r="A26" s="2" t="s">
        <v>56</v>
      </c>
      <c r="B26" s="2" t="s">
        <v>56</v>
      </c>
      <c r="C26" s="3">
        <v>13779</v>
      </c>
    </row>
    <row r="27" spans="1:3" x14ac:dyDescent="0.25">
      <c r="A27" s="2" t="s">
        <v>57</v>
      </c>
      <c r="B27" s="2" t="s">
        <v>131</v>
      </c>
      <c r="C27" s="2">
        <v>26450</v>
      </c>
    </row>
    <row r="28" spans="1:3" x14ac:dyDescent="0.25">
      <c r="A28" s="2" t="s">
        <v>58</v>
      </c>
      <c r="B28" s="2" t="s">
        <v>134</v>
      </c>
      <c r="C28" s="3">
        <v>13767</v>
      </c>
    </row>
    <row r="29" spans="1:3" x14ac:dyDescent="0.25">
      <c r="A29" s="2" t="s">
        <v>59</v>
      </c>
      <c r="B29" s="2" t="s">
        <v>126</v>
      </c>
      <c r="C29" s="2">
        <v>13776</v>
      </c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E0DB-51BB-4D09-9307-E00B9424FD0E}">
  <dimension ref="A1:C1"/>
  <sheetViews>
    <sheetView workbookViewId="0">
      <selection sqref="A1:C1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98</v>
      </c>
      <c r="B1" s="1" t="s">
        <v>99</v>
      </c>
      <c r="C1" s="1" t="s">
        <v>100</v>
      </c>
    </row>
  </sheetData>
  <conditionalFormatting sqref="C1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zoomScaleNormal="100" workbookViewId="0">
      <selection activeCell="C1" sqref="A1:C1"/>
    </sheetView>
  </sheetViews>
  <sheetFormatPr defaultColWidth="8.5703125" defaultRowHeight="15" x14ac:dyDescent="0.25"/>
  <cols>
    <col min="1" max="1" width="83.28515625" bestFit="1" customWidth="1"/>
    <col min="2" max="2" width="84.7109375" bestFit="1" customWidth="1"/>
    <col min="3" max="3" width="7.5703125" bestFit="1" customWidth="1"/>
  </cols>
  <sheetData>
    <row r="1" spans="1:3" x14ac:dyDescent="0.25">
      <c r="A1" s="1" t="s">
        <v>98</v>
      </c>
      <c r="B1" s="1" t="s">
        <v>99</v>
      </c>
      <c r="C1" s="1" t="s">
        <v>100</v>
      </c>
    </row>
    <row r="2" spans="1:3" x14ac:dyDescent="0.25">
      <c r="A2" s="2" t="s">
        <v>60</v>
      </c>
      <c r="B2" s="2"/>
      <c r="C2" s="2"/>
    </row>
    <row r="3" spans="1:3" x14ac:dyDescent="0.25">
      <c r="A3" s="2" t="s">
        <v>61</v>
      </c>
      <c r="B3" s="2" t="s">
        <v>135</v>
      </c>
      <c r="C3" s="2">
        <v>17539</v>
      </c>
    </row>
    <row r="4" spans="1:3" x14ac:dyDescent="0.25">
      <c r="A4" s="2" t="s">
        <v>62</v>
      </c>
      <c r="B4" s="2"/>
      <c r="C4" s="2"/>
    </row>
    <row r="5" spans="1:3" x14ac:dyDescent="0.25">
      <c r="A5" s="2" t="s">
        <v>63</v>
      </c>
      <c r="B5" s="2" t="s">
        <v>136</v>
      </c>
      <c r="C5" s="2">
        <v>30399</v>
      </c>
    </row>
    <row r="6" spans="1:3" x14ac:dyDescent="0.25">
      <c r="A6" s="2" t="s">
        <v>64</v>
      </c>
      <c r="B6" s="2" t="s">
        <v>155</v>
      </c>
      <c r="C6" s="3">
        <v>30505</v>
      </c>
    </row>
    <row r="7" spans="1:3" x14ac:dyDescent="0.25">
      <c r="A7" s="6" t="s">
        <v>65</v>
      </c>
      <c r="B7" s="2" t="s">
        <v>137</v>
      </c>
      <c r="C7" s="2">
        <v>30481</v>
      </c>
    </row>
    <row r="8" spans="1:3" x14ac:dyDescent="0.25">
      <c r="A8" s="2" t="s">
        <v>66</v>
      </c>
      <c r="B8" s="2" t="s">
        <v>138</v>
      </c>
      <c r="C8" s="2">
        <v>30511</v>
      </c>
    </row>
    <row r="9" spans="1:3" x14ac:dyDescent="0.25">
      <c r="A9" s="2" t="s">
        <v>67</v>
      </c>
      <c r="B9" s="2"/>
      <c r="C9" s="2"/>
    </row>
    <row r="10" spans="1:3" x14ac:dyDescent="0.25">
      <c r="A10" s="2" t="s">
        <v>68</v>
      </c>
      <c r="B10" s="2" t="s">
        <v>139</v>
      </c>
      <c r="C10" s="3">
        <v>30674</v>
      </c>
    </row>
    <row r="11" spans="1:3" x14ac:dyDescent="0.25">
      <c r="A11" s="8" t="s">
        <v>69</v>
      </c>
      <c r="B11" s="8" t="s">
        <v>140</v>
      </c>
      <c r="C11" s="2">
        <v>30518</v>
      </c>
    </row>
    <row r="12" spans="1:3" x14ac:dyDescent="0.25">
      <c r="A12" s="2" t="s">
        <v>70</v>
      </c>
      <c r="B12" s="2" t="s">
        <v>38</v>
      </c>
      <c r="C12" s="2">
        <v>30487</v>
      </c>
    </row>
    <row r="13" spans="1:3" x14ac:dyDescent="0.25">
      <c r="A13" s="8" t="s">
        <v>71</v>
      </c>
      <c r="B13" s="8" t="s">
        <v>141</v>
      </c>
      <c r="C13" s="8">
        <v>30497</v>
      </c>
    </row>
    <row r="14" spans="1:3" x14ac:dyDescent="0.25">
      <c r="A14" s="2" t="s">
        <v>72</v>
      </c>
      <c r="B14" s="2" t="s">
        <v>142</v>
      </c>
      <c r="C14" s="2">
        <v>30675</v>
      </c>
    </row>
    <row r="15" spans="1:3" x14ac:dyDescent="0.25">
      <c r="A15" s="8" t="s">
        <v>73</v>
      </c>
      <c r="B15" s="8" t="s">
        <v>58</v>
      </c>
      <c r="C15" s="8">
        <v>30627</v>
      </c>
    </row>
    <row r="16" spans="1:3" x14ac:dyDescent="0.25">
      <c r="A16" s="2" t="s">
        <v>74</v>
      </c>
      <c r="B16" s="2" t="s">
        <v>156</v>
      </c>
      <c r="C16" s="3">
        <v>30519</v>
      </c>
    </row>
    <row r="17" spans="1:4" x14ac:dyDescent="0.25">
      <c r="A17" s="2" t="s">
        <v>75</v>
      </c>
      <c r="B17" s="2"/>
      <c r="C17" s="2"/>
      <c r="D17" t="s">
        <v>159</v>
      </c>
    </row>
    <row r="18" spans="1:4" x14ac:dyDescent="0.25">
      <c r="A18" s="2" t="s">
        <v>76</v>
      </c>
      <c r="B18" s="2"/>
      <c r="C18" s="2"/>
      <c r="D18" t="s">
        <v>118</v>
      </c>
    </row>
    <row r="19" spans="1:4" x14ac:dyDescent="0.25">
      <c r="A19" s="8" t="s">
        <v>77</v>
      </c>
      <c r="B19" s="8" t="s">
        <v>141</v>
      </c>
      <c r="C19" s="8">
        <v>30497</v>
      </c>
    </row>
    <row r="20" spans="1:4" x14ac:dyDescent="0.25">
      <c r="A20" s="8" t="s">
        <v>78</v>
      </c>
      <c r="B20" s="8" t="s">
        <v>58</v>
      </c>
      <c r="C20" s="8">
        <v>30627</v>
      </c>
    </row>
    <row r="21" spans="1:4" x14ac:dyDescent="0.25">
      <c r="A21" s="8" t="s">
        <v>79</v>
      </c>
      <c r="B21" s="8" t="s">
        <v>140</v>
      </c>
      <c r="C21" s="2">
        <v>30518</v>
      </c>
    </row>
    <row r="22" spans="1:4" x14ac:dyDescent="0.25">
      <c r="A22" s="2" t="s">
        <v>76</v>
      </c>
      <c r="B22" s="2"/>
      <c r="C22" s="2"/>
      <c r="D22" t="s">
        <v>159</v>
      </c>
    </row>
    <row r="23" spans="1:4" x14ac:dyDescent="0.25">
      <c r="A23" s="2" t="s">
        <v>80</v>
      </c>
      <c r="B23" s="2" t="s">
        <v>80</v>
      </c>
      <c r="C23" s="2">
        <v>30372</v>
      </c>
    </row>
    <row r="24" spans="1:4" x14ac:dyDescent="0.25">
      <c r="A24" s="2" t="s">
        <v>81</v>
      </c>
      <c r="B24" s="2" t="s">
        <v>143</v>
      </c>
      <c r="C24" s="3">
        <v>30422</v>
      </c>
    </row>
    <row r="25" spans="1:4" x14ac:dyDescent="0.25">
      <c r="A25" s="2" t="s">
        <v>82</v>
      </c>
      <c r="B25" s="2" t="s">
        <v>144</v>
      </c>
      <c r="C25" s="2">
        <v>17538</v>
      </c>
    </row>
    <row r="26" spans="1:4" x14ac:dyDescent="0.25">
      <c r="A26" s="2" t="s">
        <v>83</v>
      </c>
      <c r="B26" s="2"/>
      <c r="C26" s="2"/>
    </row>
    <row r="27" spans="1:4" x14ac:dyDescent="0.25">
      <c r="A27" s="2" t="s">
        <v>84</v>
      </c>
      <c r="B27" s="2" t="s">
        <v>145</v>
      </c>
      <c r="C27" s="2">
        <v>17556</v>
      </c>
    </row>
    <row r="28" spans="1:4" x14ac:dyDescent="0.25">
      <c r="A28" s="8" t="s">
        <v>85</v>
      </c>
      <c r="B28" s="8" t="s">
        <v>146</v>
      </c>
      <c r="C28" s="2">
        <v>17545</v>
      </c>
    </row>
    <row r="29" spans="1:4" x14ac:dyDescent="0.25">
      <c r="A29" s="2" t="s">
        <v>86</v>
      </c>
      <c r="B29" s="2" t="s">
        <v>147</v>
      </c>
      <c r="C29" s="2">
        <v>17557</v>
      </c>
    </row>
    <row r="30" spans="1:4" x14ac:dyDescent="0.25">
      <c r="A30" s="8" t="s">
        <v>87</v>
      </c>
      <c r="B30" s="8" t="s">
        <v>146</v>
      </c>
      <c r="C30" s="3">
        <v>17545</v>
      </c>
    </row>
    <row r="31" spans="1:4" x14ac:dyDescent="0.25">
      <c r="A31" s="2" t="s">
        <v>88</v>
      </c>
      <c r="B31" s="2" t="s">
        <v>148</v>
      </c>
      <c r="C31" s="2">
        <v>17537</v>
      </c>
    </row>
    <row r="32" spans="1:4" x14ac:dyDescent="0.25">
      <c r="A32" s="2" t="s">
        <v>89</v>
      </c>
      <c r="B32" s="2"/>
      <c r="C32" s="2"/>
    </row>
    <row r="33" spans="1:3" x14ac:dyDescent="0.25">
      <c r="A33" s="2" t="s">
        <v>90</v>
      </c>
      <c r="B33" s="2" t="s">
        <v>149</v>
      </c>
      <c r="C33" s="2">
        <v>17553</v>
      </c>
    </row>
    <row r="34" spans="1:3" x14ac:dyDescent="0.25">
      <c r="A34" s="2" t="s">
        <v>91</v>
      </c>
      <c r="B34" s="2" t="s">
        <v>157</v>
      </c>
      <c r="C34" s="3">
        <v>17554</v>
      </c>
    </row>
    <row r="35" spans="1:3" x14ac:dyDescent="0.25">
      <c r="A35" s="2" t="s">
        <v>92</v>
      </c>
      <c r="B35" s="2" t="s">
        <v>150</v>
      </c>
      <c r="C35" s="3">
        <v>30484</v>
      </c>
    </row>
    <row r="36" spans="1:3" x14ac:dyDescent="0.25">
      <c r="A36" s="2" t="s">
        <v>93</v>
      </c>
      <c r="B36" s="2" t="s">
        <v>151</v>
      </c>
      <c r="C36" s="2">
        <v>17536</v>
      </c>
    </row>
    <row r="37" spans="1:3" x14ac:dyDescent="0.25">
      <c r="A37" s="2" t="s">
        <v>94</v>
      </c>
      <c r="B37" s="2" t="s">
        <v>152</v>
      </c>
      <c r="C37" s="3">
        <v>17529</v>
      </c>
    </row>
    <row r="38" spans="1:3" x14ac:dyDescent="0.25">
      <c r="A38" s="2" t="s">
        <v>95</v>
      </c>
      <c r="B38" s="4" t="s">
        <v>158</v>
      </c>
      <c r="C38" s="5">
        <v>17541</v>
      </c>
    </row>
    <row r="39" spans="1:3" x14ac:dyDescent="0.25">
      <c r="A39" s="2" t="s">
        <v>96</v>
      </c>
      <c r="B39" s="2" t="s">
        <v>153</v>
      </c>
      <c r="C39" s="2">
        <v>17519</v>
      </c>
    </row>
    <row r="40" spans="1:3" x14ac:dyDescent="0.25">
      <c r="A40" s="2" t="s">
        <v>97</v>
      </c>
      <c r="B40" s="2" t="s">
        <v>154</v>
      </c>
      <c r="C40" s="2">
        <v>30371</v>
      </c>
    </row>
  </sheetData>
  <conditionalFormatting sqref="C1:C1048576">
    <cfRule type="duplicateValues" priority="2"/>
    <cfRule type="duplicateValues" dxfId="8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37AE-E0DB-4072-885B-A1484F83FC01}">
  <dimension ref="A1:C1"/>
  <sheetViews>
    <sheetView workbookViewId="0">
      <selection sqref="A1:C1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98</v>
      </c>
      <c r="B1" s="1" t="s">
        <v>99</v>
      </c>
      <c r="C1" s="1" t="s">
        <v>100</v>
      </c>
    </row>
  </sheetData>
  <conditionalFormatting sqref="C1">
    <cfRule type="duplicateValues" dxfId="5" priority="1"/>
    <cfRule type="duplicateValues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CA5D-712D-47F9-8939-AE4FCFA5299F}">
  <dimension ref="A1:C1"/>
  <sheetViews>
    <sheetView workbookViewId="0">
      <selection sqref="A1:C1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98</v>
      </c>
      <c r="B1" s="1" t="s">
        <v>99</v>
      </c>
      <c r="C1" s="1" t="s">
        <v>100</v>
      </c>
    </row>
  </sheetData>
  <conditionalFormatting sqref="C1">
    <cfRule type="duplicateValues" dxfId="7" priority="1"/>
    <cfRule type="duplicateValues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0E7C-B2BE-4707-B471-0D0498D063CC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98</v>
      </c>
      <c r="B1" s="1" t="s">
        <v>99</v>
      </c>
      <c r="C1" s="1" t="s">
        <v>100</v>
      </c>
    </row>
  </sheetData>
  <conditionalFormatting sqref="C1">
    <cfRule type="duplicateValues" dxfId="6" priority="1"/>
    <cfRule type="duplicateValues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3</cp:revision>
  <dcterms:created xsi:type="dcterms:W3CDTF">2026-01-03T06:45:14Z</dcterms:created>
  <dcterms:modified xsi:type="dcterms:W3CDTF">2026-01-21T10:16:33Z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2026-01-21T10:14:05Z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f8c3ce87-1b18-4d1b-9a15-6974c8269036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