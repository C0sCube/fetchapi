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7CEA4281-210C-4BB8-BAF1-64A80DAFA20F}" xr6:coauthVersionLast="47" xr6:coauthVersionMax="47" xr10:uidLastSave="{00000000-0000-0000-0000-000000000000}"/>
  <bookViews>
    <workbookView xWindow="-120" yWindow="-120" windowWidth="20730" windowHeight="11040" tabRatio="500" firstSheet="5" activeTab="7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externalReferences>
    <externalReference r:id="rId9"/>
  </externalReferences>
  <definedNames>
    <definedName name="_xlnm._FilterDatabase" localSheetId="2" hidden="1">BS_Standalone!$A$1:$C$57</definedName>
    <definedName name="_xlnm._FilterDatabase" localSheetId="4" hidden="1">CFS_Standalone!$A$1:$C$41</definedName>
    <definedName name="_xlnm._FilterDatabase" localSheetId="0" hidden="1">'P&amp;L_Standalone'!$A$1:$C$42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3" l="1"/>
  <c r="C3" i="3"/>
  <c r="B4" i="3"/>
  <c r="B6" i="3"/>
  <c r="C6" i="3"/>
  <c r="B25" i="3"/>
  <c r="B29" i="3"/>
  <c r="B2" i="3"/>
  <c r="B4" i="1"/>
  <c r="C4" i="1"/>
  <c r="B7" i="1"/>
  <c r="C7" i="1"/>
  <c r="B13" i="1"/>
  <c r="C13" i="1"/>
  <c r="B15" i="1"/>
  <c r="C15" i="1"/>
</calcChain>
</file>

<file path=xl/sharedStrings.xml><?xml version="1.0" encoding="utf-8"?>
<sst xmlns="http://schemas.openxmlformats.org/spreadsheetml/2006/main" count="286" uniqueCount="215">
  <si>
    <t>Revenue From Operations</t>
  </si>
  <si>
    <t>Other Income</t>
  </si>
  <si>
    <t>Total Revenue from operations (net)</t>
  </si>
  <si>
    <t>Expenditure</t>
  </si>
  <si>
    <t>Employee Benefit Expenses</t>
  </si>
  <si>
    <t>Cost of materials consumed</t>
  </si>
  <si>
    <t>Changes in inventories of finished goods, work-in- progress and stock-in-trade</t>
  </si>
  <si>
    <t>Finance Costs</t>
  </si>
  <si>
    <t>Depreciation and amortisation expense</t>
  </si>
  <si>
    <t>Other Expenses</t>
  </si>
  <si>
    <t>Total expenses</t>
  </si>
  <si>
    <t>Profit (loss) Before exceptional &amp; Extraordinary items and Tax</t>
  </si>
  <si>
    <t>Exceptional items</t>
  </si>
  <si>
    <t>Profit (loss) from ordinary activities before tax</t>
  </si>
  <si>
    <t>Tax Expenses - Current Tax</t>
  </si>
  <si>
    <t>(less):· MAT Credit</t>
  </si>
  <si>
    <t>Current Tax Expense Relating to Prior years</t>
  </si>
  <si>
    <t>Deferred Tax (Assets)/llabtlltles</t>
  </si>
  <si>
    <t>Profit (loss) from ordinary activities</t>
  </si>
  <si>
    <t>Other Comprehensive Income (OCI)</t>
  </si>
  <si>
    <t>Items that will not be reclassified to profit or loss</t>
  </si>
  <si>
    <t>Income tax relating to items that will be reclassified to profit or loss</t>
  </si>
  <si>
    <t>Items that will be reclassified to profit or loss</t>
  </si>
  <si>
    <t>Total Profit After Other Comprehensive Income</t>
  </si>
  <si>
    <t>Profit/(Loss) From Discountinuing Operation Before Tax</t>
  </si>
  <si>
    <t>Tax Expenses of Discontinuing Operations</t>
  </si>
  <si>
    <t>Net Profit/(Loss) from Discountinuing Opration After Tax</t>
  </si>
  <si>
    <t>Profit(Loss) For Period Before Minority Interest</t>
  </si>
  <si>
    <t>Share Of Profit / Loss Associates</t>
  </si>
  <si>
    <t>Profit/Loss Of Minority Interset</t>
  </si>
  <si>
    <t>Net Profit (+)/ Loss (-) For the Period</t>
  </si>
  <si>
    <t>Details of equity share capital</t>
  </si>
  <si>
    <t>Paid-up equity share capital</t>
  </si>
  <si>
    <t>Face value of equity share capital (per share)</t>
  </si>
  <si>
    <t>Reserve Excluding Revaluation Reserves As Par Balance sheet Of previous Year</t>
  </si>
  <si>
    <t>Earnings per share (EPS)</t>
  </si>
  <si>
    <t>Basic earnings per share from countinuing And Discountinuing operations</t>
  </si>
  <si>
    <r>
      <rPr>
        <sz val="11"/>
        <color theme="1"/>
        <rFont val="Calibri"/>
        <family val="2"/>
        <charset val="1"/>
      </rPr>
      <t xml:space="preserve">Diluted </t>
    </r>
    <r>
      <rPr>
        <sz val="11"/>
        <color theme="1"/>
        <rFont val="Calibri"/>
        <family val="2"/>
      </rPr>
      <t>earnings</t>
    </r>
    <r>
      <rPr>
        <sz val="11"/>
        <color theme="1"/>
        <rFont val="Calibri"/>
        <family val="2"/>
        <charset val="1"/>
      </rPr>
      <t xml:space="preserve"> per share from countinuing And Discountinuing operations</t>
    </r>
  </si>
  <si>
    <t>ASSETS</t>
  </si>
  <si>
    <t>Non-current assets</t>
  </si>
  <si>
    <t>Property, Plant and Equipment</t>
  </si>
  <si>
    <t>Capital work-in-progress</t>
  </si>
  <si>
    <t>Investment Property</t>
  </si>
  <si>
    <t>Goodwill</t>
  </si>
  <si>
    <t>Other Intangible assets</t>
  </si>
  <si>
    <t>Intangible assets under development</t>
  </si>
  <si>
    <t>Biological Assets other than bearer plants</t>
  </si>
  <si>
    <t>Investments accounted for using equity method</t>
  </si>
  <si>
    <t>Financial Assets</t>
  </si>
  <si>
    <t>Investments</t>
  </si>
  <si>
    <t>Trade receivables</t>
  </si>
  <si>
    <t>Loans</t>
  </si>
  <si>
    <t>Security Deposits</t>
  </si>
  <si>
    <t>Deferred tax assets (net)</t>
  </si>
  <si>
    <t>Other non-current assets</t>
  </si>
  <si>
    <t>Current assets</t>
  </si>
  <si>
    <t>Inventories</t>
  </si>
  <si>
    <t>Cash and cash equivalents</t>
  </si>
  <si>
    <t>Bank balances other than Cash and cash equivalents</t>
  </si>
  <si>
    <t>Short Term Loans &amp; Advances</t>
  </si>
  <si>
    <t>Others</t>
  </si>
  <si>
    <t>Current Tax Assets (Net)</t>
  </si>
  <si>
    <t>Other current assets</t>
  </si>
  <si>
    <t>Non-current assets classified as held for sale</t>
  </si>
  <si>
    <t>Regulatory deferral account debit balances and related deferred tax</t>
  </si>
  <si>
    <t>Total Assets</t>
  </si>
  <si>
    <t>EQUITY &amp; LIABILITIES: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</si>
  <si>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</si>
  <si>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</si>
  <si>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</si>
  <si>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</si>
  <si>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</si>
  <si>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</si>
  <si>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Long Term Borrowings</t>
  </si>
  <si>
    <t>Trade payables</t>
  </si>
  <si>
    <t>Other financial liabilities (other than those specified in item(b),  to be specified)</t>
  </si>
  <si>
    <t>Provisions</t>
  </si>
  <si>
    <t>Deferred tax liabilities (Net)</t>
  </si>
  <si>
    <t>Deferred government grants (non current)</t>
  </si>
  <si>
    <t>Other non-current liabilities</t>
  </si>
  <si>
    <t>Current liabilities</t>
  </si>
  <si>
    <t>Short Term Borrowings</t>
  </si>
  <si>
    <t>Total Outstanding Dues of creditors micro and small enterprise</t>
  </si>
  <si>
    <t>Total Outstanding Dues of creditors other than micro and small enterprise</t>
  </si>
  <si>
    <t>Other financial liabilities</t>
  </si>
  <si>
    <t>Income/Current Tax Liabilities (Net)</t>
  </si>
  <si>
    <t>Other current liabilities</t>
  </si>
  <si>
    <t>Total Liabilities</t>
  </si>
  <si>
    <t>Cash flow from operating activities</t>
  </si>
  <si>
    <t>Profit before Tax</t>
  </si>
  <si>
    <t>Adjustments for:</t>
  </si>
  <si>
    <t>Depreciation and amortisation</t>
  </si>
  <si>
    <t>Finance costs</t>
  </si>
  <si>
    <t>Operating profit / (loss) before working capital changes</t>
  </si>
  <si>
    <t>Movements in Working Capital</t>
  </si>
  <si>
    <t>(Increase) / Decrease Inventories</t>
  </si>
  <si>
    <t>(Increase) / Decrease Short-term loans and advances</t>
  </si>
  <si>
    <t>Increase / (Decrease) Trade payables</t>
  </si>
  <si>
    <t>(Increase) / Decrease Trade Receivables</t>
  </si>
  <si>
    <t>(Increase) / Decrease Other Non Current Assets</t>
  </si>
  <si>
    <t>(Increase) / Decrease Investment</t>
  </si>
  <si>
    <t>Increase / (Decrease) Other Financial Liabilities</t>
  </si>
  <si>
    <t>Increase / (Decrease) Short Term Provisions</t>
  </si>
  <si>
    <t>Increase / (Decrease) Other current Assets</t>
  </si>
  <si>
    <t>Increase / (Decrease) Surplus</t>
  </si>
  <si>
    <t>Increase / (Decrease) Other current liabilities</t>
  </si>
  <si>
    <t>Net Cash Generated/(Used in) Operations</t>
  </si>
  <si>
    <t>Cash flow from extraordinary items</t>
  </si>
  <si>
    <t>Direct Taxes Paid including for past years</t>
  </si>
  <si>
    <t>Provision for tax</t>
  </si>
  <si>
    <t>Net cash flow from / (used in) operating activities</t>
  </si>
  <si>
    <t>Cash flow from Investing activities</t>
  </si>
  <si>
    <t>Other Financials Assets</t>
  </si>
  <si>
    <t>Purchase of Fixed Assets</t>
  </si>
  <si>
    <t>Net cash flow from / (used in) investing activities</t>
  </si>
  <si>
    <t>Cash flow from financing activities</t>
  </si>
  <si>
    <t>Finance cost</t>
  </si>
  <si>
    <t>Increase / (Decrease) Long Term Borrowings</t>
  </si>
  <si>
    <t>Increase / (Decrease) Short Term Borrowings</t>
  </si>
  <si>
    <t>Net cash flow from / (used in) financing activities</t>
  </si>
  <si>
    <t>Net increase / (decrease) in Cash and cash equivalents</t>
  </si>
  <si>
    <t>Cash and cash equivalents at the beginning of the year</t>
  </si>
  <si>
    <t xml:space="preserve">Cash and cash equivalents at the end of the year </t>
  </si>
  <si>
    <t>Comprises:</t>
  </si>
  <si>
    <t>Cash on hand</t>
  </si>
  <si>
    <t>Balances with banks</t>
  </si>
  <si>
    <t>In current accounts</t>
  </si>
  <si>
    <t>In deposit accounts</t>
  </si>
  <si>
    <t>Cogencis Field</t>
  </si>
  <si>
    <t>Field id</t>
  </si>
  <si>
    <t>Lable</t>
  </si>
  <si>
    <t>Gross Sales/Income from Operations</t>
  </si>
  <si>
    <t>Total Income</t>
  </si>
  <si>
    <t>Cost of Materials Consumed</t>
  </si>
  <si>
    <t>Changes in Inventories of Finished Goods, Work-In-Progress and Stock-In-Trade</t>
  </si>
  <si>
    <t>Depreciation, Depletion and Amortisation Expense</t>
  </si>
  <si>
    <t>Profit/(Loss) from Ordinary Activities after Finance Costs but before Exceptional Items</t>
  </si>
  <si>
    <t>Total Exceptional Items</t>
  </si>
  <si>
    <t>Profit/(Loss) From Ordinary Activities before Tax</t>
  </si>
  <si>
    <t>Tax Expense</t>
  </si>
  <si>
    <t>Deferred Tax</t>
  </si>
  <si>
    <t>Net Profit/(Loss) for the Period</t>
  </si>
  <si>
    <t>Income tax relating to items that will Not be reclassified to profit or loss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</si>
  <si>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</si>
  <si>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</si>
  <si>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</si>
  <si>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</si>
  <si>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Total Comprehensive Gain (Loss) For the Year</t>
  </si>
  <si>
    <t>Profit/(Loss) from Discontinuing Operations</t>
  </si>
  <si>
    <t>Tax Expense of Discontinuing Operations</t>
  </si>
  <si>
    <t>Net Profit From Discontinuing Operations (After Tax)</t>
  </si>
  <si>
    <t>Net Profit/(Loss) from Ordinary Activities after Tax</t>
  </si>
  <si>
    <t>Paid-Up Equity Share Capital</t>
  </si>
  <si>
    <t>Face Value</t>
  </si>
  <si>
    <t>Reserve excluding Revaluation Reserves (as per Balance Sheet of Previous Accounting Year)</t>
  </si>
  <si>
    <t>Basic EPS</t>
  </si>
  <si>
    <t>Diluted EPS</t>
  </si>
  <si>
    <t>Property, Plant &amp; Equipment</t>
  </si>
  <si>
    <t>Capital Work-In-Progress</t>
  </si>
  <si>
    <t>Other Intangible Assets</t>
  </si>
  <si>
    <t>Intangible Assets Under Development</t>
  </si>
  <si>
    <t>Non-Current Investments</t>
  </si>
  <si>
    <t>Trade Receivables</t>
  </si>
  <si>
    <t>Loans Non-Current</t>
  </si>
  <si>
    <t>Other Non-Current Assets</t>
  </si>
  <si>
    <t>Deferred Tax Assets (Net)</t>
  </si>
  <si>
    <t>Current Investments</t>
  </si>
  <si>
    <t>Cash And Cash Equivalents</t>
  </si>
  <si>
    <t>Bank balance other than cash and cash equivalents</t>
  </si>
  <si>
    <t>Loans, Current</t>
  </si>
  <si>
    <t>Other Current Financial Assets</t>
  </si>
  <si>
    <t>Other Current Assets</t>
  </si>
  <si>
    <t>Assets classified as held for sale</t>
  </si>
  <si>
    <t>Regulatory Deferral Account Debit Balances and Related Deferred Tax Assets</t>
  </si>
  <si>
    <t>Share Capital</t>
  </si>
  <si>
    <t>Reserves And Surplus/Other Equity</t>
  </si>
  <si>
    <t>Borrowings</t>
  </si>
  <si>
    <t>Trade Payables</t>
  </si>
  <si>
    <t>Other Non Current Financial Liabilities</t>
  </si>
  <si>
    <t>Long-Term Provisions</t>
  </si>
  <si>
    <t>Deferred Tax Liability (Net)</t>
  </si>
  <si>
    <t>Deferred government grants, Non-current</t>
  </si>
  <si>
    <t>Other Non-Current Liabilities</t>
  </si>
  <si>
    <t>Other Current Financial Liabilities</t>
  </si>
  <si>
    <t>Short-Term Provisions</t>
  </si>
  <si>
    <t>Current Tax Liabilities (Net)</t>
  </si>
  <si>
    <t>Other liabilities</t>
  </si>
  <si>
    <t>Total Equity And Liabilities</t>
  </si>
  <si>
    <t>Depreciation and Amortisation Expense</t>
  </si>
  <si>
    <t>Operating Profit Before Working Capital Changes</t>
  </si>
  <si>
    <t>Short Term Loans And Advances</t>
  </si>
  <si>
    <t>Trade Payables And Others</t>
  </si>
  <si>
    <t>Trade And Other Receivables</t>
  </si>
  <si>
    <t>Other Current and Non Current Assets</t>
  </si>
  <si>
    <t>Adjustments for other financial assets, non-current</t>
  </si>
  <si>
    <t>Adjustments for other financial liabilities, non-current</t>
  </si>
  <si>
    <t>Others-From Operations</t>
  </si>
  <si>
    <t>Other Current and Non Current Liabilities</t>
  </si>
  <si>
    <t>Cash Generated From Operations</t>
  </si>
  <si>
    <t>Income Tax Paid</t>
  </si>
  <si>
    <t>Other Extra-Ordinary Income/Expense</t>
  </si>
  <si>
    <t>Net Cash Flow From Operating Activities</t>
  </si>
  <si>
    <t>Purchase Of Fixed Assets (Tangible / Intangible)</t>
  </si>
  <si>
    <t>Others-Investing Activities</t>
  </si>
  <si>
    <t>Net Cash Flow From Investing Activities</t>
  </si>
  <si>
    <t>Interest Paid</t>
  </si>
  <si>
    <t>Proceeds From Long Term Borrowings</t>
  </si>
  <si>
    <t>Proceeds From Short Term Borrowings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</si>
  <si>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</si>
  <si>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</si>
  <si>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</si>
  <si>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</si>
  <si>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Ignore This Field</t>
  </si>
  <si>
    <t>Particulars</t>
  </si>
  <si>
    <t>Investment accounted for using Equity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</si>
</sst>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FD-Finance\Finstinct%20Output%20Processed%20File\Field%20Mapping\Batch%204_20251231\Bits_q2_25_particulars.xlsx" TargetMode="External"/><Relationship Id="rId1" Type="http://schemas.openxmlformats.org/officeDocument/2006/relationships/externalLinkPath" Target="Bits_q2_25_particula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_Standalone"/>
      <sheetName val="P&amp;L_Consolidated"/>
      <sheetName val="BS_Standalone"/>
      <sheetName val="BS_Consolidated"/>
      <sheetName val="CFS_Standalone"/>
      <sheetName val="CFS_Consolidated"/>
      <sheetName val="SR_Standalone"/>
      <sheetName val="SR_Consolidated"/>
    </sheetNames>
    <sheetDataSet>
      <sheetData sheetId="0">
        <row r="1">
          <cell r="A1" t="str">
            <v xml:space="preserve">Particulars </v>
          </cell>
          <cell r="B1" t="str">
            <v>Cogencis Field</v>
          </cell>
          <cell r="C1" t="str">
            <v>Field id</v>
          </cell>
        </row>
        <row r="2">
          <cell r="A2" t="str">
            <v>Revenue from Operation</v>
          </cell>
          <cell r="B2" t="str">
            <v>Gross Sales/Income from Operations</v>
          </cell>
          <cell r="C2">
            <v>256</v>
          </cell>
        </row>
        <row r="3">
          <cell r="A3" t="str">
            <v>Other Income</v>
          </cell>
          <cell r="B3" t="str">
            <v>Miscellaneous Income</v>
          </cell>
          <cell r="C3">
            <v>265</v>
          </cell>
        </row>
        <row r="4">
          <cell r="A4" t="str">
            <v>Total Income</v>
          </cell>
          <cell r="B4" t="str">
            <v>Total Income</v>
          </cell>
          <cell r="C4">
            <v>25238</v>
          </cell>
        </row>
        <row r="5">
          <cell r="A5" t="str">
            <v>Expenses</v>
          </cell>
          <cell r="B5" t="str">
            <v>Lable</v>
          </cell>
          <cell r="C5"/>
        </row>
        <row r="6">
          <cell r="A6" t="str">
            <v>Purchase of Stock in Trade</v>
          </cell>
          <cell r="B6" t="str">
            <v>Purchase of Stock-in-Trade</v>
          </cell>
          <cell r="C6">
            <v>307</v>
          </cell>
        </row>
        <row r="7">
          <cell r="A7" t="str">
            <v>Employee benefit expenses</v>
          </cell>
          <cell r="B7" t="str">
            <v>Employee Benefit Expense</v>
          </cell>
          <cell r="C7">
            <v>238</v>
          </cell>
        </row>
        <row r="8">
          <cell r="A8" t="str">
            <v>Finance Cost</v>
          </cell>
          <cell r="B8" t="str">
            <v>Finance Costs</v>
          </cell>
          <cell r="C8">
            <v>246</v>
          </cell>
        </row>
        <row r="9">
          <cell r="A9" t="str">
            <v>Depreciation and Amortisation Expenses</v>
          </cell>
          <cell r="B9" t="str">
            <v>Depreciation, Depletion and Amortisation Expense</v>
          </cell>
          <cell r="C9">
            <v>232</v>
          </cell>
        </row>
        <row r="10">
          <cell r="A10" t="str">
            <v>Other Expenditure</v>
          </cell>
          <cell r="B10" t="str">
            <v>Other Expenses</v>
          </cell>
          <cell r="C10">
            <v>279</v>
          </cell>
        </row>
        <row r="11">
          <cell r="A11" t="str">
            <v>Total Expenses</v>
          </cell>
          <cell r="B11" t="str">
            <v>Total Expenses</v>
          </cell>
          <cell r="C11">
            <v>320</v>
          </cell>
        </row>
        <row r="12">
          <cell r="A12" t="str">
            <v>Profit/ (loss) before exceptional Item &amp; Tax</v>
          </cell>
          <cell r="B12" t="str">
            <v>Profit/(Loss) from Ordinary Activities after Finance Costs but before Exceptional Items</v>
          </cell>
          <cell r="C12">
            <v>294</v>
          </cell>
        </row>
        <row r="13">
          <cell r="A13" t="str">
            <v>Exceptional Items</v>
          </cell>
          <cell r="B13" t="str">
            <v>Other Exceptional Items</v>
          </cell>
          <cell r="C13">
            <v>278</v>
          </cell>
        </row>
        <row r="14">
          <cell r="A14" t="str">
            <v>Total Exceptional Items</v>
          </cell>
          <cell r="B14" t="str">
            <v>Total Exceptional Items</v>
          </cell>
          <cell r="C14">
            <v>319</v>
          </cell>
        </row>
        <row r="15">
          <cell r="A15" t="str">
            <v>Profit before tax</v>
          </cell>
          <cell r="B15" t="str">
            <v>Profit/(Loss) From Ordinary Activities before Tax</v>
          </cell>
          <cell r="C15">
            <v>296</v>
          </cell>
        </row>
        <row r="16">
          <cell r="A16" t="str">
            <v>Tax expense</v>
          </cell>
          <cell r="B16" t="str">
            <v>Lable</v>
          </cell>
          <cell r="C16"/>
        </row>
        <row r="17">
          <cell r="A17" t="str">
            <v>Current tax</v>
          </cell>
          <cell r="B17" t="str">
            <v>Tax Expense</v>
          </cell>
          <cell r="C17">
            <v>318</v>
          </cell>
        </row>
        <row r="18">
          <cell r="A18" t="str">
            <v>Deffered tax</v>
          </cell>
          <cell r="B18" t="str">
            <v>Deferred Tax</v>
          </cell>
          <cell r="C18">
            <v>231</v>
          </cell>
        </row>
        <row r="19">
          <cell r="A19" t="str">
            <v>Profit/ (loss) for the period</v>
          </cell>
          <cell r="B19" t="str">
            <v>Net Profit/(Loss) for the Period</v>
          </cell>
          <cell r="C19">
            <v>269</v>
          </cell>
        </row>
        <row r="20">
          <cell r="A20" t="str">
            <v>Other Comprehensive Income</v>
          </cell>
          <cell r="B20" t="str">
            <v>Lable</v>
          </cell>
          <cell r="C20">
            <v>0</v>
          </cell>
        </row>
        <row r="21">
          <cell r="A21" t="str">
            <v>Items that will not be reclassified to profit or (loss)</v>
          </cell>
          <cell r="B21" t="str">
            <v>Items that will not be reclassified to Profit or Loss</v>
          </cell>
          <cell r="C21">
            <v>22293</v>
          </cell>
        </row>
        <row r="22">
          <cell r="A22" t="str">
            <v>Income tax relating to items that will not be reclassified to profit or (loss)</v>
          </cell>
          <cell r="B22" t="str">
            <v>Income Tax related to items that will not be reclassified to Profit or Loss</v>
          </cell>
          <cell r="C22">
            <v>22295</v>
          </cell>
        </row>
        <row r="23">
          <cell r="A23" t="str">
            <v>Items that will be reclassified to profit or (loss)</v>
          </cell>
          <cell r="B23" t="str">
            <v>Items that will be reclassified to Profit or Loss</v>
          </cell>
          <cell r="C23">
            <v>22294</v>
          </cell>
        </row>
        <row r="24">
          <cell r="A24" t="str">
            <v>Income tax relating to items that will be reclassified to profit or (loss)</v>
          </cell>
          <cell r="B24" t="str">
            <v>Income Tax related to items that will be reclassified to Profit or Loss</v>
          </cell>
          <cell r="C24">
            <v>22296</v>
          </cell>
        </row>
        <row r="25">
          <cell r="A25" t="str">
            <v>Total</v>
          </cell>
          <cell r="B25" t="str">
            <v>Other Comprehensive Income</v>
          </cell>
          <cell r="C25">
            <v>16484</v>
          </cell>
        </row>
        <row r="26">
          <cell r="A26" t="str">
            <v>Total Comprehsive income for the period</v>
          </cell>
          <cell r="B26" t="str">
            <v>Total Comprehensive Gain (Loss) For the Year</v>
          </cell>
          <cell r="C26">
            <v>20019</v>
          </cell>
        </row>
        <row r="27">
          <cell r="A27" t="str">
            <v>Paid up Equity share value Capital (Face Value Rs 2/-)</v>
          </cell>
          <cell r="B27" t="str">
            <v>Paid-Up Equity Share Capital</v>
          </cell>
          <cell r="C27">
            <v>282</v>
          </cell>
        </row>
        <row r="28">
          <cell r="A28" t="str">
            <v>Earning per Equity Share of Rs2/- Each :</v>
          </cell>
          <cell r="B28"/>
          <cell r="C28"/>
        </row>
        <row r="29">
          <cell r="A29" t="str">
            <v>Basic EPS</v>
          </cell>
          <cell r="B29" t="str">
            <v>Basic EPS</v>
          </cell>
          <cell r="C29">
            <v>222</v>
          </cell>
        </row>
        <row r="30">
          <cell r="A30" t="str">
            <v>Diluted EPS</v>
          </cell>
          <cell r="B30" t="str">
            <v>Diluted EPS</v>
          </cell>
          <cell r="C30">
            <v>234</v>
          </cell>
        </row>
        <row r="31">
          <cell r="A31" t="str">
            <v>PART  II (Select Information for the Quarter Ended 30TH SEPT., 2020</v>
          </cell>
          <cell r="B31" t="str">
            <v>Lable</v>
          </cell>
          <cell r="C31"/>
        </row>
        <row r="32">
          <cell r="A32" t="str">
            <v>PARTICULARS OF SHAREHOLDING</v>
          </cell>
          <cell r="B32" t="str">
            <v>Lable</v>
          </cell>
          <cell r="C32"/>
        </row>
        <row r="33">
          <cell r="A33" t="str">
            <v>Public Shareholding</v>
          </cell>
          <cell r="B33" t="str">
            <v>Lable</v>
          </cell>
          <cell r="C33"/>
        </row>
        <row r="34">
          <cell r="A34" t="str">
            <v>Number of Shares</v>
          </cell>
          <cell r="B34" t="str">
            <v>Number of shares</v>
          </cell>
          <cell r="C34">
            <v>275</v>
          </cell>
        </row>
        <row r="35">
          <cell r="A35" t="str">
            <v>Percentage of shareholding</v>
          </cell>
          <cell r="B35" t="str">
            <v>Percentage of shareholding</v>
          </cell>
          <cell r="C35">
            <v>287</v>
          </cell>
        </row>
        <row r="36">
          <cell r="A36" t="str">
            <v>Promoter and promoter group shareholding</v>
          </cell>
          <cell r="B36" t="str">
            <v>Lable</v>
          </cell>
          <cell r="C36"/>
        </row>
        <row r="37">
          <cell r="A37" t="str">
            <v>Pledged/Encumbered</v>
          </cell>
          <cell r="B37" t="str">
            <v>Lable</v>
          </cell>
          <cell r="C37"/>
        </row>
        <row r="38">
          <cell r="A38" t="str">
            <v>Pledged/Encumbered</v>
          </cell>
          <cell r="B38" t="str">
            <v>Lable</v>
          </cell>
          <cell r="C38"/>
        </row>
        <row r="39">
          <cell r="A39" t="str">
            <v xml:space="preserve">Non-encumbered </v>
          </cell>
          <cell r="B39" t="str">
            <v>Lable</v>
          </cell>
          <cell r="C39"/>
        </row>
        <row r="40">
          <cell r="A40" t="str">
            <v>Number of Shares</v>
          </cell>
          <cell r="B40" t="str">
            <v>Number of shares</v>
          </cell>
          <cell r="C40">
            <v>274</v>
          </cell>
        </row>
        <row r="41">
          <cell r="A41" t="str">
            <v>Percentage of Shares (as total shareholding of promoter and promoter group)</v>
          </cell>
          <cell r="B41" t="str">
            <v>Percentage of Shares (As a % of the Total Shareholding of the Promoter and Promoter Group)</v>
          </cell>
          <cell r="C41">
            <v>286</v>
          </cell>
        </row>
        <row r="42">
          <cell r="A42" t="str">
            <v>Percentage of shares (as a % of the total share capital of the company)</v>
          </cell>
          <cell r="B42" t="str">
            <v>Percentage of Shares (As a % of the Total Share Capital of the Company)</v>
          </cell>
          <cell r="C42">
            <v>289</v>
          </cell>
        </row>
      </sheetData>
      <sheetData sheetId="1"/>
      <sheetData sheetId="2"/>
      <sheetData sheetId="3"/>
      <sheetData sheetId="4">
        <row r="1">
          <cell r="A1" t="str">
            <v xml:space="preserve">Particulars </v>
          </cell>
          <cell r="B1" t="str">
            <v>Cogencis Field</v>
          </cell>
          <cell r="C1" t="str">
            <v>Field id</v>
          </cell>
        </row>
        <row r="2">
          <cell r="A2" t="str">
            <v>CASH FLOW FROM OPERATING ACTIVITIES</v>
          </cell>
          <cell r="B2" t="str">
            <v>Lable</v>
          </cell>
          <cell r="C2"/>
        </row>
        <row r="3">
          <cell r="A3" t="str">
            <v>Profit before tax</v>
          </cell>
          <cell r="B3" t="str">
            <v>Net Profit Before Tax And Exceptional Item</v>
          </cell>
          <cell r="C3">
            <v>17539</v>
          </cell>
        </row>
        <row r="4">
          <cell r="A4" t="str">
            <v>Adjustments for:</v>
          </cell>
          <cell r="B4" t="str">
            <v>Lable</v>
          </cell>
          <cell r="C4"/>
        </row>
        <row r="5">
          <cell r="A5" t="str">
            <v>Add:</v>
          </cell>
          <cell r="B5" t="str">
            <v>Lable</v>
          </cell>
          <cell r="C5"/>
        </row>
        <row r="6">
          <cell r="A6" t="str">
            <v>Depreciation &amp; ammortisation expenses</v>
          </cell>
          <cell r="B6" t="str">
            <v>Depreciation and Amortisation Expense</v>
          </cell>
          <cell r="C6">
            <v>30399</v>
          </cell>
        </row>
        <row r="7">
          <cell r="A7" t="str">
            <v>Finance costs</v>
          </cell>
          <cell r="B7" t="str">
            <v>Interest Expense</v>
          </cell>
          <cell r="C7">
            <v>30479</v>
          </cell>
        </row>
        <row r="8">
          <cell r="A8" t="str">
            <v>Loss on disposal of property,plant&amp; equipment</v>
          </cell>
          <cell r="B8" t="str">
            <v>Loss On Sale Of Fixed Assets</v>
          </cell>
          <cell r="C8">
            <v>30502</v>
          </cell>
        </row>
        <row r="9">
          <cell r="A9" t="str">
            <v>Loss on sale of Investments</v>
          </cell>
          <cell r="B9" t="str">
            <v>Loss On Sale Of Investments</v>
          </cell>
          <cell r="C9">
            <v>30503</v>
          </cell>
        </row>
        <row r="10">
          <cell r="A10" t="str">
            <v>Loss on Written of Assets</v>
          </cell>
          <cell r="B10" t="str">
            <v>Miscellaneous Expenditure Written Off</v>
          </cell>
          <cell r="C10">
            <v>30505</v>
          </cell>
        </row>
        <row r="11">
          <cell r="A11" t="str">
            <v>Provirion for dimunetion in the value of investments</v>
          </cell>
          <cell r="B11" t="str">
            <v>Provision For Dimunition In Investments</v>
          </cell>
          <cell r="C11">
            <v>30630</v>
          </cell>
        </row>
        <row r="12">
          <cell r="A12" t="str">
            <v>Less:</v>
          </cell>
          <cell r="B12" t="str">
            <v>Lable</v>
          </cell>
          <cell r="C12"/>
        </row>
        <row r="13">
          <cell r="A13" t="str">
            <v>Dividend received</v>
          </cell>
          <cell r="B13" t="str">
            <v>Dividend Received</v>
          </cell>
          <cell r="C13">
            <v>30404</v>
          </cell>
        </row>
        <row r="14">
          <cell r="A14" t="str">
            <v>Interest income from financial assets measured at ammortised costs</v>
          </cell>
          <cell r="B14" t="str">
            <v>Interest Income</v>
          </cell>
          <cell r="C14">
            <v>30481</v>
          </cell>
        </row>
        <row r="15">
          <cell r="A15" t="str">
            <v>Gain on disposal of equity instruments measured at cost</v>
          </cell>
          <cell r="B15" t="str">
            <v>Profit On Sale Of Investments</v>
          </cell>
          <cell r="C15">
            <v>30577</v>
          </cell>
        </row>
        <row r="16">
          <cell r="A16" t="str">
            <v>Gain on disposal of property plant &amp; equipment</v>
          </cell>
          <cell r="B16" t="str">
            <v>Profit On Sale Of Fixed Assets</v>
          </cell>
          <cell r="C16">
            <v>30576</v>
          </cell>
        </row>
        <row r="17">
          <cell r="A17" t="str">
            <v>Provision for dimunetion in the value of investments</v>
          </cell>
          <cell r="B17" t="str">
            <v>Provision For Dimunition In Investments</v>
          </cell>
          <cell r="C17">
            <v>30630</v>
          </cell>
        </row>
        <row r="18">
          <cell r="A18" t="str">
            <v>Operating profit before change in operating assets &amp; liabilities</v>
          </cell>
          <cell r="B18" t="str">
            <v>Operating Profit Before Working Capital Changes</v>
          </cell>
          <cell r="C18">
            <v>30511</v>
          </cell>
        </row>
        <row r="19">
          <cell r="A19" t="str">
            <v>Adjustments for:</v>
          </cell>
          <cell r="B19" t="str">
            <v>Lable</v>
          </cell>
          <cell r="C19"/>
        </row>
        <row r="20">
          <cell r="A20" t="str">
            <v>(Increase)/decrease in inventories</v>
          </cell>
          <cell r="B20" t="str">
            <v>Inventories</v>
          </cell>
          <cell r="C20">
            <v>30487</v>
          </cell>
        </row>
        <row r="21">
          <cell r="A21" t="str">
            <v>(Increase)/decrease in non current trade receivable</v>
          </cell>
          <cell r="B21" t="str">
            <v>Trade And Other Receivables</v>
          </cell>
          <cell r="C21">
            <v>30674</v>
          </cell>
        </row>
        <row r="22">
          <cell r="A22" t="str">
            <v>(Increase)/decrease in other financial assets</v>
          </cell>
          <cell r="B22" t="str">
            <v>Adjustments for other financial assets, non-current</v>
          </cell>
          <cell r="C22">
            <v>30452</v>
          </cell>
        </row>
        <row r="23">
          <cell r="A23" t="str">
            <v>(Increase)/decrease in other assets</v>
          </cell>
          <cell r="B23" t="str">
            <v>Other Current and Non Current Assets</v>
          </cell>
          <cell r="C23">
            <v>30518</v>
          </cell>
        </row>
        <row r="24">
          <cell r="A24" t="str">
            <v>(Increase)/decrease in NonCurrent loans &amp; advances</v>
          </cell>
          <cell r="B24" t="str">
            <v>Loans And Advances</v>
          </cell>
          <cell r="C24">
            <v>30497</v>
          </cell>
        </row>
        <row r="25">
          <cell r="A25" t="str">
            <v>(Increase)/decrease in NonCurrent Assets</v>
          </cell>
          <cell r="B25" t="str">
            <v>Other Current and Non Current Assets</v>
          </cell>
          <cell r="C25">
            <v>30518</v>
          </cell>
        </row>
        <row r="26">
          <cell r="A26" t="str">
            <v>Increase/(decrease) in current trade receivable</v>
          </cell>
          <cell r="B26" t="str">
            <v>Trade And Other Receivables</v>
          </cell>
          <cell r="C26">
            <v>30674</v>
          </cell>
        </row>
        <row r="27">
          <cell r="A27" t="str">
            <v>Increase/(decrease) in other current financial assests</v>
          </cell>
          <cell r="B27" t="str">
            <v>Adjustments for other financial assets, current</v>
          </cell>
          <cell r="C27">
            <v>30451</v>
          </cell>
        </row>
        <row r="28">
          <cell r="A28" t="str">
            <v>Increase/(decrease) in current tax assets</v>
          </cell>
          <cell r="B28" t="str">
            <v>Other Current and Non Current Assets</v>
          </cell>
          <cell r="C28">
            <v>30518</v>
          </cell>
        </row>
        <row r="29">
          <cell r="A29" t="str">
            <v>Increase/(decrease) in other assets</v>
          </cell>
          <cell r="B29" t="str">
            <v>Other Current and Non Current Assets</v>
          </cell>
          <cell r="C29">
            <v>30518</v>
          </cell>
        </row>
        <row r="30">
          <cell r="A30" t="str">
            <v>Increase/(decrease) in other noncurrent Liabilities</v>
          </cell>
          <cell r="B30" t="str">
            <v>Other Current and Non Current Liabilities</v>
          </cell>
          <cell r="C30">
            <v>30519</v>
          </cell>
        </row>
        <row r="31">
          <cell r="A31" t="str">
            <v>Increase/(decrease) in non-current loans</v>
          </cell>
          <cell r="B31" t="str">
            <v>Others-From Operations</v>
          </cell>
          <cell r="C31">
            <v>17546</v>
          </cell>
        </row>
        <row r="32">
          <cell r="A32" t="str">
            <v>Increase/(decrease) in Current Liabities</v>
          </cell>
          <cell r="B32" t="str">
            <v>Other Current and Non Current Liabilities</v>
          </cell>
          <cell r="C32">
            <v>30519</v>
          </cell>
        </row>
        <row r="33">
          <cell r="A33" t="str">
            <v>Increase/(decrease) in trade payables</v>
          </cell>
          <cell r="B33" t="str">
            <v>Trade Payables And Others</v>
          </cell>
          <cell r="C33">
            <v>30675</v>
          </cell>
        </row>
        <row r="34">
          <cell r="A34" t="str">
            <v>Increase/(decrease) in other current Financial Assets</v>
          </cell>
          <cell r="B34" t="str">
            <v>Adjustments for other financial assets, current</v>
          </cell>
          <cell r="C34">
            <v>30451</v>
          </cell>
        </row>
        <row r="35">
          <cell r="A35" t="str">
            <v>Increase/(decrease) in other current assests</v>
          </cell>
          <cell r="B35" t="str">
            <v>Other Current and Non Current Assets</v>
          </cell>
          <cell r="C35">
            <v>30518</v>
          </cell>
        </row>
        <row r="36">
          <cell r="A36" t="str">
            <v>Increase/(decrease) in other current liabilities</v>
          </cell>
          <cell r="B36" t="str">
            <v>Other Current and Non Current Liabilities</v>
          </cell>
          <cell r="C36">
            <v>30519</v>
          </cell>
        </row>
        <row r="37">
          <cell r="A37" t="str">
            <v>Cash generated from operations</v>
          </cell>
          <cell r="B37" t="str">
            <v>Cash Generated From Operations</v>
          </cell>
          <cell r="C37">
            <v>30372</v>
          </cell>
        </row>
        <row r="38">
          <cell r="A38" t="str">
            <v>Less:</v>
          </cell>
          <cell r="B38" t="str">
            <v>Lable</v>
          </cell>
          <cell r="C38"/>
        </row>
        <row r="39">
          <cell r="A39" t="str">
            <v>Income tax paid(net of refund)</v>
          </cell>
          <cell r="B39" t="str">
            <v>Income Tax Paid</v>
          </cell>
          <cell r="C39">
            <v>30422</v>
          </cell>
        </row>
        <row r="40">
          <cell r="A40" t="str">
            <v>Net cash flow from operating activities</v>
          </cell>
          <cell r="B40" t="str">
            <v>Net Cash Flow From Operating Activities</v>
          </cell>
          <cell r="C40">
            <v>17538</v>
          </cell>
        </row>
        <row r="41">
          <cell r="A41" t="str">
            <v>CASH FLOW FROM INVESTING ACTIVITIES</v>
          </cell>
          <cell r="B41" t="str">
            <v>Lable</v>
          </cell>
          <cell r="C41"/>
        </row>
        <row r="42">
          <cell r="A42" t="str">
            <v>Payment to acquire property,plant &amp; equipments</v>
          </cell>
          <cell r="B42" t="str">
            <v>Purchase Of Fixed Assets (Tangible / Intangible)</v>
          </cell>
          <cell r="C42">
            <v>17556</v>
          </cell>
        </row>
        <row r="43">
          <cell r="A43" t="str">
            <v>Proceeds from disposal of equity instruments measured at FVOCI</v>
          </cell>
          <cell r="B43" t="str">
            <v>Sale Of Investments</v>
          </cell>
          <cell r="C43">
            <v>17563</v>
          </cell>
        </row>
        <row r="44">
          <cell r="A44" t="str">
            <v>Sale of Investments</v>
          </cell>
          <cell r="B44" t="str">
            <v>Sale Of Investments</v>
          </cell>
          <cell r="C44">
            <v>17563</v>
          </cell>
        </row>
        <row r="45">
          <cell r="A45" t="str">
            <v>Purchase of Investments</v>
          </cell>
          <cell r="B45" t="str">
            <v>Purchase Of Investments</v>
          </cell>
          <cell r="C45">
            <v>17557</v>
          </cell>
        </row>
        <row r="46">
          <cell r="A46" t="str">
            <v>Proceeds from redemption of Preferance shares measured at FVPL</v>
          </cell>
          <cell r="B46" t="str">
            <v>Sale Of Investments</v>
          </cell>
          <cell r="C46">
            <v>17563</v>
          </cell>
        </row>
        <row r="47">
          <cell r="A47" t="str">
            <v>Sale of Fixed Assets</v>
          </cell>
          <cell r="B47" t="str">
            <v>Sale Of Fixed Assets (Tangible / Intangible)</v>
          </cell>
          <cell r="C47">
            <v>30662</v>
          </cell>
        </row>
        <row r="48">
          <cell r="A48" t="str">
            <v>Repayments/(Disbursement) of loans given</v>
          </cell>
          <cell r="B48" t="str">
            <v>Cash Receipts from Repayment of Advances and Loans Made to Other Parties</v>
          </cell>
          <cell r="C48">
            <v>30375</v>
          </cell>
        </row>
        <row r="49">
          <cell r="A49" t="str">
            <v>Proceeds from disposal of propertyplant &amp; equipments</v>
          </cell>
          <cell r="B49" t="str">
            <v>Sale Of Fixed Assets (Tangible / Intangible)</v>
          </cell>
          <cell r="C49">
            <v>30662</v>
          </cell>
        </row>
        <row r="50">
          <cell r="A50" t="str">
            <v>Purchase of Fixed Deposit</v>
          </cell>
          <cell r="B50" t="str">
            <v>Fixed Deposits</v>
          </cell>
          <cell r="C50">
            <v>30412</v>
          </cell>
        </row>
        <row r="51">
          <cell r="A51" t="str">
            <v>Interest received on financial assets measured at ammortised cost</v>
          </cell>
          <cell r="B51" t="str">
            <v>Interest Received</v>
          </cell>
          <cell r="C51">
            <v>30485</v>
          </cell>
        </row>
        <row r="52">
          <cell r="A52" t="str">
            <v>Dividend received</v>
          </cell>
          <cell r="B52" t="str">
            <v>Dividend Received</v>
          </cell>
          <cell r="C52">
            <v>30402</v>
          </cell>
        </row>
        <row r="53">
          <cell r="A53" t="str">
            <v>CASH FLOW FROM INVESTING ACTIVITIES</v>
          </cell>
          <cell r="B53" t="str">
            <v>Net Cash Flow From Investing Activities</v>
          </cell>
          <cell r="C53">
            <v>17537</v>
          </cell>
        </row>
        <row r="54">
          <cell r="A54" t="str">
            <v>CASH FLOW FROM FINANCING ACTIVITIES</v>
          </cell>
          <cell r="B54" t="str">
            <v>Lable</v>
          </cell>
          <cell r="C54"/>
        </row>
        <row r="55">
          <cell r="A55" t="str">
            <v>Repayments of term loans/non-current borrowings</v>
          </cell>
          <cell r="B55" t="str">
            <v>Repayment Of Long Term Borrowings</v>
          </cell>
          <cell r="C55">
            <v>30658</v>
          </cell>
        </row>
        <row r="56">
          <cell r="A56" t="str">
            <v>Disbursement/ (Repayments) of working capital loans/current borrowings</v>
          </cell>
          <cell r="B56" t="str">
            <v>Repayment Of Short Term Borrowings</v>
          </cell>
          <cell r="C56">
            <v>30659</v>
          </cell>
        </row>
        <row r="57">
          <cell r="A57" t="str">
            <v>Total disbursement/(repayments) of working capital loans/current borrowings</v>
          </cell>
          <cell r="B57" t="str">
            <v>Lable</v>
          </cell>
          <cell r="C57"/>
        </row>
        <row r="58">
          <cell r="A58" t="str">
            <v>Interest paid</v>
          </cell>
          <cell r="B58" t="str">
            <v>Interest Paid</v>
          </cell>
          <cell r="C58">
            <v>30484</v>
          </cell>
        </row>
        <row r="59">
          <cell r="A59" t="str">
            <v>Dividend on Equity shares(including dividend distribution tax)</v>
          </cell>
          <cell r="B59" t="str">
            <v>Dividend Paid</v>
          </cell>
          <cell r="C59">
            <v>17528</v>
          </cell>
        </row>
        <row r="60">
          <cell r="A60" t="str">
            <v>Purchase of equity instruments measured at cost</v>
          </cell>
          <cell r="B60" t="str">
            <v>Others-Financing Activities</v>
          </cell>
          <cell r="C60">
            <v>17543</v>
          </cell>
        </row>
        <row r="61">
          <cell r="A61" t="str">
            <v>Proceeds from disposal of equity instruments measured at cost</v>
          </cell>
          <cell r="B61" t="str">
            <v>Others-Financing Activities</v>
          </cell>
          <cell r="C61">
            <v>17543</v>
          </cell>
        </row>
        <row r="62">
          <cell r="A62" t="str">
            <v>CASH FLOW FROM FINANCING ACTIVITIES</v>
          </cell>
          <cell r="B62" t="str">
            <v>Net Cash Flow From Financing Activities</v>
          </cell>
          <cell r="C62">
            <v>17536</v>
          </cell>
        </row>
        <row r="63">
          <cell r="A63" t="str">
            <v>Net increase/(decrease) in cash &amp; cash equivalents</v>
          </cell>
          <cell r="B63" t="str">
            <v>Net increase (decrease) in cash and cash equivalents before effect of exchange rate changes</v>
          </cell>
          <cell r="C63">
            <v>30458</v>
          </cell>
        </row>
        <row r="64">
          <cell r="A64" t="str">
            <v>Cash &amp; cash equivalents at the beginning of the financial year</v>
          </cell>
          <cell r="B64" t="str">
            <v>Cash and Cash Equivalents at the Beginning of the Year</v>
          </cell>
          <cell r="C64">
            <v>17519</v>
          </cell>
        </row>
        <row r="65">
          <cell r="A65" t="str">
            <v>Cash &amp; cash equivalents at the end of the financial year</v>
          </cell>
          <cell r="B65" t="str">
            <v>Cash and Cash Equivalents at the End of the Year</v>
          </cell>
          <cell r="C65">
            <v>30371</v>
          </cell>
        </row>
        <row r="66">
          <cell r="A66" t="str">
            <v>Change in Cash &amp; cash equivalents during the year</v>
          </cell>
          <cell r="B66"/>
          <cell r="C66"/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zoomScaleNormal="100" workbookViewId="0">
      <selection activeCell="B1" sqref="B1:C1048576"/>
    </sheetView>
  </sheetViews>
  <sheetFormatPr defaultColWidth="8.5703125" defaultRowHeight="15" x14ac:dyDescent="0.25"/>
  <cols>
    <col min="1" max="2" width="50.7109375" customWidth="1"/>
  </cols>
  <sheetData>
    <row r="1" spans="1:3" x14ac:dyDescent="0.25">
      <c r="A1" s="1" t="s">
        <v>213</v>
      </c>
      <c r="B1" s="2" t="s">
        <v>128</v>
      </c>
      <c r="C1" s="3" t="s">
        <v>129</v>
      </c>
    </row>
    <row r="2" spans="1:3" x14ac:dyDescent="0.25">
      <c r="A2" s="4" t="s">
        <v>0</v>
      </c>
      <c r="B2" s="4" t="s">
        <v>130</v>
      </c>
      <c r="C2" s="4"/>
    </row>
    <row r="3" spans="1:3" x14ac:dyDescent="0.25">
      <c r="A3" s="4" t="s">
        <v>0</v>
      </c>
      <c r="B3" s="4" t="s">
        <v>131</v>
      </c>
      <c r="C3" s="4">
        <v>256</v>
      </c>
    </row>
    <row r="4" spans="1:3" x14ac:dyDescent="0.25">
      <c r="A4" s="4" t="s">
        <v>1</v>
      </c>
      <c r="B4" s="4" t="str">
        <f>_xlfn.XLOOKUP(A4,'[1]P&amp;L_Standalone'!$A:$A,'[1]P&amp;L_Standalone'!$B:$B)</f>
        <v>Miscellaneous Income</v>
      </c>
      <c r="C4" s="4">
        <f>_xlfn.XLOOKUP(A4,'[1]P&amp;L_Standalone'!$A:$A,'[1]P&amp;L_Standalone'!$C:$C)</f>
        <v>265</v>
      </c>
    </row>
    <row r="5" spans="1:3" x14ac:dyDescent="0.25">
      <c r="A5" s="4" t="s">
        <v>2</v>
      </c>
      <c r="B5" s="4" t="s">
        <v>132</v>
      </c>
      <c r="C5" s="4">
        <v>25238</v>
      </c>
    </row>
    <row r="6" spans="1:3" x14ac:dyDescent="0.25">
      <c r="A6" s="4" t="s">
        <v>3</v>
      </c>
      <c r="B6" s="4" t="s">
        <v>130</v>
      </c>
      <c r="C6" s="4"/>
    </row>
    <row r="7" spans="1:3" x14ac:dyDescent="0.25">
      <c r="A7" s="4" t="s">
        <v>4</v>
      </c>
      <c r="B7" s="4" t="str">
        <f>_xlfn.XLOOKUP(A7,'[1]P&amp;L_Standalone'!$A:$A,'[1]P&amp;L_Standalone'!$B:$B)</f>
        <v>Employee Benefit Expense</v>
      </c>
      <c r="C7" s="4">
        <f>_xlfn.XLOOKUP(A7,'[1]P&amp;L_Standalone'!$A:$A,'[1]P&amp;L_Standalone'!$C:$C)</f>
        <v>238</v>
      </c>
    </row>
    <row r="8" spans="1:3" x14ac:dyDescent="0.25">
      <c r="A8" s="4" t="s">
        <v>5</v>
      </c>
      <c r="B8" s="4" t="s">
        <v>133</v>
      </c>
      <c r="C8" s="6">
        <v>230</v>
      </c>
    </row>
    <row r="9" spans="1:3" x14ac:dyDescent="0.25">
      <c r="A9" s="4" t="s">
        <v>6</v>
      </c>
      <c r="B9" s="4" t="s">
        <v>134</v>
      </c>
      <c r="C9" s="6">
        <v>227</v>
      </c>
    </row>
    <row r="10" spans="1:3" x14ac:dyDescent="0.25">
      <c r="A10" s="4" t="s">
        <v>7</v>
      </c>
      <c r="B10" s="4" t="s">
        <v>7</v>
      </c>
      <c r="C10" s="6">
        <v>246</v>
      </c>
    </row>
    <row r="11" spans="1:3" x14ac:dyDescent="0.25">
      <c r="A11" s="4" t="s">
        <v>8</v>
      </c>
      <c r="B11" s="4" t="s">
        <v>135</v>
      </c>
      <c r="C11" s="6">
        <v>232</v>
      </c>
    </row>
    <row r="12" spans="1:3" x14ac:dyDescent="0.25">
      <c r="A12" s="4" t="s">
        <v>9</v>
      </c>
      <c r="B12" s="4" t="s">
        <v>9</v>
      </c>
      <c r="C12" s="6">
        <v>279</v>
      </c>
    </row>
    <row r="13" spans="1:3" x14ac:dyDescent="0.25">
      <c r="A13" s="4" t="s">
        <v>10</v>
      </c>
      <c r="B13" s="4" t="str">
        <f>_xlfn.XLOOKUP(A13,'[1]P&amp;L_Standalone'!$A:$A,'[1]P&amp;L_Standalone'!$B:$B)</f>
        <v>Total Expenses</v>
      </c>
      <c r="C13" s="4">
        <f>_xlfn.XLOOKUP(A13,'[1]P&amp;L_Standalone'!$A:$A,'[1]P&amp;L_Standalone'!$C:$C)</f>
        <v>320</v>
      </c>
    </row>
    <row r="14" spans="1:3" x14ac:dyDescent="0.25">
      <c r="A14" s="4" t="s">
        <v>11</v>
      </c>
      <c r="B14" s="4" t="s">
        <v>136</v>
      </c>
      <c r="C14" s="4">
        <v>294</v>
      </c>
    </row>
    <row r="15" spans="1:3" x14ac:dyDescent="0.25">
      <c r="A15" s="4" t="s">
        <v>12</v>
      </c>
      <c r="B15" s="4" t="str">
        <f>_xlfn.XLOOKUP(A15,'[1]P&amp;L_Standalone'!$A:$A,'[1]P&amp;L_Standalone'!$B:$B)</f>
        <v>Other Exceptional Items</v>
      </c>
      <c r="C15" s="4">
        <f>_xlfn.XLOOKUP(A15,'[1]P&amp;L_Standalone'!$A:$A,'[1]P&amp;L_Standalone'!$C:$C)</f>
        <v>278</v>
      </c>
    </row>
    <row r="16" spans="1:3" x14ac:dyDescent="0.25">
      <c r="A16" s="8" t="s">
        <v>137</v>
      </c>
      <c r="B16" s="8" t="s">
        <v>137</v>
      </c>
      <c r="C16" s="8">
        <v>319</v>
      </c>
    </row>
    <row r="17" spans="1:3" x14ac:dyDescent="0.25">
      <c r="A17" s="4" t="s">
        <v>13</v>
      </c>
      <c r="B17" s="2" t="s">
        <v>138</v>
      </c>
      <c r="C17" s="7">
        <v>296</v>
      </c>
    </row>
    <row r="18" spans="1:3" x14ac:dyDescent="0.25">
      <c r="A18" s="9" t="s">
        <v>14</v>
      </c>
      <c r="B18" s="9" t="s">
        <v>139</v>
      </c>
      <c r="C18" s="9">
        <v>318</v>
      </c>
    </row>
    <row r="19" spans="1:3" x14ac:dyDescent="0.25">
      <c r="A19" s="9" t="s">
        <v>15</v>
      </c>
      <c r="B19" s="9" t="s">
        <v>139</v>
      </c>
      <c r="C19" s="9">
        <v>318</v>
      </c>
    </row>
    <row r="20" spans="1:3" x14ac:dyDescent="0.25">
      <c r="A20" s="9" t="s">
        <v>16</v>
      </c>
      <c r="B20" s="9" t="s">
        <v>139</v>
      </c>
      <c r="C20" s="9">
        <v>318</v>
      </c>
    </row>
    <row r="21" spans="1:3" x14ac:dyDescent="0.25">
      <c r="A21" s="4" t="s">
        <v>17</v>
      </c>
      <c r="B21" s="4" t="s">
        <v>140</v>
      </c>
      <c r="C21" s="6">
        <v>231</v>
      </c>
    </row>
    <row r="22" spans="1:3" x14ac:dyDescent="0.25">
      <c r="A22" s="4" t="s">
        <v>18</v>
      </c>
      <c r="B22" s="2" t="s">
        <v>151</v>
      </c>
      <c r="C22" s="7">
        <v>270</v>
      </c>
    </row>
    <row r="23" spans="1:3" x14ac:dyDescent="0.25">
      <c r="A23" s="4" t="s">
        <v>19</v>
      </c>
      <c r="B23" s="4" t="s">
        <v>130</v>
      </c>
      <c r="C23" s="4"/>
    </row>
    <row r="24" spans="1:3" x14ac:dyDescent="0.25">
      <c r="A24" s="4" t="s">
        <v>20</v>
      </c>
      <c r="B24" s="4" t="s">
        <v>143</v>
      </c>
      <c r="C24" s="6">
        <v>22293</v>
      </c>
    </row>
    <row r="25" spans="1:3" x14ac:dyDescent="0.25">
      <c r="A25" s="5" t="s">
        <v>142</v>
      </c>
      <c r="B25" s="4" t="s">
        <v>144</v>
      </c>
      <c r="C25" s="6">
        <v>22295</v>
      </c>
    </row>
    <row r="26" spans="1:3" x14ac:dyDescent="0.25">
      <c r="A26" s="5" t="s">
        <v>22</v>
      </c>
      <c r="B26" s="4" t="s">
        <v>145</v>
      </c>
      <c r="C26" s="6">
        <v>22294</v>
      </c>
    </row>
    <row r="27" spans="1:3" x14ac:dyDescent="0.25">
      <c r="A27" s="4" t="s">
        <v>21</v>
      </c>
      <c r="B27" s="4" t="s">
        <v>146</v>
      </c>
      <c r="C27" s="6">
        <v>22296</v>
      </c>
    </row>
    <row r="28" spans="1:3" x14ac:dyDescent="0.25">
      <c r="A28" s="4" t="s">
        <v>23</v>
      </c>
      <c r="B28" s="2" t="s">
        <v>147</v>
      </c>
      <c r="C28" s="7">
        <v>20019</v>
      </c>
    </row>
    <row r="29" spans="1:3" x14ac:dyDescent="0.25">
      <c r="A29" s="4" t="s">
        <v>24</v>
      </c>
      <c r="B29" s="4" t="s">
        <v>148</v>
      </c>
      <c r="C29" s="4">
        <v>20016</v>
      </c>
    </row>
    <row r="30" spans="1:3" x14ac:dyDescent="0.25">
      <c r="A30" s="4" t="s">
        <v>25</v>
      </c>
      <c r="B30" s="4" t="s">
        <v>149</v>
      </c>
      <c r="C30" s="6">
        <v>20018</v>
      </c>
    </row>
    <row r="31" spans="1:3" x14ac:dyDescent="0.25">
      <c r="A31" s="4" t="s">
        <v>26</v>
      </c>
      <c r="B31" s="2" t="s">
        <v>150</v>
      </c>
      <c r="C31" s="7">
        <v>20015</v>
      </c>
    </row>
    <row r="32" spans="1:3" x14ac:dyDescent="0.25">
      <c r="A32" s="4" t="s">
        <v>27</v>
      </c>
      <c r="B32" s="4" t="s">
        <v>27</v>
      </c>
      <c r="C32" s="4"/>
    </row>
    <row r="33" spans="1:3" x14ac:dyDescent="0.25">
      <c r="A33" s="4" t="s">
        <v>28</v>
      </c>
      <c r="B33" s="4" t="s">
        <v>28</v>
      </c>
      <c r="C33" s="4"/>
    </row>
    <row r="34" spans="1:3" x14ac:dyDescent="0.25">
      <c r="A34" s="4" t="s">
        <v>29</v>
      </c>
      <c r="B34" s="4" t="s">
        <v>29</v>
      </c>
      <c r="C34" s="4"/>
    </row>
    <row r="35" spans="1:3" x14ac:dyDescent="0.25">
      <c r="A35" s="9" t="s">
        <v>30</v>
      </c>
      <c r="B35" s="8" t="s">
        <v>141</v>
      </c>
      <c r="C35" s="8">
        <v>269</v>
      </c>
    </row>
    <row r="36" spans="1:3" x14ac:dyDescent="0.25">
      <c r="A36" s="4" t="s">
        <v>31</v>
      </c>
      <c r="B36" s="4"/>
      <c r="C36" s="4"/>
    </row>
    <row r="37" spans="1:3" x14ac:dyDescent="0.25">
      <c r="A37" s="4" t="s">
        <v>32</v>
      </c>
      <c r="B37" s="4" t="s">
        <v>152</v>
      </c>
      <c r="C37" s="4">
        <v>282</v>
      </c>
    </row>
    <row r="38" spans="1:3" x14ac:dyDescent="0.25">
      <c r="A38" s="4" t="s">
        <v>33</v>
      </c>
      <c r="B38" s="4" t="s">
        <v>153</v>
      </c>
      <c r="C38" s="4">
        <v>245</v>
      </c>
    </row>
    <row r="39" spans="1:3" x14ac:dyDescent="0.25">
      <c r="A39" s="4" t="s">
        <v>34</v>
      </c>
      <c r="B39" s="4" t="s">
        <v>154</v>
      </c>
      <c r="C39" s="6">
        <v>309</v>
      </c>
    </row>
    <row r="40" spans="1:3" x14ac:dyDescent="0.25">
      <c r="A40" s="4" t="s">
        <v>35</v>
      </c>
      <c r="B40" s="4"/>
      <c r="C40" s="4"/>
    </row>
    <row r="41" spans="1:3" x14ac:dyDescent="0.25">
      <c r="A41" s="4" t="s">
        <v>36</v>
      </c>
      <c r="B41" s="4" t="s">
        <v>155</v>
      </c>
      <c r="C41" s="6">
        <v>222</v>
      </c>
    </row>
    <row r="42" spans="1:3" x14ac:dyDescent="0.25">
      <c r="A42" s="4" t="s">
        <v>37</v>
      </c>
      <c r="B42" s="4" t="s">
        <v>156</v>
      </c>
      <c r="C42" s="6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538C-2882-4B55-BB38-7C893FB768C2}">
  <dimension ref="A1:C1"/>
  <sheetViews>
    <sheetView workbookViewId="0"/>
  </sheetViews>
  <sheetFormatPr defaultRowHeight="15" x14ac:dyDescent="0.25"/>
  <sheetData>
    <row r="1" spans="1:3" x14ac:dyDescent="0.25">
      <c r="A1" s="1" t="s">
        <v>213</v>
      </c>
      <c r="B1" s="2" t="s">
        <v>128</v>
      </c>
      <c r="C1" s="3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zoomScaleNormal="100" workbookViewId="0">
      <selection activeCell="B1" sqref="B1"/>
    </sheetView>
  </sheetViews>
  <sheetFormatPr defaultColWidth="8.5703125" defaultRowHeight="15" x14ac:dyDescent="0.25"/>
  <cols>
    <col min="1" max="2" width="49.28515625" customWidth="1"/>
  </cols>
  <sheetData>
    <row r="1" spans="1:3" x14ac:dyDescent="0.25">
      <c r="A1" s="1" t="s">
        <v>213</v>
      </c>
      <c r="B1" s="2" t="s">
        <v>128</v>
      </c>
      <c r="C1" s="3" t="s">
        <v>129</v>
      </c>
    </row>
    <row r="2" spans="1:3" x14ac:dyDescent="0.25">
      <c r="A2" s="4" t="s">
        <v>38</v>
      </c>
      <c r="B2" s="4" t="s">
        <v>130</v>
      </c>
      <c r="C2" s="4"/>
    </row>
    <row r="3" spans="1:3" x14ac:dyDescent="0.25">
      <c r="A3" s="4" t="s">
        <v>39</v>
      </c>
      <c r="B3" s="4" t="s">
        <v>130</v>
      </c>
      <c r="C3" s="4"/>
    </row>
    <row r="4" spans="1:3" x14ac:dyDescent="0.25">
      <c r="A4" s="4" t="s">
        <v>40</v>
      </c>
      <c r="B4" s="4" t="s">
        <v>157</v>
      </c>
      <c r="C4" s="4">
        <v>20222</v>
      </c>
    </row>
    <row r="5" spans="1:3" x14ac:dyDescent="0.25">
      <c r="A5" s="4" t="s">
        <v>41</v>
      </c>
      <c r="B5" s="4" t="s">
        <v>158</v>
      </c>
      <c r="C5" s="6">
        <v>13720</v>
      </c>
    </row>
    <row r="6" spans="1:3" x14ac:dyDescent="0.25">
      <c r="A6" s="4" t="s">
        <v>42</v>
      </c>
      <c r="B6" s="4" t="s">
        <v>42</v>
      </c>
      <c r="C6" s="6">
        <v>25736</v>
      </c>
    </row>
    <row r="7" spans="1:3" x14ac:dyDescent="0.25">
      <c r="A7" s="4" t="s">
        <v>43</v>
      </c>
      <c r="B7" s="4" t="s">
        <v>43</v>
      </c>
      <c r="C7" s="6">
        <v>20220</v>
      </c>
    </row>
    <row r="8" spans="1:3" x14ac:dyDescent="0.25">
      <c r="A8" s="4" t="s">
        <v>44</v>
      </c>
      <c r="B8" s="4" t="s">
        <v>159</v>
      </c>
      <c r="C8" s="6">
        <v>20221</v>
      </c>
    </row>
    <row r="9" spans="1:3" x14ac:dyDescent="0.25">
      <c r="A9" s="4" t="s">
        <v>45</v>
      </c>
      <c r="B9" s="4" t="s">
        <v>160</v>
      </c>
      <c r="C9" s="6">
        <v>13736</v>
      </c>
    </row>
    <row r="10" spans="1:3" x14ac:dyDescent="0.25">
      <c r="A10" s="4" t="s">
        <v>46</v>
      </c>
      <c r="B10" s="4" t="s">
        <v>46</v>
      </c>
      <c r="C10" s="6">
        <v>20219</v>
      </c>
    </row>
    <row r="11" spans="1:3" x14ac:dyDescent="0.25">
      <c r="A11" s="4" t="s">
        <v>47</v>
      </c>
      <c r="B11" s="4" t="s">
        <v>214</v>
      </c>
      <c r="C11" s="4"/>
    </row>
    <row r="12" spans="1:3" x14ac:dyDescent="0.25">
      <c r="A12" s="4" t="s">
        <v>48</v>
      </c>
      <c r="B12" s="4" t="s">
        <v>130</v>
      </c>
      <c r="C12" s="4"/>
    </row>
    <row r="13" spans="1:3" x14ac:dyDescent="0.25">
      <c r="A13" s="4" t="s">
        <v>49</v>
      </c>
      <c r="B13" s="4" t="s">
        <v>161</v>
      </c>
      <c r="C13" s="6">
        <v>13748</v>
      </c>
    </row>
    <row r="14" spans="1:3" x14ac:dyDescent="0.25">
      <c r="A14" s="4" t="s">
        <v>50</v>
      </c>
      <c r="B14" s="4" t="s">
        <v>162</v>
      </c>
      <c r="C14" s="6">
        <v>20218</v>
      </c>
    </row>
    <row r="15" spans="1:3" x14ac:dyDescent="0.25">
      <c r="A15" s="4" t="s">
        <v>51</v>
      </c>
      <c r="B15" s="4" t="s">
        <v>163</v>
      </c>
      <c r="C15" s="6">
        <v>20217</v>
      </c>
    </row>
    <row r="16" spans="1:3" x14ac:dyDescent="0.25">
      <c r="A16" s="9" t="s">
        <v>52</v>
      </c>
      <c r="B16" s="9" t="s">
        <v>164</v>
      </c>
      <c r="C16" s="9">
        <v>13753</v>
      </c>
    </row>
    <row r="17" spans="1:3" x14ac:dyDescent="0.25">
      <c r="A17" s="4" t="s">
        <v>53</v>
      </c>
      <c r="B17" s="4" t="s">
        <v>165</v>
      </c>
      <c r="C17" s="6">
        <v>13726</v>
      </c>
    </row>
    <row r="18" spans="1:3" x14ac:dyDescent="0.25">
      <c r="A18" s="9" t="s">
        <v>54</v>
      </c>
      <c r="B18" s="9" t="s">
        <v>164</v>
      </c>
      <c r="C18" s="9">
        <v>13753</v>
      </c>
    </row>
    <row r="19" spans="1:3" x14ac:dyDescent="0.25">
      <c r="A19" s="4" t="s">
        <v>55</v>
      </c>
      <c r="B19" s="4" t="s">
        <v>130</v>
      </c>
      <c r="C19" s="4"/>
    </row>
    <row r="20" spans="1:3" x14ac:dyDescent="0.25">
      <c r="A20" s="4" t="s">
        <v>56</v>
      </c>
      <c r="B20" s="4" t="s">
        <v>56</v>
      </c>
      <c r="C20" s="6">
        <v>13737</v>
      </c>
    </row>
    <row r="21" spans="1:3" x14ac:dyDescent="0.25">
      <c r="A21" s="4" t="s">
        <v>48</v>
      </c>
      <c r="B21" s="4" t="s">
        <v>130</v>
      </c>
      <c r="C21" s="4"/>
    </row>
    <row r="22" spans="1:3" x14ac:dyDescent="0.25">
      <c r="A22" s="4" t="s">
        <v>49</v>
      </c>
      <c r="B22" s="4" t="s">
        <v>166</v>
      </c>
      <c r="C22" s="6">
        <v>13724</v>
      </c>
    </row>
    <row r="23" spans="1:3" x14ac:dyDescent="0.25">
      <c r="A23" s="4" t="s">
        <v>50</v>
      </c>
      <c r="B23" s="4" t="s">
        <v>162</v>
      </c>
      <c r="C23" s="6">
        <v>13780</v>
      </c>
    </row>
    <row r="24" spans="1:3" x14ac:dyDescent="0.25">
      <c r="A24" s="4" t="s">
        <v>57</v>
      </c>
      <c r="B24" s="4" t="s">
        <v>167</v>
      </c>
      <c r="C24" s="6">
        <v>13722</v>
      </c>
    </row>
    <row r="25" spans="1:3" x14ac:dyDescent="0.25">
      <c r="A25" s="4" t="s">
        <v>58</v>
      </c>
      <c r="B25" s="4" t="s">
        <v>168</v>
      </c>
      <c r="C25" s="6">
        <v>29788</v>
      </c>
    </row>
    <row r="26" spans="1:3" x14ac:dyDescent="0.25">
      <c r="A26" s="4" t="s">
        <v>59</v>
      </c>
      <c r="B26" s="4" t="s">
        <v>169</v>
      </c>
      <c r="C26" s="4">
        <v>20230</v>
      </c>
    </row>
    <row r="27" spans="1:3" x14ac:dyDescent="0.25">
      <c r="A27" s="4" t="s">
        <v>60</v>
      </c>
      <c r="B27" s="4" t="s">
        <v>170</v>
      </c>
      <c r="C27" s="6">
        <v>20231</v>
      </c>
    </row>
    <row r="28" spans="1:3" x14ac:dyDescent="0.25">
      <c r="A28" s="4" t="s">
        <v>61</v>
      </c>
      <c r="B28" s="4" t="s">
        <v>61</v>
      </c>
      <c r="C28" s="6">
        <v>20228</v>
      </c>
    </row>
    <row r="29" spans="1:3" x14ac:dyDescent="0.25">
      <c r="A29" s="4" t="s">
        <v>62</v>
      </c>
      <c r="B29" s="4" t="s">
        <v>171</v>
      </c>
      <c r="C29" s="6">
        <v>13750</v>
      </c>
    </row>
    <row r="30" spans="1:3" x14ac:dyDescent="0.25">
      <c r="A30" s="4" t="s">
        <v>63</v>
      </c>
      <c r="B30" s="4" t="s">
        <v>172</v>
      </c>
      <c r="C30" s="6">
        <v>20208</v>
      </c>
    </row>
    <row r="31" spans="1:3" x14ac:dyDescent="0.25">
      <c r="A31" s="4" t="s">
        <v>64</v>
      </c>
      <c r="B31" s="4" t="s">
        <v>173</v>
      </c>
      <c r="C31" s="6">
        <v>33087</v>
      </c>
    </row>
    <row r="32" spans="1:3" x14ac:dyDescent="0.25">
      <c r="A32" s="4" t="s">
        <v>65</v>
      </c>
      <c r="B32" s="4" t="s">
        <v>65</v>
      </c>
      <c r="C32" s="4">
        <v>13771</v>
      </c>
    </row>
    <row r="33" spans="1:3" x14ac:dyDescent="0.25">
      <c r="A33" s="4" t="s">
        <v>66</v>
      </c>
      <c r="B33" s="4" t="s">
        <v>130</v>
      </c>
      <c r="C33" s="4"/>
    </row>
    <row r="34" spans="1:3" x14ac:dyDescent="0.25">
      <c r="A34" s="4" t="s">
        <v>67</v>
      </c>
      <c r="B34" s="4" t="s">
        <v>130</v>
      </c>
      <c r="C34" s="4"/>
    </row>
    <row r="35" spans="1:3" x14ac:dyDescent="0.25">
      <c r="A35" s="4" t="s">
        <v>68</v>
      </c>
      <c r="B35" s="4" t="s">
        <v>174</v>
      </c>
      <c r="C35" s="6">
        <v>13765</v>
      </c>
    </row>
    <row r="36" spans="1:3" x14ac:dyDescent="0.25">
      <c r="A36" s="4" t="s">
        <v>69</v>
      </c>
      <c r="B36" s="4" t="s">
        <v>175</v>
      </c>
      <c r="C36" s="6">
        <v>13762</v>
      </c>
    </row>
    <row r="37" spans="1:3" x14ac:dyDescent="0.25">
      <c r="A37" s="4" t="s">
        <v>70</v>
      </c>
      <c r="B37" s="4" t="s">
        <v>130</v>
      </c>
      <c r="C37" s="4"/>
    </row>
    <row r="38" spans="1:3" x14ac:dyDescent="0.25">
      <c r="A38" s="4" t="s">
        <v>71</v>
      </c>
      <c r="B38" s="4" t="s">
        <v>130</v>
      </c>
      <c r="C38" s="4"/>
    </row>
    <row r="39" spans="1:3" x14ac:dyDescent="0.25">
      <c r="A39" s="4" t="s">
        <v>72</v>
      </c>
      <c r="B39" s="4" t="s">
        <v>130</v>
      </c>
      <c r="C39" s="4"/>
    </row>
    <row r="40" spans="1:3" x14ac:dyDescent="0.25">
      <c r="A40" s="4" t="s">
        <v>73</v>
      </c>
      <c r="B40" s="4" t="s">
        <v>176</v>
      </c>
      <c r="C40" s="4">
        <v>20223</v>
      </c>
    </row>
    <row r="41" spans="1:3" x14ac:dyDescent="0.25">
      <c r="A41" s="4" t="s">
        <v>74</v>
      </c>
      <c r="B41" s="4" t="s">
        <v>177</v>
      </c>
      <c r="C41" s="6">
        <v>20227</v>
      </c>
    </row>
    <row r="42" spans="1:3" x14ac:dyDescent="0.25">
      <c r="A42" s="4" t="s">
        <v>75</v>
      </c>
      <c r="B42" s="4" t="s">
        <v>178</v>
      </c>
      <c r="C42" s="6">
        <v>20226</v>
      </c>
    </row>
    <row r="43" spans="1:3" x14ac:dyDescent="0.25">
      <c r="A43" s="4" t="s">
        <v>76</v>
      </c>
      <c r="B43" s="4" t="s">
        <v>179</v>
      </c>
      <c r="C43" s="6">
        <v>13743</v>
      </c>
    </row>
    <row r="44" spans="1:3" x14ac:dyDescent="0.25">
      <c r="A44" s="4" t="s">
        <v>77</v>
      </c>
      <c r="B44" s="4" t="s">
        <v>180</v>
      </c>
      <c r="C44" s="6">
        <v>13727</v>
      </c>
    </row>
    <row r="45" spans="1:3" x14ac:dyDescent="0.25">
      <c r="A45" s="4" t="s">
        <v>78</v>
      </c>
      <c r="B45" s="4" t="s">
        <v>181</v>
      </c>
      <c r="C45" s="6">
        <v>33070</v>
      </c>
    </row>
    <row r="46" spans="1:3" x14ac:dyDescent="0.25">
      <c r="A46" s="4" t="s">
        <v>79</v>
      </c>
      <c r="B46" s="4" t="s">
        <v>182</v>
      </c>
      <c r="C46" s="6">
        <v>26449</v>
      </c>
    </row>
    <row r="47" spans="1:3" x14ac:dyDescent="0.25">
      <c r="A47" s="4" t="s">
        <v>80</v>
      </c>
      <c r="B47" s="4" t="s">
        <v>130</v>
      </c>
      <c r="C47" s="4"/>
    </row>
    <row r="48" spans="1:3" x14ac:dyDescent="0.25">
      <c r="A48" s="4" t="s">
        <v>72</v>
      </c>
      <c r="B48" s="4" t="s">
        <v>130</v>
      </c>
      <c r="C48" s="4"/>
    </row>
    <row r="49" spans="1:3" x14ac:dyDescent="0.25">
      <c r="A49" s="4" t="s">
        <v>81</v>
      </c>
      <c r="B49" s="4" t="s">
        <v>176</v>
      </c>
      <c r="C49" s="6">
        <v>20209</v>
      </c>
    </row>
    <row r="50" spans="1:3" x14ac:dyDescent="0.25">
      <c r="A50" s="9" t="s">
        <v>74</v>
      </c>
      <c r="B50" s="9" t="s">
        <v>177</v>
      </c>
      <c r="C50" s="9">
        <v>13779</v>
      </c>
    </row>
    <row r="51" spans="1:3" x14ac:dyDescent="0.25">
      <c r="A51" s="9" t="s">
        <v>82</v>
      </c>
      <c r="B51" s="9" t="s">
        <v>177</v>
      </c>
      <c r="C51" s="9">
        <v>13779</v>
      </c>
    </row>
    <row r="52" spans="1:3" x14ac:dyDescent="0.25">
      <c r="A52" s="9" t="s">
        <v>83</v>
      </c>
      <c r="B52" s="9" t="s">
        <v>177</v>
      </c>
      <c r="C52" s="9">
        <v>13779</v>
      </c>
    </row>
    <row r="53" spans="1:3" x14ac:dyDescent="0.25">
      <c r="A53" s="4" t="s">
        <v>84</v>
      </c>
      <c r="B53" s="4" t="s">
        <v>183</v>
      </c>
      <c r="C53" s="6">
        <v>20214</v>
      </c>
    </row>
    <row r="54" spans="1:3" x14ac:dyDescent="0.25">
      <c r="A54" s="4" t="s">
        <v>76</v>
      </c>
      <c r="B54" s="4" t="s">
        <v>184</v>
      </c>
      <c r="C54" s="6">
        <v>13767</v>
      </c>
    </row>
    <row r="55" spans="1:3" x14ac:dyDescent="0.25">
      <c r="A55" s="4" t="s">
        <v>85</v>
      </c>
      <c r="B55" s="4" t="s">
        <v>185</v>
      </c>
      <c r="C55" s="6">
        <v>20211</v>
      </c>
    </row>
    <row r="56" spans="1:3" x14ac:dyDescent="0.25">
      <c r="A56" s="4" t="s">
        <v>86</v>
      </c>
      <c r="B56" s="4" t="s">
        <v>186</v>
      </c>
      <c r="C56" s="6">
        <v>26450</v>
      </c>
    </row>
    <row r="57" spans="1:3" x14ac:dyDescent="0.25">
      <c r="A57" s="4" t="s">
        <v>87</v>
      </c>
      <c r="B57" s="4" t="s">
        <v>187</v>
      </c>
      <c r="C57" s="4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58CA-4BA6-48CF-BD5F-C85817872F33}">
  <dimension ref="A1:C1"/>
  <sheetViews>
    <sheetView workbookViewId="0"/>
  </sheetViews>
  <sheetFormatPr defaultRowHeight="15" x14ac:dyDescent="0.25"/>
  <sheetData>
    <row r="1" spans="1:3" x14ac:dyDescent="0.25">
      <c r="A1" s="1" t="s">
        <v>213</v>
      </c>
      <c r="B1" s="2" t="s">
        <v>128</v>
      </c>
      <c r="C1" s="3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zoomScaleNormal="100" workbookViewId="0">
      <selection activeCell="B1" sqref="B1"/>
    </sheetView>
  </sheetViews>
  <sheetFormatPr defaultColWidth="8.5703125" defaultRowHeight="15" x14ac:dyDescent="0.25"/>
  <cols>
    <col min="1" max="2" width="53.140625" customWidth="1"/>
  </cols>
  <sheetData>
    <row r="1" spans="1:3" x14ac:dyDescent="0.25">
      <c r="A1" s="1" t="s">
        <v>213</v>
      </c>
      <c r="B1" s="2" t="s">
        <v>128</v>
      </c>
      <c r="C1" s="3" t="s">
        <v>129</v>
      </c>
    </row>
    <row r="2" spans="1:3" x14ac:dyDescent="0.25">
      <c r="A2" s="4" t="s">
        <v>88</v>
      </c>
      <c r="B2" s="4" t="str">
        <f>_xlfn.XLOOKUP(A2,[1]CFS_Standalone!$A:$A,[1]CFS_Standalone!$B:$B)</f>
        <v>Lable</v>
      </c>
      <c r="C2" s="4"/>
    </row>
    <row r="3" spans="1:3" x14ac:dyDescent="0.25">
      <c r="A3" s="4" t="s">
        <v>89</v>
      </c>
      <c r="B3" s="4" t="str">
        <f>_xlfn.XLOOKUP(A3,[1]CFS_Standalone!$A:$A,[1]CFS_Standalone!$B:$B)</f>
        <v>Net Profit Before Tax And Exceptional Item</v>
      </c>
      <c r="C3" s="4">
        <f>_xlfn.XLOOKUP(A3,[1]CFS_Standalone!$A:$A,[1]CFS_Standalone!$C:$C)</f>
        <v>17539</v>
      </c>
    </row>
    <row r="4" spans="1:3" x14ac:dyDescent="0.25">
      <c r="A4" s="4" t="s">
        <v>90</v>
      </c>
      <c r="B4" s="4" t="str">
        <f>_xlfn.XLOOKUP(A4,[1]CFS_Standalone!$A:$A,[1]CFS_Standalone!$B:$B)</f>
        <v>Lable</v>
      </c>
      <c r="C4" s="4"/>
    </row>
    <row r="5" spans="1:3" x14ac:dyDescent="0.25">
      <c r="A5" s="4" t="s">
        <v>91</v>
      </c>
      <c r="B5" s="4" t="s">
        <v>188</v>
      </c>
      <c r="C5" s="4">
        <v>30399</v>
      </c>
    </row>
    <row r="6" spans="1:3" x14ac:dyDescent="0.25">
      <c r="A6" s="4" t="s">
        <v>92</v>
      </c>
      <c r="B6" s="4" t="str">
        <f>_xlfn.XLOOKUP(A6,[1]CFS_Standalone!$A:$A,[1]CFS_Standalone!$B:$B)</f>
        <v>Interest Expense</v>
      </c>
      <c r="C6" s="4">
        <f>_xlfn.XLOOKUP(A6,[1]CFS_Standalone!$A:$A,[1]CFS_Standalone!$C:$C)</f>
        <v>30479</v>
      </c>
    </row>
    <row r="7" spans="1:3" x14ac:dyDescent="0.25">
      <c r="A7" s="4" t="s">
        <v>93</v>
      </c>
      <c r="B7" s="4" t="s">
        <v>189</v>
      </c>
      <c r="C7" s="4">
        <v>30511</v>
      </c>
    </row>
    <row r="8" spans="1:3" x14ac:dyDescent="0.25">
      <c r="A8" s="4" t="s">
        <v>94</v>
      </c>
      <c r="B8" s="4" t="s">
        <v>130</v>
      </c>
      <c r="C8" s="4"/>
    </row>
    <row r="9" spans="1:3" x14ac:dyDescent="0.25">
      <c r="A9" s="4" t="s">
        <v>95</v>
      </c>
      <c r="B9" s="4" t="s">
        <v>56</v>
      </c>
      <c r="C9" s="4">
        <v>30487</v>
      </c>
    </row>
    <row r="10" spans="1:3" x14ac:dyDescent="0.25">
      <c r="A10" s="4" t="s">
        <v>96</v>
      </c>
      <c r="B10" s="4" t="s">
        <v>190</v>
      </c>
      <c r="C10" s="4">
        <v>30667</v>
      </c>
    </row>
    <row r="11" spans="1:3" x14ac:dyDescent="0.25">
      <c r="A11" s="4" t="s">
        <v>97</v>
      </c>
      <c r="B11" s="4" t="s">
        <v>191</v>
      </c>
      <c r="C11" s="6">
        <v>30675</v>
      </c>
    </row>
    <row r="12" spans="1:3" x14ac:dyDescent="0.25">
      <c r="A12" s="4" t="s">
        <v>98</v>
      </c>
      <c r="B12" s="4" t="s">
        <v>192</v>
      </c>
      <c r="C12" s="6">
        <v>30674</v>
      </c>
    </row>
    <row r="13" spans="1:3" x14ac:dyDescent="0.25">
      <c r="A13" s="9" t="s">
        <v>99</v>
      </c>
      <c r="B13" s="9" t="s">
        <v>193</v>
      </c>
      <c r="C13" s="9">
        <v>30518</v>
      </c>
    </row>
    <row r="14" spans="1:3" x14ac:dyDescent="0.25">
      <c r="A14" s="4" t="s">
        <v>100</v>
      </c>
      <c r="B14" s="4" t="s">
        <v>194</v>
      </c>
      <c r="C14" s="4">
        <v>30452</v>
      </c>
    </row>
    <row r="15" spans="1:3" x14ac:dyDescent="0.25">
      <c r="A15" s="4" t="s">
        <v>101</v>
      </c>
      <c r="B15" s="4" t="s">
        <v>195</v>
      </c>
      <c r="C15" s="4">
        <v>30454</v>
      </c>
    </row>
    <row r="16" spans="1:3" x14ac:dyDescent="0.25">
      <c r="A16" s="4" t="s">
        <v>102</v>
      </c>
      <c r="B16" s="4" t="s">
        <v>76</v>
      </c>
      <c r="C16" s="6">
        <v>30627</v>
      </c>
    </row>
    <row r="17" spans="1:3" x14ac:dyDescent="0.25">
      <c r="A17" s="9" t="s">
        <v>103</v>
      </c>
      <c r="B17" s="9" t="s">
        <v>193</v>
      </c>
      <c r="C17" s="9">
        <v>30518</v>
      </c>
    </row>
    <row r="18" spans="1:3" x14ac:dyDescent="0.25">
      <c r="A18" s="4" t="s">
        <v>104</v>
      </c>
      <c r="B18" s="4" t="s">
        <v>196</v>
      </c>
      <c r="C18" s="6">
        <v>17546</v>
      </c>
    </row>
    <row r="19" spans="1:3" x14ac:dyDescent="0.25">
      <c r="A19" s="4" t="s">
        <v>105</v>
      </c>
      <c r="B19" s="4" t="s">
        <v>197</v>
      </c>
      <c r="C19" s="6">
        <v>30519</v>
      </c>
    </row>
    <row r="20" spans="1:3" x14ac:dyDescent="0.25">
      <c r="A20" s="4" t="s">
        <v>106</v>
      </c>
      <c r="B20" s="2" t="s">
        <v>198</v>
      </c>
      <c r="C20" s="7">
        <v>30372</v>
      </c>
    </row>
    <row r="21" spans="1:3" x14ac:dyDescent="0.25">
      <c r="A21" s="4" t="s">
        <v>107</v>
      </c>
      <c r="B21" s="4" t="s">
        <v>130</v>
      </c>
      <c r="C21" s="4"/>
    </row>
    <row r="22" spans="1:3" x14ac:dyDescent="0.25">
      <c r="A22" s="4" t="s">
        <v>108</v>
      </c>
      <c r="B22" s="4" t="s">
        <v>199</v>
      </c>
      <c r="C22" s="6">
        <v>30422</v>
      </c>
    </row>
    <row r="23" spans="1:3" x14ac:dyDescent="0.25">
      <c r="A23" s="4" t="s">
        <v>109</v>
      </c>
      <c r="B23" s="4" t="s">
        <v>200</v>
      </c>
      <c r="C23" s="6">
        <v>17547</v>
      </c>
    </row>
    <row r="24" spans="1:3" x14ac:dyDescent="0.25">
      <c r="A24" s="4" t="s">
        <v>110</v>
      </c>
      <c r="B24" s="2" t="s">
        <v>201</v>
      </c>
      <c r="C24" s="7">
        <v>17538</v>
      </c>
    </row>
    <row r="25" spans="1:3" x14ac:dyDescent="0.25">
      <c r="A25" s="4" t="s">
        <v>111</v>
      </c>
      <c r="B25" s="4" t="str">
        <f>_xlfn.XLOOKUP(A25,[1]CFS_Standalone!$A:$A,[1]CFS_Standalone!$B:$B)</f>
        <v>Lable</v>
      </c>
      <c r="C25" s="4"/>
    </row>
    <row r="26" spans="1:3" x14ac:dyDescent="0.25">
      <c r="A26" s="4" t="s">
        <v>112</v>
      </c>
      <c r="B26" s="4" t="s">
        <v>203</v>
      </c>
      <c r="C26" s="6">
        <v>17545</v>
      </c>
    </row>
    <row r="27" spans="1:3" x14ac:dyDescent="0.25">
      <c r="A27" s="4" t="s">
        <v>113</v>
      </c>
      <c r="B27" s="4" t="s">
        <v>202</v>
      </c>
      <c r="C27" s="6">
        <v>17556</v>
      </c>
    </row>
    <row r="28" spans="1:3" x14ac:dyDescent="0.25">
      <c r="A28" s="4" t="s">
        <v>114</v>
      </c>
      <c r="B28" s="2" t="s">
        <v>204</v>
      </c>
      <c r="C28" s="7">
        <v>17537</v>
      </c>
    </row>
    <row r="29" spans="1:3" x14ac:dyDescent="0.25">
      <c r="A29" s="4" t="s">
        <v>115</v>
      </c>
      <c r="B29" s="4" t="str">
        <f>_xlfn.XLOOKUP(A29,[1]CFS_Standalone!$A:$A,[1]CFS_Standalone!$B:$B)</f>
        <v>Lable</v>
      </c>
      <c r="C29" s="4"/>
    </row>
    <row r="30" spans="1:3" x14ac:dyDescent="0.25">
      <c r="A30" s="4" t="s">
        <v>116</v>
      </c>
      <c r="B30" s="4" t="s">
        <v>205</v>
      </c>
      <c r="C30" s="6">
        <v>30484</v>
      </c>
    </row>
    <row r="31" spans="1:3" x14ac:dyDescent="0.25">
      <c r="A31" s="4" t="s">
        <v>117</v>
      </c>
      <c r="B31" s="4" t="s">
        <v>206</v>
      </c>
      <c r="C31" s="6">
        <v>17554</v>
      </c>
    </row>
    <row r="32" spans="1:3" x14ac:dyDescent="0.25">
      <c r="A32" s="4" t="s">
        <v>118</v>
      </c>
      <c r="B32" s="4" t="s">
        <v>207</v>
      </c>
      <c r="C32" s="6">
        <v>17555</v>
      </c>
    </row>
    <row r="33" spans="1:3" x14ac:dyDescent="0.25">
      <c r="A33" s="4" t="s">
        <v>119</v>
      </c>
      <c r="B33" s="4" t="s">
        <v>208</v>
      </c>
      <c r="C33" s="4">
        <v>17536</v>
      </c>
    </row>
    <row r="34" spans="1:3" x14ac:dyDescent="0.25">
      <c r="A34" s="4" t="s">
        <v>120</v>
      </c>
      <c r="B34" s="4" t="s">
        <v>209</v>
      </c>
      <c r="C34" s="4">
        <v>30458</v>
      </c>
    </row>
    <row r="35" spans="1:3" x14ac:dyDescent="0.25">
      <c r="A35" s="4" t="s">
        <v>121</v>
      </c>
      <c r="B35" s="4" t="s">
        <v>210</v>
      </c>
      <c r="C35" s="6">
        <v>17519</v>
      </c>
    </row>
    <row r="36" spans="1:3" x14ac:dyDescent="0.25">
      <c r="A36" s="4" t="s">
        <v>122</v>
      </c>
      <c r="B36" s="2" t="s">
        <v>211</v>
      </c>
      <c r="C36" s="7">
        <v>30371</v>
      </c>
    </row>
    <row r="37" spans="1:3" x14ac:dyDescent="0.25">
      <c r="A37" s="4" t="s">
        <v>123</v>
      </c>
      <c r="B37" s="4" t="s">
        <v>212</v>
      </c>
      <c r="C37" s="4"/>
    </row>
    <row r="38" spans="1:3" x14ac:dyDescent="0.25">
      <c r="A38" s="4" t="s">
        <v>124</v>
      </c>
      <c r="B38" s="4" t="s">
        <v>212</v>
      </c>
      <c r="C38" s="4"/>
    </row>
    <row r="39" spans="1:3" x14ac:dyDescent="0.25">
      <c r="A39" s="4" t="s">
        <v>125</v>
      </c>
      <c r="B39" s="4" t="s">
        <v>212</v>
      </c>
      <c r="C39" s="4"/>
    </row>
    <row r="40" spans="1:3" x14ac:dyDescent="0.25">
      <c r="A40" s="4" t="s">
        <v>126</v>
      </c>
      <c r="B40" s="4" t="s">
        <v>212</v>
      </c>
      <c r="C40" s="4"/>
    </row>
    <row r="41" spans="1:3" x14ac:dyDescent="0.25">
      <c r="A41" s="4" t="s">
        <v>127</v>
      </c>
      <c r="B41" s="4" t="s">
        <v>212</v>
      </c>
      <c r="C41" s="4"/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790C-3127-4419-B305-56930B8FFD35}">
  <dimension ref="A1:C1"/>
  <sheetViews>
    <sheetView workbookViewId="0"/>
  </sheetViews>
  <sheetFormatPr defaultRowHeight="15" x14ac:dyDescent="0.25"/>
  <sheetData>
    <row r="1" spans="1:3" x14ac:dyDescent="0.25">
      <c r="A1" s="1" t="s">
        <v>213</v>
      </c>
      <c r="B1" s="2" t="s">
        <v>128</v>
      </c>
      <c r="C1" s="3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97E9-6839-4BB4-83D7-E6FA342F6752}">
  <dimension ref="A1:C1"/>
  <sheetViews>
    <sheetView workbookViewId="0"/>
  </sheetViews>
  <sheetFormatPr defaultRowHeight="15" x14ac:dyDescent="0.25"/>
  <sheetData>
    <row r="1" spans="1:3" x14ac:dyDescent="0.25">
      <c r="A1" s="1" t="s">
        <v>213</v>
      </c>
      <c r="B1" s="2" t="s">
        <v>128</v>
      </c>
      <c r="C1" s="3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4561-9F0D-464D-90FE-1322814AE795}">
  <dimension ref="A1:C1"/>
  <sheetViews>
    <sheetView tabSelected="1" workbookViewId="0"/>
  </sheetViews>
  <sheetFormatPr defaultRowHeight="15" x14ac:dyDescent="0.25"/>
  <sheetData>
    <row r="1" spans="1:3" x14ac:dyDescent="0.25">
      <c r="A1" s="1" t="s">
        <v>213</v>
      </c>
      <c r="B1" s="2" t="s">
        <v>128</v>
      </c>
      <c r="C1" s="3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5</cp:revision>
  <dcterms:created xsi:type="dcterms:W3CDTF">2025-12-31T05:47:30Z</dcterms:created>
  <dcterms:modified xsi:type="dcterms:W3CDTF">2026-01-21T06:02:51Z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2026-01-02T08:05:14Z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88603e4d-8d0b-4f2c-a6f4-b4e97205a312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