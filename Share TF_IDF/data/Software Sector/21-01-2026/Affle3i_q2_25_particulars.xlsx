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CD0D3E00-35B9-4F73-80CC-A22D84B8C601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6" r:id="rId2"/>
    <sheet name="BS_Standalone" sheetId="2" r:id="rId3"/>
    <sheet name="BS_Consolidated" sheetId="7" r:id="rId4"/>
    <sheet name="CFS_Standalone" sheetId="4" r:id="rId5"/>
    <sheet name="CFS_Consolidated" sheetId="9" r:id="rId6"/>
    <sheet name="SR_Standalone" sheetId="10" r:id="rId7"/>
    <sheet name="SR_Consolidated" sheetId="11" r:id="rId8"/>
  </sheets>
  <definedNames>
    <definedName name="_xlnm._FilterDatabase" localSheetId="3" hidden="1">BS_Consolidated!$A$1:$C$63</definedName>
    <definedName name="_xlnm._FilterDatabase" localSheetId="2" hidden="1">BS_Standalone!$A$1:$C$57</definedName>
    <definedName name="_xlnm._FilterDatabase" localSheetId="5" hidden="1">CFS_Consolidated!$A$1:$C$58</definedName>
    <definedName name="_xlnm._FilterDatabase" localSheetId="4" hidden="1">CFS_Standalone!$A$1:$C$57</definedName>
    <definedName name="_xlnm._FilterDatabase" localSheetId="1" hidden="1">'P&amp;L_Consolidated'!$A$1:$C$38</definedName>
    <definedName name="_xlnm._FilterDatabase" localSheetId="0" hidden="1">'P&amp;L_Standalone'!$A$1:$C$29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9" l="1"/>
  <c r="C3" i="9"/>
  <c r="B4" i="9"/>
  <c r="B5" i="9"/>
  <c r="C5" i="9"/>
  <c r="B6" i="9"/>
  <c r="C6" i="9"/>
  <c r="B8" i="9"/>
  <c r="C8" i="9"/>
  <c r="B10" i="9"/>
  <c r="C10" i="9"/>
  <c r="B11" i="9"/>
  <c r="C11" i="9"/>
  <c r="B14" i="9"/>
  <c r="C14" i="9"/>
  <c r="B15" i="9"/>
  <c r="C15" i="9"/>
  <c r="B16" i="9"/>
  <c r="C16" i="9"/>
  <c r="B17" i="9"/>
  <c r="B18" i="9"/>
  <c r="C18" i="9"/>
  <c r="B19" i="9"/>
  <c r="C19" i="9"/>
  <c r="B20" i="9"/>
  <c r="C20" i="9"/>
  <c r="B22" i="9"/>
  <c r="C22" i="9"/>
  <c r="B23" i="9"/>
  <c r="C23" i="9"/>
  <c r="B24" i="9"/>
  <c r="C24" i="9"/>
  <c r="B26" i="9"/>
  <c r="C26" i="9"/>
  <c r="B27" i="9"/>
  <c r="C27" i="9"/>
  <c r="B28" i="9"/>
  <c r="C28" i="9"/>
  <c r="B2" i="9"/>
</calcChain>
</file>

<file path=xl/sharedStrings.xml><?xml version="1.0" encoding="utf-8"?>
<sst xmlns="http://schemas.openxmlformats.org/spreadsheetml/2006/main" count="591" uniqueCount="270">
  <si>
    <t>Income</t>
  </si>
  <si>
    <t>Revenue from operations</t>
  </si>
  <si>
    <t>Other income</t>
  </si>
  <si>
    <t>Total income</t>
  </si>
  <si>
    <t>Expense</t>
  </si>
  <si>
    <t>Inventory and data costs</t>
  </si>
  <si>
    <t>Employee benefits expense</t>
  </si>
  <si>
    <t>Finance costs</t>
  </si>
  <si>
    <t>Depreciation and amortisation expenses</t>
  </si>
  <si>
    <t>Other expenses</t>
  </si>
  <si>
    <t>Total expenses</t>
  </si>
  <si>
    <t>Tax expense:</t>
  </si>
  <si>
    <t>Current tax (including earlier year)</t>
  </si>
  <si>
    <t>Total tax expense</t>
  </si>
  <si>
    <t>Other comprehensive income</t>
  </si>
  <si>
    <t>Items that will not be reclassified to profit or loss in subsequent years</t>
  </si>
  <si>
    <t>Re-measurement (losses)/ gains on defined benefit plans</t>
  </si>
  <si>
    <t>Income tax effect</t>
  </si>
  <si>
    <t>Paid-up equity share capital (face value INR 2/- per equity share)</t>
  </si>
  <si>
    <t>Other equity for the years</t>
  </si>
  <si>
    <t>Basic</t>
  </si>
  <si>
    <t>Diluted</t>
  </si>
  <si>
    <t>ASSETS</t>
  </si>
  <si>
    <t>Right-of-use assets</t>
  </si>
  <si>
    <t>Goodwill</t>
  </si>
  <si>
    <t>Other intangible assets</t>
  </si>
  <si>
    <t>Intangible assets under development</t>
  </si>
  <si>
    <t>Financial assets</t>
  </si>
  <si>
    <t>Investments</t>
  </si>
  <si>
    <t>Other financial assets</t>
  </si>
  <si>
    <t>Income tax asset (net)</t>
  </si>
  <si>
    <t>Other non current assets</t>
  </si>
  <si>
    <t>Total non-current assets</t>
  </si>
  <si>
    <t>Contract assets (net)</t>
  </si>
  <si>
    <t>Trade receivables (net)</t>
  </si>
  <si>
    <t>Cash and cash equivalents</t>
  </si>
  <si>
    <t>Bank balances other than cash and cash equivalents above</t>
  </si>
  <si>
    <t>Loans</t>
  </si>
  <si>
    <t>Other current assets</t>
  </si>
  <si>
    <t>Investments held for sale</t>
  </si>
  <si>
    <t>Total current assets</t>
  </si>
  <si>
    <t>EQUITY AND LIABILITIES</t>
  </si>
  <si>
    <t>Equity share capital</t>
  </si>
  <si>
    <t>Other equity</t>
  </si>
  <si>
    <t>Retained earnings</t>
  </si>
  <si>
    <t>Securities premium</t>
  </si>
  <si>
    <t>Treasury shares</t>
  </si>
  <si>
    <t>Share based payments reserves</t>
  </si>
  <si>
    <t>Total other equity</t>
  </si>
  <si>
    <t>LIABILITIES</t>
  </si>
  <si>
    <t>Financial liabilities</t>
  </si>
  <si>
    <t>Lease liabilities</t>
  </si>
  <si>
    <t>Provisions</t>
  </si>
  <si>
    <t>Deferred tax liabilities (net)</t>
  </si>
  <si>
    <t>Total non-current liabilities</t>
  </si>
  <si>
    <t>Contract liabilities</t>
  </si>
  <si>
    <t>Other financial liabilities</t>
  </si>
  <si>
    <t>Other current liabilities</t>
  </si>
  <si>
    <t>Current tax liabilities (net)</t>
  </si>
  <si>
    <t>Total current liabilities</t>
  </si>
  <si>
    <t>Profit before tax</t>
  </si>
  <si>
    <t>Adjustments for:</t>
  </si>
  <si>
    <t>Depreciation and amortisation expense</t>
  </si>
  <si>
    <t>Interest on lease liabilities</t>
  </si>
  <si>
    <t>Liabilities written back</t>
  </si>
  <si>
    <t>Interest income</t>
  </si>
  <si>
    <t>Interest expense</t>
  </si>
  <si>
    <t>Unrealised foreign exchange gain</t>
  </si>
  <si>
    <t>Share based payments</t>
  </si>
  <si>
    <t>Gain on overnight fund</t>
  </si>
  <si>
    <t>Operating profit before working capital changes</t>
  </si>
  <si>
    <t>Change in working capital:</t>
  </si>
  <si>
    <t>Contract assets</t>
  </si>
  <si>
    <t>Trade receivables</t>
  </si>
  <si>
    <t>Trade payables</t>
  </si>
  <si>
    <t>Net cash generated from operations</t>
  </si>
  <si>
    <t>Direct taxes paid (net of refunds)</t>
  </si>
  <si>
    <t>Net cash generated/(used in) from operating activities</t>
  </si>
  <si>
    <t>Investments in bank deposits (halving original maturity of more than three months)</t>
  </si>
  <si>
    <t>Redemption of bank deposits (having original maturity of more than three months)</t>
  </si>
  <si>
    <t>Investments in bank deposits (having original maturity of more than one year)</t>
  </si>
  <si>
    <t>Investments made during the period</t>
  </si>
  <si>
    <t>Loan given to related party</t>
  </si>
  <si>
    <t>Loan received back from related party</t>
  </si>
  <si>
    <t>Net cash (used in)/generated from investing activities</t>
  </si>
  <si>
    <t>Payment of principal portion of lease liabilities</t>
  </si>
  <si>
    <t>Proceeds from issue of share capital (net of expenses)</t>
  </si>
  <si>
    <t>Proceeds from issue of share capital under ESOP scheme (net)</t>
  </si>
  <si>
    <t>Net cash generated from financing activities</t>
  </si>
  <si>
    <t>Effect of exchange difference on cash and cash equivalents held in foreign currency</t>
  </si>
  <si>
    <t>Cash and cash equivalents as at the beginning of the year</t>
  </si>
  <si>
    <t>Cash and cash equivalents as at the end of the period</t>
  </si>
  <si>
    <t>Components of cash and cash equivalents:</t>
  </si>
  <si>
    <t>Balance with banks</t>
  </si>
  <si>
    <t>On current account</t>
  </si>
  <si>
    <t>Cash in hand</t>
  </si>
  <si>
    <t>Deposits with original maturity for less than three months</t>
  </si>
  <si>
    <t>Total cash and cash equivalents</t>
  </si>
  <si>
    <t>Total expense</t>
  </si>
  <si>
    <t>Deferred tax (credit) /charge</t>
  </si>
  <si>
    <t>Items that will be reclassified to profit or loss in subsequent years</t>
  </si>
  <si>
    <t>Exchange differences on translating the financial statements of a foreign operation</t>
  </si>
  <si>
    <t>Hyperinflation adjustment in opening retained earnings</t>
  </si>
  <si>
    <t>Profit for the periods/year attributable to:</t>
  </si>
  <si>
    <t>Equity holders of the parent</t>
  </si>
  <si>
    <t>Other comprehensive income/(loss) for the periods/year attributable to:</t>
  </si>
  <si>
    <t>Total comprehensive income for the periods/year attributable to:</t>
  </si>
  <si>
    <t>Deferred tax assets (net)</t>
  </si>
  <si>
    <t>Income tax assets (net)</t>
  </si>
  <si>
    <t>Capital reserve</t>
  </si>
  <si>
    <t>Share based payments reserve</t>
  </si>
  <si>
    <t>Other reserves</t>
  </si>
  <si>
    <t>Borrowings</t>
  </si>
  <si>
    <t>Impairment allowance of trade receivables and contracts assets</t>
  </si>
  <si>
    <t>Unrealised foreign exchange loss/ (gains)</t>
  </si>
  <si>
    <t>Fair value gain on financial instruments/liabilities</t>
  </si>
  <si>
    <t>Other assets</t>
  </si>
  <si>
    <t>Other liabilities</t>
  </si>
  <si>
    <t>Net cash generated from operating activities</t>
  </si>
  <si>
    <t>Acquisition of non controlling interest</t>
  </si>
  <si>
    <t>Investments in bank deposits (having original maturity of more than three months)</t>
  </si>
  <si>
    <t>Purchase of investement</t>
  </si>
  <si>
    <t>Interest received</t>
  </si>
  <si>
    <t>Net cash used in investing activities</t>
  </si>
  <si>
    <t>Proceeds from borrowings</t>
  </si>
  <si>
    <t>Repayment of borrowings</t>
  </si>
  <si>
    <t>Net cash used in financing activities</t>
  </si>
  <si>
    <t>Cash and cash equivalents as at the beginning of die year</t>
  </si>
  <si>
    <t>Deferred tax (credit)/charge</t>
  </si>
  <si>
    <t>Profit for the periods / year</t>
  </si>
  <si>
    <t>Other comprehensive (losses)/gains net of income tax</t>
  </si>
  <si>
    <t>Total comprehensive income for the periods / year</t>
  </si>
  <si>
    <t>Earnings per equity share (face value INR 2/- per equity share) (not annualised for quarters):</t>
  </si>
  <si>
    <t>Non-current assets</t>
  </si>
  <si>
    <t>Property, plant and equipment</t>
  </si>
  <si>
    <t>Current assets</t>
  </si>
  <si>
    <t>Total assets</t>
  </si>
  <si>
    <t>EQUITY</t>
  </si>
  <si>
    <t>Total equity</t>
  </si>
  <si>
    <t>Non-current liabilities</t>
  </si>
  <si>
    <t>Current liabilities</t>
  </si>
  <si>
    <t>total outstanding dues of micro enterprises and small enterprises</t>
  </si>
  <si>
    <t xml:space="preserve"> total outstanding dues of creditors other than micro enterprises and small enterprises</t>
  </si>
  <si>
    <t>Total liabilities</t>
  </si>
  <si>
    <t xml:space="preserve">Total equity and liabilities </t>
  </si>
  <si>
    <t>Cash flow from operating activities</t>
  </si>
  <si>
    <t>Impairment allowance of trade receivables and contract assets</t>
  </si>
  <si>
    <t>Loss /(Gain) on disposal of property, plant and equipment (net)</t>
  </si>
  <si>
    <t>Cash flow from investing activities:</t>
  </si>
  <si>
    <t>Purchase of property, plant and equipment, other intangible assets including intangible assets under development</t>
  </si>
  <si>
    <t>Proceeds from sale of property, plant and equipment</t>
  </si>
  <si>
    <t>Cash flow from financing activities:</t>
  </si>
  <si>
    <t>Net change in cash and cash equivalent</t>
  </si>
  <si>
    <t>Profit for the periods/year</t>
  </si>
  <si>
    <t>Other comprehensive gains/ (loss) net of tax</t>
  </si>
  <si>
    <t>Total comprehensive income for the periods year</t>
  </si>
  <si>
    <t xml:space="preserve"> total outstanding dues of micro enterprises and small enterprises</t>
  </si>
  <si>
    <t xml:space="preserve">Total liabilities </t>
  </si>
  <si>
    <t>Total equity and liabilities</t>
  </si>
  <si>
    <t>Purchase of property, plant and equipment other intangible assets including intangible assets under development</t>
  </si>
  <si>
    <t>Acquisition of a subsidiary, net of cash acquired</t>
  </si>
  <si>
    <t xml:space="preserve"> interest expense</t>
  </si>
  <si>
    <t>Cash and cash equivalent as at the end of the period</t>
  </si>
  <si>
    <t xml:space="preserve">Particulars </t>
  </si>
  <si>
    <t>Cogencis Field</t>
  </si>
  <si>
    <t>Field id</t>
  </si>
  <si>
    <t>Lable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</si>
  <si>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</si>
  <si>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</si>
  <si>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</si>
  <si>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</si>
  <si>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</si>
  <si>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</si>
  <si>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</si>
  <si>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</si>
  <si>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before Tax</t>
  </si>
  <si>
    <t>Deferred Tax</t>
  </si>
  <si>
    <t>Income Tax related to items that will not be reclassified to Profit or Loss</t>
  </si>
  <si>
    <t>Basic EPS</t>
  </si>
  <si>
    <t>Diluted EPS</t>
  </si>
  <si>
    <t>Operating Expenses</t>
  </si>
  <si>
    <t>Tax Expense</t>
  </si>
  <si>
    <t>Net Profit/(Loss) for the Period</t>
  </si>
  <si>
    <t>Items that will not be reclassified to Profit or Loss</t>
  </si>
  <si>
    <t>Other Comprehensive Income</t>
  </si>
  <si>
    <t>Total Comprehensive Gain (Loss) For the Year</t>
  </si>
  <si>
    <t>Paid-Up Equity Share Capital</t>
  </si>
  <si>
    <t>Reserve excluding Revaluation Reserves (as per Balance Sheet of Previous Accounting Year)</t>
  </si>
  <si>
    <t>Items that will be reclassified to Profit or Loss</t>
  </si>
  <si>
    <t>Profit (Loss) Attributable To [Total]</t>
  </si>
  <si>
    <t>Owners of the company</t>
  </si>
  <si>
    <t>Comprehensive Income Attributable To [Total]</t>
  </si>
  <si>
    <t>Total Comprehensive Income Attributable To</t>
  </si>
  <si>
    <t>Property, Plant &amp; Equipment</t>
  </si>
  <si>
    <t>Right-of-use asset</t>
  </si>
  <si>
    <t>Other Intangible Assets</t>
  </si>
  <si>
    <t>Non-Current Investments</t>
  </si>
  <si>
    <t>Other Non-Current Financial Assets</t>
  </si>
  <si>
    <t>Total Non-Current Assets</t>
  </si>
  <si>
    <t>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</si>
  <si>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</si>
  <si>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</si>
  <si>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</si>
  <si>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</si>
  <si>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</si>
  <si>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</si>
  <si>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</si>
  <si>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</si>
  <si>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Total Non-Current Liabilities</t>
  </si>
  <si>
    <t>Other Non Current Financial Liabilities</t>
  </si>
  <si>
    <t>Trade Payables</t>
  </si>
  <si>
    <t>Other Current Financial Liabilities</t>
  </si>
  <si>
    <t>Current Tax Liabilities (Net)</t>
  </si>
  <si>
    <t>Total Current Liabilities</t>
  </si>
  <si>
    <t>Income Tax assets (net)</t>
  </si>
  <si>
    <t>Other Non-Current Assets</t>
  </si>
  <si>
    <t>Trade Receivables</t>
  </si>
  <si>
    <t>Bank balance other than cash and cash equivalents</t>
  </si>
  <si>
    <t>Loans, Current</t>
  </si>
  <si>
    <t>Other Current Financial Assets</t>
  </si>
  <si>
    <t>Assets classified as held for sale</t>
  </si>
  <si>
    <t>Short-Term Provisions</t>
  </si>
  <si>
    <t>Total Equity And Liabilities</t>
  </si>
  <si>
    <t>Deferred Tax Assets (Net)</t>
  </si>
  <si>
    <t>Goodwill On Consolidation</t>
  </si>
  <si>
    <t>Provision For Doubtful Debts</t>
  </si>
  <si>
    <t>Net Profit Before Tax And Exceptional Item</t>
  </si>
  <si>
    <t>Depreciation and Amortisation Expense</t>
  </si>
  <si>
    <t>Interest Expense</t>
  </si>
  <si>
    <t>Other Provisions Written Off</t>
  </si>
  <si>
    <t>Interest Income</t>
  </si>
  <si>
    <t>Foreign Exchange Gain / Loss</t>
  </si>
  <si>
    <t>Operating Profit Before Working Capital Changes</t>
  </si>
  <si>
    <t>Other Current and Non Current Assets</t>
  </si>
  <si>
    <t>Trade And Other Receivables</t>
  </si>
  <si>
    <t>Trade Payables And Others</t>
  </si>
  <si>
    <t>Adjustments for other financial liabilities, non-current</t>
  </si>
  <si>
    <t>Other Current and Non Current Liabilities</t>
  </si>
  <si>
    <t>Income Tax Paid</t>
  </si>
  <si>
    <t>Loss On Sale Of Fixed Assets</t>
  </si>
  <si>
    <t>Employees Stock Options Grants</t>
  </si>
  <si>
    <t>Profit / Loss from Deployment in Mutual Funds</t>
  </si>
  <si>
    <t>Adjustments for other financial assets, non-current</t>
  </si>
  <si>
    <t>Cash Generated From Operations</t>
  </si>
  <si>
    <t>Net Cash Flow From Operating Activities</t>
  </si>
  <si>
    <t>Purchase Of Fixed Assets (Tangible / Intangible)</t>
  </si>
  <si>
    <t>Sale Of Fixed Assets (Tangible / Intangible)</t>
  </si>
  <si>
    <t>Fixed Deposits</t>
  </si>
  <si>
    <t>Others-Investing Activities</t>
  </si>
  <si>
    <t>Interest Received</t>
  </si>
  <si>
    <t>Loans To Subsidiaries</t>
  </si>
  <si>
    <t>Cash Receipts from Repayment of Advances and Loans Made to Other Parties</t>
  </si>
  <si>
    <t>Investment Income</t>
  </si>
  <si>
    <t>Net Cash Flow From Investing Activities</t>
  </si>
  <si>
    <t>Interest Paid</t>
  </si>
  <si>
    <t>Payments of lease liabilities</t>
  </si>
  <si>
    <t>Proceeds From Issue Of Equity Shares (Inclu Share Premium)</t>
  </si>
  <si>
    <t>Net Cash Flow From Financing Activities</t>
  </si>
  <si>
    <t>Net increase (decrease) in cash and cash equivalents before effect of exchange rate changes</t>
  </si>
  <si>
    <t>Effect of Exchange Fluctuation Translation Reserve</t>
  </si>
  <si>
    <t>Cash and Cash Equivalents at the Beginning of the Year</t>
  </si>
  <si>
    <t>Cash and Cash Equivalents at the End of the Year</t>
  </si>
  <si>
    <t>Ignore this field</t>
  </si>
  <si>
    <t>Others-Before Working Capital Changes</t>
  </si>
  <si>
    <t>Acquisition Of Companies</t>
  </si>
  <si>
    <t>Purchase Of Investments</t>
  </si>
  <si>
    <t>Proceeds From Long Term Borrowings</t>
  </si>
  <si>
    <t>Repayment Of Long Term Borrowings</t>
  </si>
  <si>
    <t>Loss on disposal of property plant and equipment (net)</t>
  </si>
  <si>
    <t>Profit On Sale Of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</si>
</sst>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B2" sqref="B2"/>
    </sheetView>
  </sheetViews>
  <sheetFormatPr defaultRowHeight="15" x14ac:dyDescent="0.25"/>
  <cols>
    <col min="1" max="2" width="59.140625" customWidth="1"/>
    <col min="3" max="3" width="7.5703125" bestFit="1" customWidth="1"/>
  </cols>
  <sheetData>
    <row r="1" spans="1:3" x14ac:dyDescent="0.25">
      <c r="A1" s="1" t="s">
        <v>163</v>
      </c>
      <c r="B1" s="2" t="s">
        <v>164</v>
      </c>
      <c r="C1" s="3" t="s">
        <v>165</v>
      </c>
    </row>
    <row r="2" spans="1:3" x14ac:dyDescent="0.25">
      <c r="A2" s="4" t="s">
        <v>0</v>
      </c>
      <c r="B2" s="4" t="s">
        <v>166</v>
      </c>
      <c r="C2" s="4"/>
    </row>
    <row r="3" spans="1:3" x14ac:dyDescent="0.25">
      <c r="A3" s="4" t="s">
        <v>1</v>
      </c>
      <c r="B3" s="4" t="s">
        <v>167</v>
      </c>
      <c r="C3" s="4">
        <v>256</v>
      </c>
    </row>
    <row r="4" spans="1:3" x14ac:dyDescent="0.25">
      <c r="A4" s="4" t="s">
        <v>2</v>
      </c>
      <c r="B4" s="4" t="s">
        <v>168</v>
      </c>
      <c r="C4" s="4">
        <v>265</v>
      </c>
    </row>
    <row r="5" spans="1:3" x14ac:dyDescent="0.25">
      <c r="A5" s="4" t="s">
        <v>3</v>
      </c>
      <c r="B5" s="4" t="s">
        <v>169</v>
      </c>
      <c r="C5" s="4">
        <v>25238</v>
      </c>
    </row>
    <row r="6" spans="1:3" x14ac:dyDescent="0.25">
      <c r="A6" s="4" t="s">
        <v>4</v>
      </c>
      <c r="B6" s="4" t="s">
        <v>166</v>
      </c>
      <c r="C6" s="4"/>
    </row>
    <row r="7" spans="1:3" x14ac:dyDescent="0.25">
      <c r="A7" s="4" t="s">
        <v>5</v>
      </c>
      <c r="B7" s="4" t="s">
        <v>180</v>
      </c>
      <c r="C7" s="4">
        <v>276</v>
      </c>
    </row>
    <row r="8" spans="1:3" x14ac:dyDescent="0.25">
      <c r="A8" s="4" t="s">
        <v>6</v>
      </c>
      <c r="B8" s="4" t="s">
        <v>170</v>
      </c>
      <c r="C8" s="4">
        <v>238</v>
      </c>
    </row>
    <row r="9" spans="1:3" x14ac:dyDescent="0.25">
      <c r="A9" s="4" t="s">
        <v>7</v>
      </c>
      <c r="B9" s="4" t="s">
        <v>171</v>
      </c>
      <c r="C9" s="4">
        <v>246</v>
      </c>
    </row>
    <row r="10" spans="1:3" x14ac:dyDescent="0.25">
      <c r="A10" s="4" t="s">
        <v>8</v>
      </c>
      <c r="B10" s="4" t="s">
        <v>172</v>
      </c>
      <c r="C10" s="4">
        <v>232</v>
      </c>
    </row>
    <row r="11" spans="1:3" x14ac:dyDescent="0.25">
      <c r="A11" s="4" t="s">
        <v>9</v>
      </c>
      <c r="B11" s="4" t="s">
        <v>173</v>
      </c>
      <c r="C11" s="4">
        <v>279</v>
      </c>
    </row>
    <row r="12" spans="1:3" x14ac:dyDescent="0.25">
      <c r="A12" s="4" t="s">
        <v>10</v>
      </c>
      <c r="B12" s="4" t="s">
        <v>174</v>
      </c>
      <c r="C12" s="4">
        <v>320</v>
      </c>
    </row>
    <row r="13" spans="1:3" x14ac:dyDescent="0.25">
      <c r="A13" s="4" t="s">
        <v>60</v>
      </c>
      <c r="B13" s="4" t="s">
        <v>175</v>
      </c>
      <c r="C13" s="4">
        <v>296</v>
      </c>
    </row>
    <row r="14" spans="1:3" x14ac:dyDescent="0.25">
      <c r="A14" s="4" t="s">
        <v>11</v>
      </c>
      <c r="B14" s="4" t="s">
        <v>166</v>
      </c>
      <c r="C14" s="4"/>
    </row>
    <row r="15" spans="1:3" x14ac:dyDescent="0.25">
      <c r="A15" s="4" t="s">
        <v>12</v>
      </c>
      <c r="B15" s="4" t="s">
        <v>181</v>
      </c>
      <c r="C15" s="4">
        <v>318</v>
      </c>
    </row>
    <row r="16" spans="1:3" x14ac:dyDescent="0.25">
      <c r="A16" s="4" t="s">
        <v>128</v>
      </c>
      <c r="B16" s="4" t="s">
        <v>176</v>
      </c>
      <c r="C16" s="4">
        <v>231</v>
      </c>
    </row>
    <row r="17" spans="1:3" x14ac:dyDescent="0.25">
      <c r="A17" s="4" t="s">
        <v>13</v>
      </c>
      <c r="B17" s="4" t="s">
        <v>166</v>
      </c>
      <c r="C17" s="4"/>
    </row>
    <row r="18" spans="1:3" x14ac:dyDescent="0.25">
      <c r="A18" s="4" t="s">
        <v>129</v>
      </c>
      <c r="B18" s="4" t="s">
        <v>182</v>
      </c>
      <c r="C18" s="4">
        <v>269</v>
      </c>
    </row>
    <row r="19" spans="1:3" x14ac:dyDescent="0.25">
      <c r="A19" s="4" t="s">
        <v>14</v>
      </c>
      <c r="B19" s="4" t="s">
        <v>166</v>
      </c>
      <c r="C19" s="4"/>
    </row>
    <row r="20" spans="1:3" x14ac:dyDescent="0.25">
      <c r="A20" s="6" t="s">
        <v>15</v>
      </c>
      <c r="B20" s="6" t="s">
        <v>183</v>
      </c>
      <c r="C20" s="6">
        <v>22293</v>
      </c>
    </row>
    <row r="21" spans="1:3" x14ac:dyDescent="0.25">
      <c r="A21" s="6" t="s">
        <v>16</v>
      </c>
      <c r="B21" s="6" t="s">
        <v>183</v>
      </c>
      <c r="C21" s="6">
        <v>22293</v>
      </c>
    </row>
    <row r="22" spans="1:3" x14ac:dyDescent="0.25">
      <c r="A22" s="4" t="s">
        <v>17</v>
      </c>
      <c r="B22" s="4" t="s">
        <v>177</v>
      </c>
      <c r="C22" s="4">
        <v>22295</v>
      </c>
    </row>
    <row r="23" spans="1:3" x14ac:dyDescent="0.25">
      <c r="A23" s="4" t="s">
        <v>130</v>
      </c>
      <c r="B23" s="4" t="s">
        <v>184</v>
      </c>
      <c r="C23" s="4">
        <v>16484</v>
      </c>
    </row>
    <row r="24" spans="1:3" x14ac:dyDescent="0.25">
      <c r="A24" s="4" t="s">
        <v>131</v>
      </c>
      <c r="B24" s="4" t="s">
        <v>185</v>
      </c>
      <c r="C24" s="4">
        <v>20019</v>
      </c>
    </row>
    <row r="25" spans="1:3" x14ac:dyDescent="0.25">
      <c r="A25" s="4" t="s">
        <v>18</v>
      </c>
      <c r="B25" s="4" t="s">
        <v>186</v>
      </c>
      <c r="C25" s="5">
        <v>282</v>
      </c>
    </row>
    <row r="26" spans="1:3" x14ac:dyDescent="0.25">
      <c r="A26" s="4" t="s">
        <v>19</v>
      </c>
      <c r="B26" s="4" t="s">
        <v>187</v>
      </c>
      <c r="C26" s="5">
        <v>309</v>
      </c>
    </row>
    <row r="27" spans="1:3" x14ac:dyDescent="0.25">
      <c r="A27" s="4" t="s">
        <v>132</v>
      </c>
      <c r="B27" s="4" t="s">
        <v>166</v>
      </c>
      <c r="C27" s="4"/>
    </row>
    <row r="28" spans="1:3" x14ac:dyDescent="0.25">
      <c r="A28" s="4" t="s">
        <v>20</v>
      </c>
      <c r="B28" s="4" t="s">
        <v>178</v>
      </c>
      <c r="C28" s="4">
        <v>222</v>
      </c>
    </row>
    <row r="29" spans="1:3" x14ac:dyDescent="0.25">
      <c r="A29" s="4" t="s">
        <v>21</v>
      </c>
      <c r="B29" s="4" t="s">
        <v>179</v>
      </c>
      <c r="C29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workbookViewId="0">
      <selection activeCell="B1" sqref="B1:C1048576"/>
    </sheetView>
  </sheetViews>
  <sheetFormatPr defaultRowHeight="15" x14ac:dyDescent="0.25"/>
  <cols>
    <col min="1" max="2" width="50.7109375" customWidth="1"/>
    <col min="3" max="3" width="7.5703125" bestFit="1" customWidth="1"/>
  </cols>
  <sheetData>
    <row r="1" spans="1:3" x14ac:dyDescent="0.25">
      <c r="A1" s="1" t="s">
        <v>163</v>
      </c>
      <c r="B1" s="2" t="s">
        <v>164</v>
      </c>
      <c r="C1" s="3" t="s">
        <v>165</v>
      </c>
    </row>
    <row r="2" spans="1:3" x14ac:dyDescent="0.25">
      <c r="A2" s="4" t="s">
        <v>0</v>
      </c>
      <c r="B2" s="4" t="s">
        <v>166</v>
      </c>
      <c r="C2" s="4"/>
    </row>
    <row r="3" spans="1:3" x14ac:dyDescent="0.25">
      <c r="A3" s="4" t="s">
        <v>1</v>
      </c>
      <c r="B3" s="4" t="s">
        <v>167</v>
      </c>
      <c r="C3" s="4">
        <v>256</v>
      </c>
    </row>
    <row r="4" spans="1:3" x14ac:dyDescent="0.25">
      <c r="A4" s="4" t="s">
        <v>2</v>
      </c>
      <c r="B4" s="4" t="s">
        <v>168</v>
      </c>
      <c r="C4" s="4">
        <v>265</v>
      </c>
    </row>
    <row r="5" spans="1:3" x14ac:dyDescent="0.25">
      <c r="A5" s="4" t="s">
        <v>3</v>
      </c>
      <c r="B5" s="4" t="s">
        <v>169</v>
      </c>
      <c r="C5" s="4">
        <v>25238</v>
      </c>
    </row>
    <row r="6" spans="1:3" x14ac:dyDescent="0.25">
      <c r="A6" s="4" t="s">
        <v>4</v>
      </c>
      <c r="B6" s="4" t="s">
        <v>166</v>
      </c>
      <c r="C6" s="4"/>
    </row>
    <row r="7" spans="1:3" x14ac:dyDescent="0.25">
      <c r="A7" s="4" t="s">
        <v>5</v>
      </c>
      <c r="B7" s="4" t="s">
        <v>180</v>
      </c>
      <c r="C7" s="4">
        <v>276</v>
      </c>
    </row>
    <row r="8" spans="1:3" x14ac:dyDescent="0.25">
      <c r="A8" s="4" t="s">
        <v>6</v>
      </c>
      <c r="B8" s="4" t="s">
        <v>170</v>
      </c>
      <c r="C8" s="4">
        <v>238</v>
      </c>
    </row>
    <row r="9" spans="1:3" x14ac:dyDescent="0.25">
      <c r="A9" s="4" t="s">
        <v>7</v>
      </c>
      <c r="B9" s="4" t="s">
        <v>171</v>
      </c>
      <c r="C9" s="4">
        <v>246</v>
      </c>
    </row>
    <row r="10" spans="1:3" x14ac:dyDescent="0.25">
      <c r="A10" s="4" t="s">
        <v>8</v>
      </c>
      <c r="B10" s="4" t="s">
        <v>172</v>
      </c>
      <c r="C10" s="4">
        <v>232</v>
      </c>
    </row>
    <row r="11" spans="1:3" x14ac:dyDescent="0.25">
      <c r="A11" s="4" t="s">
        <v>9</v>
      </c>
      <c r="B11" s="4" t="s">
        <v>173</v>
      </c>
      <c r="C11" s="4">
        <v>279</v>
      </c>
    </row>
    <row r="12" spans="1:3" x14ac:dyDescent="0.25">
      <c r="A12" s="4" t="s">
        <v>98</v>
      </c>
      <c r="B12" s="4" t="s">
        <v>174</v>
      </c>
      <c r="C12" s="4">
        <v>320</v>
      </c>
    </row>
    <row r="13" spans="1:3" x14ac:dyDescent="0.25">
      <c r="A13" s="4" t="s">
        <v>60</v>
      </c>
      <c r="B13" s="4" t="s">
        <v>175</v>
      </c>
      <c r="C13" s="4">
        <v>296</v>
      </c>
    </row>
    <row r="14" spans="1:3" x14ac:dyDescent="0.25">
      <c r="A14" s="4" t="s">
        <v>11</v>
      </c>
      <c r="B14" s="4" t="s">
        <v>166</v>
      </c>
      <c r="C14" s="4"/>
    </row>
    <row r="15" spans="1:3" x14ac:dyDescent="0.25">
      <c r="A15" s="4" t="s">
        <v>12</v>
      </c>
      <c r="B15" s="4" t="s">
        <v>181</v>
      </c>
      <c r="C15" s="4">
        <v>318</v>
      </c>
    </row>
    <row r="16" spans="1:3" x14ac:dyDescent="0.25">
      <c r="A16" s="4" t="s">
        <v>99</v>
      </c>
      <c r="B16" s="4" t="s">
        <v>176</v>
      </c>
      <c r="C16" s="4">
        <v>231</v>
      </c>
    </row>
    <row r="17" spans="1:3" x14ac:dyDescent="0.25">
      <c r="A17" s="4" t="s">
        <v>13</v>
      </c>
      <c r="B17" s="4" t="s">
        <v>166</v>
      </c>
      <c r="C17" s="4"/>
    </row>
    <row r="18" spans="1:3" x14ac:dyDescent="0.25">
      <c r="A18" s="4" t="s">
        <v>153</v>
      </c>
      <c r="B18" s="4" t="s">
        <v>182</v>
      </c>
      <c r="C18" s="4">
        <v>269</v>
      </c>
    </row>
    <row r="19" spans="1:3" x14ac:dyDescent="0.25">
      <c r="A19" s="4" t="s">
        <v>14</v>
      </c>
      <c r="B19" s="4" t="s">
        <v>166</v>
      </c>
      <c r="C19" s="4"/>
    </row>
    <row r="20" spans="1:3" x14ac:dyDescent="0.25">
      <c r="A20" s="6" t="s">
        <v>100</v>
      </c>
      <c r="B20" s="6" t="s">
        <v>188</v>
      </c>
      <c r="C20" s="6">
        <v>22294</v>
      </c>
    </row>
    <row r="21" spans="1:3" x14ac:dyDescent="0.25">
      <c r="A21" s="6" t="s">
        <v>101</v>
      </c>
      <c r="B21" s="6" t="s">
        <v>188</v>
      </c>
      <c r="C21" s="6">
        <v>22294</v>
      </c>
    </row>
    <row r="22" spans="1:3" x14ac:dyDescent="0.25">
      <c r="A22" s="6" t="s">
        <v>102</v>
      </c>
      <c r="B22" s="6" t="s">
        <v>188</v>
      </c>
      <c r="C22" s="6">
        <v>22294</v>
      </c>
    </row>
    <row r="23" spans="1:3" x14ac:dyDescent="0.25">
      <c r="A23" s="6" t="s">
        <v>15</v>
      </c>
      <c r="B23" s="6" t="s">
        <v>183</v>
      </c>
      <c r="C23" s="6">
        <v>22293</v>
      </c>
    </row>
    <row r="24" spans="1:3" x14ac:dyDescent="0.25">
      <c r="A24" s="6" t="s">
        <v>16</v>
      </c>
      <c r="B24" s="6" t="s">
        <v>183</v>
      </c>
      <c r="C24" s="6">
        <v>22293</v>
      </c>
    </row>
    <row r="25" spans="1:3" x14ac:dyDescent="0.25">
      <c r="A25" s="4" t="s">
        <v>17</v>
      </c>
      <c r="B25" s="4" t="s">
        <v>177</v>
      </c>
      <c r="C25" s="4">
        <v>22295</v>
      </c>
    </row>
    <row r="26" spans="1:3" x14ac:dyDescent="0.25">
      <c r="A26" s="4" t="s">
        <v>154</v>
      </c>
      <c r="B26" s="4" t="s">
        <v>184</v>
      </c>
      <c r="C26" s="4">
        <v>16484</v>
      </c>
    </row>
    <row r="27" spans="1:3" x14ac:dyDescent="0.25">
      <c r="A27" s="4" t="s">
        <v>155</v>
      </c>
      <c r="B27" s="4" t="s">
        <v>185</v>
      </c>
      <c r="C27" s="4">
        <v>20019</v>
      </c>
    </row>
    <row r="28" spans="1:3" x14ac:dyDescent="0.25">
      <c r="A28" s="4" t="s">
        <v>103</v>
      </c>
      <c r="B28" s="4" t="s">
        <v>189</v>
      </c>
      <c r="C28" s="4">
        <v>22300</v>
      </c>
    </row>
    <row r="29" spans="1:3" x14ac:dyDescent="0.25">
      <c r="A29" s="4" t="s">
        <v>104</v>
      </c>
      <c r="B29" s="4" t="s">
        <v>190</v>
      </c>
      <c r="C29" s="5">
        <v>22299</v>
      </c>
    </row>
    <row r="30" spans="1:3" x14ac:dyDescent="0.25">
      <c r="A30" s="4" t="s">
        <v>105</v>
      </c>
      <c r="B30" s="4" t="s">
        <v>191</v>
      </c>
      <c r="C30" s="5">
        <v>22292</v>
      </c>
    </row>
    <row r="31" spans="1:3" x14ac:dyDescent="0.25">
      <c r="A31" s="4" t="s">
        <v>104</v>
      </c>
      <c r="B31" s="4" t="s">
        <v>190</v>
      </c>
      <c r="C31" s="5">
        <v>22291</v>
      </c>
    </row>
    <row r="32" spans="1:3" x14ac:dyDescent="0.25">
      <c r="A32" s="4" t="s">
        <v>106</v>
      </c>
      <c r="B32" s="4" t="s">
        <v>192</v>
      </c>
      <c r="C32" s="4">
        <v>22301</v>
      </c>
    </row>
    <row r="33" spans="1:3" x14ac:dyDescent="0.25">
      <c r="A33" s="4" t="s">
        <v>104</v>
      </c>
      <c r="B33" s="4" t="s">
        <v>190</v>
      </c>
      <c r="C33" s="5">
        <v>22303</v>
      </c>
    </row>
    <row r="34" spans="1:3" x14ac:dyDescent="0.25">
      <c r="A34" s="4" t="s">
        <v>18</v>
      </c>
      <c r="B34" s="4" t="s">
        <v>186</v>
      </c>
      <c r="C34" s="4">
        <v>282</v>
      </c>
    </row>
    <row r="35" spans="1:3" x14ac:dyDescent="0.25">
      <c r="A35" s="4" t="s">
        <v>19</v>
      </c>
      <c r="B35" s="4" t="s">
        <v>187</v>
      </c>
      <c r="C35" s="4">
        <v>309</v>
      </c>
    </row>
    <row r="36" spans="1:3" x14ac:dyDescent="0.25">
      <c r="A36" s="4" t="s">
        <v>132</v>
      </c>
      <c r="B36" s="4" t="s">
        <v>166</v>
      </c>
      <c r="C36" s="4"/>
    </row>
    <row r="37" spans="1:3" x14ac:dyDescent="0.25">
      <c r="A37" s="4" t="s">
        <v>20</v>
      </c>
      <c r="B37" s="4" t="s">
        <v>178</v>
      </c>
      <c r="C37" s="4">
        <v>222</v>
      </c>
    </row>
    <row r="38" spans="1:3" x14ac:dyDescent="0.25">
      <c r="A38" s="4" t="s">
        <v>21</v>
      </c>
      <c r="B38" s="4" t="s">
        <v>179</v>
      </c>
      <c r="C38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7"/>
  <sheetViews>
    <sheetView workbookViewId="0">
      <selection activeCell="B1" sqref="B1"/>
    </sheetView>
  </sheetViews>
  <sheetFormatPr defaultRowHeight="15" x14ac:dyDescent="0.25"/>
  <cols>
    <col min="1" max="1" width="52.28515625" customWidth="1"/>
    <col min="2" max="2" width="35.5703125" bestFit="1" customWidth="1"/>
    <col min="3" max="3" width="7.5703125" bestFit="1" customWidth="1"/>
  </cols>
  <sheetData>
    <row r="1" spans="1:3" x14ac:dyDescent="0.25">
      <c r="A1" s="1" t="s">
        <v>163</v>
      </c>
      <c r="B1" s="2" t="s">
        <v>164</v>
      </c>
      <c r="C1" s="3" t="s">
        <v>165</v>
      </c>
    </row>
    <row r="2" spans="1:3" x14ac:dyDescent="0.25">
      <c r="A2" s="4" t="s">
        <v>22</v>
      </c>
      <c r="B2" s="4" t="s">
        <v>166</v>
      </c>
      <c r="C2" s="4"/>
    </row>
    <row r="3" spans="1:3" x14ac:dyDescent="0.25">
      <c r="A3" s="4" t="s">
        <v>133</v>
      </c>
      <c r="B3" s="4" t="s">
        <v>166</v>
      </c>
      <c r="C3" s="4"/>
    </row>
    <row r="4" spans="1:3" x14ac:dyDescent="0.25">
      <c r="A4" s="4" t="s">
        <v>134</v>
      </c>
      <c r="B4" s="4" t="s">
        <v>193</v>
      </c>
      <c r="C4" s="4">
        <v>20222</v>
      </c>
    </row>
    <row r="5" spans="1:3" x14ac:dyDescent="0.25">
      <c r="A5" s="4" t="s">
        <v>23</v>
      </c>
      <c r="B5" s="4" t="s">
        <v>194</v>
      </c>
      <c r="C5" s="4">
        <v>30342</v>
      </c>
    </row>
    <row r="6" spans="1:3" x14ac:dyDescent="0.25">
      <c r="A6" s="4" t="s">
        <v>24</v>
      </c>
      <c r="B6" s="4" t="s">
        <v>24</v>
      </c>
      <c r="C6" s="4">
        <v>20220</v>
      </c>
    </row>
    <row r="7" spans="1:3" x14ac:dyDescent="0.25">
      <c r="A7" s="4" t="s">
        <v>25</v>
      </c>
      <c r="B7" s="4" t="s">
        <v>195</v>
      </c>
      <c r="C7" s="4">
        <v>20221</v>
      </c>
    </row>
    <row r="8" spans="1:3" x14ac:dyDescent="0.25">
      <c r="A8" s="4" t="s">
        <v>26</v>
      </c>
      <c r="B8" s="4" t="s">
        <v>26</v>
      </c>
      <c r="C8" s="4">
        <v>13736</v>
      </c>
    </row>
    <row r="9" spans="1:3" x14ac:dyDescent="0.25">
      <c r="A9" s="4" t="s">
        <v>27</v>
      </c>
      <c r="B9" s="4" t="s">
        <v>166</v>
      </c>
      <c r="C9" s="4"/>
    </row>
    <row r="10" spans="1:3" x14ac:dyDescent="0.25">
      <c r="A10" s="4" t="s">
        <v>28</v>
      </c>
      <c r="B10" s="4" t="s">
        <v>196</v>
      </c>
      <c r="C10" s="4">
        <v>13748</v>
      </c>
    </row>
    <row r="11" spans="1:3" x14ac:dyDescent="0.25">
      <c r="A11" s="4" t="s">
        <v>29</v>
      </c>
      <c r="B11" s="4" t="s">
        <v>197</v>
      </c>
      <c r="C11" s="4">
        <v>20216</v>
      </c>
    </row>
    <row r="12" spans="1:3" x14ac:dyDescent="0.25">
      <c r="A12" s="4" t="s">
        <v>30</v>
      </c>
      <c r="B12" s="4" t="s">
        <v>214</v>
      </c>
      <c r="C12" s="5">
        <v>20215</v>
      </c>
    </row>
    <row r="13" spans="1:3" x14ac:dyDescent="0.25">
      <c r="A13" s="4" t="s">
        <v>31</v>
      </c>
      <c r="B13" s="4" t="s">
        <v>215</v>
      </c>
      <c r="C13" s="5">
        <v>13753</v>
      </c>
    </row>
    <row r="14" spans="1:3" x14ac:dyDescent="0.25">
      <c r="A14" s="4" t="s">
        <v>32</v>
      </c>
      <c r="B14" s="4" t="s">
        <v>198</v>
      </c>
      <c r="C14" s="4">
        <v>13777</v>
      </c>
    </row>
    <row r="15" spans="1:3" x14ac:dyDescent="0.25">
      <c r="A15" s="4" t="s">
        <v>135</v>
      </c>
      <c r="B15" s="4" t="s">
        <v>166</v>
      </c>
      <c r="C15" s="4"/>
    </row>
    <row r="16" spans="1:3" x14ac:dyDescent="0.25">
      <c r="A16" s="6" t="s">
        <v>33</v>
      </c>
      <c r="B16" s="6" t="s">
        <v>200</v>
      </c>
      <c r="C16" s="6">
        <v>13750</v>
      </c>
    </row>
    <row r="17" spans="1:3" x14ac:dyDescent="0.25">
      <c r="A17" s="4" t="s">
        <v>27</v>
      </c>
      <c r="B17" s="4" t="s">
        <v>166</v>
      </c>
      <c r="C17" s="4"/>
    </row>
    <row r="18" spans="1:3" x14ac:dyDescent="0.25">
      <c r="A18" s="4" t="s">
        <v>34</v>
      </c>
      <c r="B18" s="4" t="s">
        <v>216</v>
      </c>
      <c r="C18" s="4">
        <v>13780</v>
      </c>
    </row>
    <row r="19" spans="1:3" x14ac:dyDescent="0.25">
      <c r="A19" s="4" t="s">
        <v>35</v>
      </c>
      <c r="B19" s="4" t="s">
        <v>199</v>
      </c>
      <c r="C19" s="4">
        <v>13722</v>
      </c>
    </row>
    <row r="20" spans="1:3" x14ac:dyDescent="0.25">
      <c r="A20" s="4" t="s">
        <v>36</v>
      </c>
      <c r="B20" s="4" t="s">
        <v>217</v>
      </c>
      <c r="C20" s="5">
        <v>29788</v>
      </c>
    </row>
    <row r="21" spans="1:3" x14ac:dyDescent="0.25">
      <c r="A21" s="4" t="s">
        <v>37</v>
      </c>
      <c r="B21" s="4" t="s">
        <v>218</v>
      </c>
      <c r="C21" s="5">
        <v>20230</v>
      </c>
    </row>
    <row r="22" spans="1:3" x14ac:dyDescent="0.25">
      <c r="A22" s="4" t="s">
        <v>29</v>
      </c>
      <c r="B22" s="4" t="s">
        <v>219</v>
      </c>
      <c r="C22" s="5">
        <v>20231</v>
      </c>
    </row>
    <row r="23" spans="1:3" x14ac:dyDescent="0.25">
      <c r="A23" s="6" t="s">
        <v>38</v>
      </c>
      <c r="B23" s="6" t="s">
        <v>200</v>
      </c>
      <c r="C23" s="6">
        <v>13750</v>
      </c>
    </row>
    <row r="24" spans="1:3" x14ac:dyDescent="0.25">
      <c r="A24" s="4" t="s">
        <v>39</v>
      </c>
      <c r="B24" s="4" t="s">
        <v>220</v>
      </c>
      <c r="C24" s="5">
        <v>20208</v>
      </c>
    </row>
    <row r="25" spans="1:3" x14ac:dyDescent="0.25">
      <c r="A25" s="4" t="s">
        <v>40</v>
      </c>
      <c r="B25" s="4" t="s">
        <v>201</v>
      </c>
      <c r="C25" s="4">
        <v>13774</v>
      </c>
    </row>
    <row r="26" spans="1:3" x14ac:dyDescent="0.25">
      <c r="A26" s="4" t="s">
        <v>136</v>
      </c>
      <c r="B26" s="4" t="s">
        <v>202</v>
      </c>
      <c r="C26" s="4">
        <v>13771</v>
      </c>
    </row>
    <row r="27" spans="1:3" x14ac:dyDescent="0.25">
      <c r="A27" s="4" t="s">
        <v>41</v>
      </c>
      <c r="B27" s="4" t="s">
        <v>166</v>
      </c>
      <c r="C27" s="4"/>
    </row>
    <row r="28" spans="1:3" x14ac:dyDescent="0.25">
      <c r="A28" s="4" t="s">
        <v>137</v>
      </c>
      <c r="B28" s="4" t="s">
        <v>166</v>
      </c>
      <c r="C28" s="4"/>
    </row>
    <row r="29" spans="1:3" x14ac:dyDescent="0.25">
      <c r="A29" s="4" t="s">
        <v>42</v>
      </c>
      <c r="B29" s="4" t="s">
        <v>203</v>
      </c>
      <c r="C29" s="4">
        <v>13765</v>
      </c>
    </row>
    <row r="30" spans="1:3" x14ac:dyDescent="0.25">
      <c r="A30" s="4" t="s">
        <v>43</v>
      </c>
      <c r="B30" s="4" t="s">
        <v>166</v>
      </c>
      <c r="C30" s="4"/>
    </row>
    <row r="31" spans="1:3" x14ac:dyDescent="0.25">
      <c r="A31" s="6" t="s">
        <v>44</v>
      </c>
      <c r="B31" s="6" t="s">
        <v>204</v>
      </c>
      <c r="C31" s="6">
        <v>13762</v>
      </c>
    </row>
    <row r="32" spans="1:3" x14ac:dyDescent="0.25">
      <c r="A32" s="6" t="s">
        <v>45</v>
      </c>
      <c r="B32" s="6" t="s">
        <v>204</v>
      </c>
      <c r="C32" s="6">
        <v>13762</v>
      </c>
    </row>
    <row r="33" spans="1:3" x14ac:dyDescent="0.25">
      <c r="A33" s="6" t="s">
        <v>46</v>
      </c>
      <c r="B33" s="6" t="s">
        <v>204</v>
      </c>
      <c r="C33" s="6">
        <v>13762</v>
      </c>
    </row>
    <row r="34" spans="1:3" x14ac:dyDescent="0.25">
      <c r="A34" s="6" t="s">
        <v>47</v>
      </c>
      <c r="B34" s="6" t="s">
        <v>204</v>
      </c>
      <c r="C34" s="6">
        <v>13762</v>
      </c>
    </row>
    <row r="35" spans="1:3" x14ac:dyDescent="0.25">
      <c r="A35" s="4" t="s">
        <v>48</v>
      </c>
      <c r="B35" s="4"/>
      <c r="C35" s="4"/>
    </row>
    <row r="36" spans="1:3" x14ac:dyDescent="0.25">
      <c r="A36" s="4" t="s">
        <v>138</v>
      </c>
      <c r="B36" s="4" t="s">
        <v>205</v>
      </c>
      <c r="C36" s="4">
        <v>13773</v>
      </c>
    </row>
    <row r="37" spans="1:3" x14ac:dyDescent="0.25">
      <c r="A37" s="4" t="s">
        <v>49</v>
      </c>
      <c r="B37" s="4" t="s">
        <v>166</v>
      </c>
      <c r="C37" s="4"/>
    </row>
    <row r="38" spans="1:3" x14ac:dyDescent="0.25">
      <c r="A38" s="4" t="s">
        <v>139</v>
      </c>
      <c r="B38" s="4" t="s">
        <v>166</v>
      </c>
      <c r="C38" s="4"/>
    </row>
    <row r="39" spans="1:3" x14ac:dyDescent="0.25">
      <c r="A39" s="4" t="s">
        <v>50</v>
      </c>
      <c r="B39" s="4" t="s">
        <v>166</v>
      </c>
      <c r="C39" s="4"/>
    </row>
    <row r="40" spans="1:3" x14ac:dyDescent="0.25">
      <c r="A40" s="4" t="s">
        <v>51</v>
      </c>
      <c r="B40" s="4" t="s">
        <v>51</v>
      </c>
      <c r="C40" s="4">
        <v>30340</v>
      </c>
    </row>
    <row r="41" spans="1:3" x14ac:dyDescent="0.25">
      <c r="A41" s="4" t="s">
        <v>52</v>
      </c>
      <c r="B41" s="4" t="s">
        <v>206</v>
      </c>
      <c r="C41" s="4">
        <v>13743</v>
      </c>
    </row>
    <row r="42" spans="1:3" x14ac:dyDescent="0.25">
      <c r="A42" s="4" t="s">
        <v>53</v>
      </c>
      <c r="B42" s="4" t="s">
        <v>207</v>
      </c>
      <c r="C42" s="4">
        <v>13727</v>
      </c>
    </row>
    <row r="43" spans="1:3" x14ac:dyDescent="0.25">
      <c r="A43" s="4" t="s">
        <v>54</v>
      </c>
      <c r="B43" s="4" t="s">
        <v>208</v>
      </c>
      <c r="C43" s="4">
        <v>13778</v>
      </c>
    </row>
    <row r="44" spans="1:3" x14ac:dyDescent="0.25">
      <c r="A44" s="4" t="s">
        <v>140</v>
      </c>
      <c r="B44" s="4" t="s">
        <v>166</v>
      </c>
      <c r="C44" s="4"/>
    </row>
    <row r="45" spans="1:3" x14ac:dyDescent="0.25">
      <c r="A45" s="6" t="s">
        <v>55</v>
      </c>
      <c r="B45" s="6" t="s">
        <v>117</v>
      </c>
      <c r="C45" s="6">
        <v>26450</v>
      </c>
    </row>
    <row r="46" spans="1:3" x14ac:dyDescent="0.25">
      <c r="A46" s="4" t="s">
        <v>50</v>
      </c>
      <c r="B46" s="4" t="s">
        <v>166</v>
      </c>
      <c r="C46" s="4"/>
    </row>
    <row r="47" spans="1:3" x14ac:dyDescent="0.25">
      <c r="A47" s="4" t="s">
        <v>51</v>
      </c>
      <c r="B47" s="4" t="s">
        <v>51</v>
      </c>
      <c r="C47" s="5">
        <v>25716</v>
      </c>
    </row>
    <row r="48" spans="1:3" x14ac:dyDescent="0.25">
      <c r="A48" s="6" t="s">
        <v>74</v>
      </c>
      <c r="B48" s="6" t="s">
        <v>210</v>
      </c>
      <c r="C48" s="6">
        <v>13779</v>
      </c>
    </row>
    <row r="49" spans="1:3" x14ac:dyDescent="0.25">
      <c r="A49" s="6" t="s">
        <v>141</v>
      </c>
      <c r="B49" s="6" t="s">
        <v>210</v>
      </c>
      <c r="C49" s="6">
        <v>13779</v>
      </c>
    </row>
    <row r="50" spans="1:3" x14ac:dyDescent="0.25">
      <c r="A50" s="6" t="s">
        <v>142</v>
      </c>
      <c r="B50" s="6" t="s">
        <v>210</v>
      </c>
      <c r="C50" s="6">
        <v>13779</v>
      </c>
    </row>
    <row r="51" spans="1:3" x14ac:dyDescent="0.25">
      <c r="A51" s="4" t="s">
        <v>56</v>
      </c>
      <c r="B51" s="4" t="s">
        <v>211</v>
      </c>
      <c r="C51" s="4">
        <v>20214</v>
      </c>
    </row>
    <row r="52" spans="1:3" x14ac:dyDescent="0.25">
      <c r="A52" s="4" t="s">
        <v>52</v>
      </c>
      <c r="B52" s="4" t="s">
        <v>221</v>
      </c>
      <c r="C52" s="4">
        <v>13767</v>
      </c>
    </row>
    <row r="53" spans="1:3" x14ac:dyDescent="0.25">
      <c r="A53" s="6" t="s">
        <v>57</v>
      </c>
      <c r="B53" s="6" t="s">
        <v>117</v>
      </c>
      <c r="C53" s="6">
        <v>26450</v>
      </c>
    </row>
    <row r="54" spans="1:3" x14ac:dyDescent="0.25">
      <c r="A54" s="4" t="s">
        <v>58</v>
      </c>
      <c r="B54" s="4" t="s">
        <v>212</v>
      </c>
      <c r="C54" s="5">
        <v>20211</v>
      </c>
    </row>
    <row r="55" spans="1:3" x14ac:dyDescent="0.25">
      <c r="A55" s="4" t="s">
        <v>59</v>
      </c>
      <c r="B55" s="4" t="s">
        <v>213</v>
      </c>
      <c r="C55" s="4">
        <v>13775</v>
      </c>
    </row>
    <row r="56" spans="1:3" x14ac:dyDescent="0.25">
      <c r="A56" s="4" t="s">
        <v>143</v>
      </c>
      <c r="B56" s="4"/>
      <c r="C56" s="4"/>
    </row>
    <row r="57" spans="1:3" x14ac:dyDescent="0.25">
      <c r="A57" s="4" t="s">
        <v>144</v>
      </c>
      <c r="B57" s="4" t="s">
        <v>222</v>
      </c>
      <c r="C57" s="4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3"/>
  <sheetViews>
    <sheetView workbookViewId="0">
      <selection activeCell="B1" sqref="B1"/>
    </sheetView>
  </sheetViews>
  <sheetFormatPr defaultRowHeight="15" x14ac:dyDescent="0.25"/>
  <cols>
    <col min="1" max="1" width="50.28515625" customWidth="1"/>
    <col min="2" max="2" width="46.7109375" bestFit="1" customWidth="1"/>
    <col min="3" max="3" width="7.5703125" bestFit="1" customWidth="1"/>
  </cols>
  <sheetData>
    <row r="1" spans="1:3" x14ac:dyDescent="0.25">
      <c r="A1" s="1" t="s">
        <v>163</v>
      </c>
      <c r="B1" s="2" t="s">
        <v>164</v>
      </c>
      <c r="C1" s="3" t="s">
        <v>165</v>
      </c>
    </row>
    <row r="2" spans="1:3" x14ac:dyDescent="0.25">
      <c r="A2" s="4" t="s">
        <v>22</v>
      </c>
      <c r="B2" s="4" t="s">
        <v>166</v>
      </c>
      <c r="C2" s="4"/>
    </row>
    <row r="3" spans="1:3" x14ac:dyDescent="0.25">
      <c r="A3" s="4" t="s">
        <v>133</v>
      </c>
      <c r="B3" s="4" t="s">
        <v>166</v>
      </c>
      <c r="C3" s="4"/>
    </row>
    <row r="4" spans="1:3" x14ac:dyDescent="0.25">
      <c r="A4" s="4" t="s">
        <v>134</v>
      </c>
      <c r="B4" s="4" t="s">
        <v>193</v>
      </c>
      <c r="C4" s="4">
        <v>20222</v>
      </c>
    </row>
    <row r="5" spans="1:3" x14ac:dyDescent="0.25">
      <c r="A5" s="4" t="s">
        <v>23</v>
      </c>
      <c r="B5" s="4" t="s">
        <v>194</v>
      </c>
      <c r="C5" s="4">
        <v>30342</v>
      </c>
    </row>
    <row r="6" spans="1:3" x14ac:dyDescent="0.25">
      <c r="A6" s="4" t="s">
        <v>24</v>
      </c>
      <c r="B6" s="4" t="s">
        <v>224</v>
      </c>
      <c r="C6" s="4">
        <v>13734</v>
      </c>
    </row>
    <row r="7" spans="1:3" x14ac:dyDescent="0.25">
      <c r="A7" s="4" t="s">
        <v>25</v>
      </c>
      <c r="B7" s="4" t="s">
        <v>195</v>
      </c>
      <c r="C7" s="4">
        <v>20221</v>
      </c>
    </row>
    <row r="8" spans="1:3" x14ac:dyDescent="0.25">
      <c r="A8" s="4" t="s">
        <v>26</v>
      </c>
      <c r="B8" s="4" t="s">
        <v>26</v>
      </c>
      <c r="C8" s="4">
        <v>13736</v>
      </c>
    </row>
    <row r="9" spans="1:3" x14ac:dyDescent="0.25">
      <c r="A9" s="4" t="s">
        <v>27</v>
      </c>
      <c r="B9" s="4" t="s">
        <v>166</v>
      </c>
      <c r="C9" s="4"/>
    </row>
    <row r="10" spans="1:3" x14ac:dyDescent="0.25">
      <c r="A10" s="4" t="s">
        <v>28</v>
      </c>
      <c r="B10" s="4" t="s">
        <v>196</v>
      </c>
      <c r="C10" s="4">
        <v>13748</v>
      </c>
    </row>
    <row r="11" spans="1:3" x14ac:dyDescent="0.25">
      <c r="A11" s="4" t="s">
        <v>29</v>
      </c>
      <c r="B11" s="4" t="s">
        <v>197</v>
      </c>
      <c r="C11" s="4">
        <v>20216</v>
      </c>
    </row>
    <row r="12" spans="1:3" x14ac:dyDescent="0.25">
      <c r="A12" s="4" t="s">
        <v>107</v>
      </c>
      <c r="B12" s="4" t="s">
        <v>223</v>
      </c>
      <c r="C12" s="5">
        <v>13726</v>
      </c>
    </row>
    <row r="13" spans="1:3" x14ac:dyDescent="0.25">
      <c r="A13" s="4" t="s">
        <v>108</v>
      </c>
      <c r="B13" s="4" t="s">
        <v>214</v>
      </c>
      <c r="C13" s="5">
        <v>20215</v>
      </c>
    </row>
    <row r="14" spans="1:3" x14ac:dyDescent="0.25">
      <c r="A14" s="4" t="s">
        <v>31</v>
      </c>
      <c r="B14" s="4" t="s">
        <v>215</v>
      </c>
      <c r="C14" s="4">
        <v>13753</v>
      </c>
    </row>
    <row r="15" spans="1:3" x14ac:dyDescent="0.25">
      <c r="A15" s="4" t="s">
        <v>32</v>
      </c>
      <c r="B15" s="4" t="s">
        <v>198</v>
      </c>
      <c r="C15" s="4">
        <v>13777</v>
      </c>
    </row>
    <row r="16" spans="1:3" x14ac:dyDescent="0.25">
      <c r="A16" s="4" t="s">
        <v>135</v>
      </c>
      <c r="B16" s="4" t="s">
        <v>166</v>
      </c>
      <c r="C16" s="4"/>
    </row>
    <row r="17" spans="1:3" x14ac:dyDescent="0.25">
      <c r="A17" s="6" t="s">
        <v>33</v>
      </c>
      <c r="B17" s="6" t="s">
        <v>200</v>
      </c>
      <c r="C17" s="6">
        <v>13750</v>
      </c>
    </row>
    <row r="18" spans="1:3" x14ac:dyDescent="0.25">
      <c r="A18" s="4" t="s">
        <v>27</v>
      </c>
      <c r="B18" s="4" t="s">
        <v>166</v>
      </c>
      <c r="C18" s="4"/>
    </row>
    <row r="19" spans="1:3" x14ac:dyDescent="0.25">
      <c r="A19" s="4" t="s">
        <v>34</v>
      </c>
      <c r="B19" s="4" t="s">
        <v>216</v>
      </c>
      <c r="C19" s="4">
        <v>13780</v>
      </c>
    </row>
    <row r="20" spans="1:3" x14ac:dyDescent="0.25">
      <c r="A20" s="4" t="s">
        <v>35</v>
      </c>
      <c r="B20" s="4" t="s">
        <v>199</v>
      </c>
      <c r="C20" s="4">
        <v>13722</v>
      </c>
    </row>
    <row r="21" spans="1:3" x14ac:dyDescent="0.25">
      <c r="A21" s="4" t="s">
        <v>36</v>
      </c>
      <c r="B21" s="4" t="s">
        <v>217</v>
      </c>
      <c r="C21" s="4">
        <v>29788</v>
      </c>
    </row>
    <row r="22" spans="1:3" x14ac:dyDescent="0.25">
      <c r="A22" s="4" t="s">
        <v>37</v>
      </c>
      <c r="B22" s="4" t="s">
        <v>218</v>
      </c>
      <c r="C22" s="4">
        <v>20230</v>
      </c>
    </row>
    <row r="23" spans="1:3" x14ac:dyDescent="0.25">
      <c r="A23" s="4" t="s">
        <v>29</v>
      </c>
      <c r="B23" s="4" t="s">
        <v>219</v>
      </c>
      <c r="C23" s="4">
        <v>20231</v>
      </c>
    </row>
    <row r="24" spans="1:3" x14ac:dyDescent="0.25">
      <c r="A24" s="6" t="s">
        <v>38</v>
      </c>
      <c r="B24" s="6" t="s">
        <v>200</v>
      </c>
      <c r="C24" s="6">
        <v>13750</v>
      </c>
    </row>
    <row r="25" spans="1:3" x14ac:dyDescent="0.25">
      <c r="A25" s="4" t="s">
        <v>39</v>
      </c>
      <c r="B25" s="4" t="s">
        <v>220</v>
      </c>
      <c r="C25" s="4">
        <v>20208</v>
      </c>
    </row>
    <row r="26" spans="1:3" x14ac:dyDescent="0.25">
      <c r="A26" s="4" t="s">
        <v>40</v>
      </c>
      <c r="B26" s="4" t="s">
        <v>201</v>
      </c>
      <c r="C26" s="4">
        <v>13774</v>
      </c>
    </row>
    <row r="27" spans="1:3" x14ac:dyDescent="0.25">
      <c r="A27" s="4" t="s">
        <v>136</v>
      </c>
      <c r="B27" s="4" t="s">
        <v>202</v>
      </c>
      <c r="C27" s="4">
        <v>13771</v>
      </c>
    </row>
    <row r="28" spans="1:3" x14ac:dyDescent="0.25">
      <c r="A28" s="4" t="s">
        <v>41</v>
      </c>
      <c r="B28" s="4" t="s">
        <v>166</v>
      </c>
      <c r="C28" s="4"/>
    </row>
    <row r="29" spans="1:3" x14ac:dyDescent="0.25">
      <c r="A29" s="4" t="s">
        <v>137</v>
      </c>
      <c r="B29" s="4" t="s">
        <v>166</v>
      </c>
      <c r="C29" s="4"/>
    </row>
    <row r="30" spans="1:3" x14ac:dyDescent="0.25">
      <c r="A30" s="4" t="s">
        <v>42</v>
      </c>
      <c r="B30" s="4" t="s">
        <v>203</v>
      </c>
      <c r="C30" s="4">
        <v>13765</v>
      </c>
    </row>
    <row r="31" spans="1:3" x14ac:dyDescent="0.25">
      <c r="A31" s="4" t="s">
        <v>43</v>
      </c>
      <c r="B31" s="4" t="s">
        <v>166</v>
      </c>
      <c r="C31" s="4"/>
    </row>
    <row r="32" spans="1:3" x14ac:dyDescent="0.25">
      <c r="A32" s="6" t="s">
        <v>44</v>
      </c>
      <c r="B32" s="6" t="s">
        <v>204</v>
      </c>
      <c r="C32" s="6">
        <v>13762</v>
      </c>
    </row>
    <row r="33" spans="1:3" x14ac:dyDescent="0.25">
      <c r="A33" s="6" t="s">
        <v>109</v>
      </c>
      <c r="B33" s="6" t="s">
        <v>204</v>
      </c>
      <c r="C33" s="6">
        <v>13762</v>
      </c>
    </row>
    <row r="34" spans="1:3" x14ac:dyDescent="0.25">
      <c r="A34" s="6" t="s">
        <v>45</v>
      </c>
      <c r="B34" s="6" t="s">
        <v>204</v>
      </c>
      <c r="C34" s="6">
        <v>13762</v>
      </c>
    </row>
    <row r="35" spans="1:3" x14ac:dyDescent="0.25">
      <c r="A35" s="6" t="s">
        <v>46</v>
      </c>
      <c r="B35" s="6" t="s">
        <v>204</v>
      </c>
      <c r="C35" s="6">
        <v>13762</v>
      </c>
    </row>
    <row r="36" spans="1:3" x14ac:dyDescent="0.25">
      <c r="A36" s="6" t="s">
        <v>110</v>
      </c>
      <c r="B36" s="6" t="s">
        <v>204</v>
      </c>
      <c r="C36" s="6">
        <v>13762</v>
      </c>
    </row>
    <row r="37" spans="1:3" x14ac:dyDescent="0.25">
      <c r="A37" s="6" t="s">
        <v>111</v>
      </c>
      <c r="B37" s="6" t="s">
        <v>204</v>
      </c>
      <c r="C37" s="6">
        <v>13762</v>
      </c>
    </row>
    <row r="38" spans="1:3" x14ac:dyDescent="0.25">
      <c r="A38" s="4" t="s">
        <v>48</v>
      </c>
      <c r="B38" s="4"/>
      <c r="C38" s="4"/>
    </row>
    <row r="39" spans="1:3" x14ac:dyDescent="0.25">
      <c r="A39" s="4" t="s">
        <v>138</v>
      </c>
      <c r="B39" s="4" t="s">
        <v>205</v>
      </c>
      <c r="C39" s="4">
        <v>13773</v>
      </c>
    </row>
    <row r="40" spans="1:3" x14ac:dyDescent="0.25">
      <c r="A40" s="4" t="s">
        <v>49</v>
      </c>
      <c r="B40" s="4" t="s">
        <v>166</v>
      </c>
      <c r="C40" s="4"/>
    </row>
    <row r="41" spans="1:3" x14ac:dyDescent="0.25">
      <c r="A41" s="4" t="s">
        <v>139</v>
      </c>
      <c r="B41" s="4" t="s">
        <v>166</v>
      </c>
      <c r="C41" s="4"/>
    </row>
    <row r="42" spans="1:3" x14ac:dyDescent="0.25">
      <c r="A42" s="4" t="s">
        <v>50</v>
      </c>
      <c r="B42" s="4" t="s">
        <v>166</v>
      </c>
      <c r="C42" s="4"/>
    </row>
    <row r="43" spans="1:3" x14ac:dyDescent="0.25">
      <c r="A43" s="4" t="s">
        <v>112</v>
      </c>
      <c r="B43" s="4" t="s">
        <v>112</v>
      </c>
      <c r="C43" s="4">
        <v>20223</v>
      </c>
    </row>
    <row r="44" spans="1:3" x14ac:dyDescent="0.25">
      <c r="A44" s="4" t="s">
        <v>51</v>
      </c>
      <c r="B44" s="4" t="s">
        <v>51</v>
      </c>
      <c r="C44" s="5">
        <v>30340</v>
      </c>
    </row>
    <row r="45" spans="1:3" x14ac:dyDescent="0.25">
      <c r="A45" s="4" t="s">
        <v>56</v>
      </c>
      <c r="B45" s="4" t="s">
        <v>209</v>
      </c>
      <c r="C45" s="5">
        <v>20226</v>
      </c>
    </row>
    <row r="46" spans="1:3" x14ac:dyDescent="0.25">
      <c r="A46" s="4" t="s">
        <v>52</v>
      </c>
      <c r="B46" s="4" t="s">
        <v>206</v>
      </c>
      <c r="C46" s="5">
        <v>13743</v>
      </c>
    </row>
    <row r="47" spans="1:3" x14ac:dyDescent="0.25">
      <c r="A47" s="4" t="s">
        <v>53</v>
      </c>
      <c r="B47" s="4" t="s">
        <v>207</v>
      </c>
      <c r="C47" s="5">
        <v>13727</v>
      </c>
    </row>
    <row r="48" spans="1:3" x14ac:dyDescent="0.25">
      <c r="A48" s="4" t="s">
        <v>54</v>
      </c>
      <c r="B48" s="2" t="s">
        <v>208</v>
      </c>
      <c r="C48" s="7">
        <v>13778</v>
      </c>
    </row>
    <row r="49" spans="1:3" x14ac:dyDescent="0.25">
      <c r="A49" s="4" t="s">
        <v>140</v>
      </c>
      <c r="B49" s="4" t="s">
        <v>166</v>
      </c>
      <c r="C49" s="4"/>
    </row>
    <row r="50" spans="1:3" x14ac:dyDescent="0.25">
      <c r="A50" s="6" t="s">
        <v>55</v>
      </c>
      <c r="B50" s="6" t="s">
        <v>117</v>
      </c>
      <c r="C50" s="6">
        <v>26450</v>
      </c>
    </row>
    <row r="51" spans="1:3" x14ac:dyDescent="0.25">
      <c r="A51" s="4" t="s">
        <v>50</v>
      </c>
      <c r="B51" s="4" t="s">
        <v>166</v>
      </c>
      <c r="C51" s="4"/>
    </row>
    <row r="52" spans="1:3" x14ac:dyDescent="0.25">
      <c r="A52" s="4" t="s">
        <v>112</v>
      </c>
      <c r="B52" s="4" t="s">
        <v>112</v>
      </c>
      <c r="C52" s="5">
        <v>20209</v>
      </c>
    </row>
    <row r="53" spans="1:3" x14ac:dyDescent="0.25">
      <c r="A53" s="4" t="s">
        <v>51</v>
      </c>
      <c r="B53" s="4" t="s">
        <v>51</v>
      </c>
      <c r="C53" s="5">
        <v>25716</v>
      </c>
    </row>
    <row r="54" spans="1:3" x14ac:dyDescent="0.25">
      <c r="A54" s="6" t="s">
        <v>74</v>
      </c>
      <c r="B54" s="6" t="s">
        <v>210</v>
      </c>
      <c r="C54" s="6">
        <v>13779</v>
      </c>
    </row>
    <row r="55" spans="1:3" x14ac:dyDescent="0.25">
      <c r="A55" s="6" t="s">
        <v>156</v>
      </c>
      <c r="B55" s="6" t="s">
        <v>210</v>
      </c>
      <c r="C55" s="6">
        <v>13779</v>
      </c>
    </row>
    <row r="56" spans="1:3" x14ac:dyDescent="0.25">
      <c r="A56" s="6" t="s">
        <v>142</v>
      </c>
      <c r="B56" s="6" t="s">
        <v>210</v>
      </c>
      <c r="C56" s="6">
        <v>13779</v>
      </c>
    </row>
    <row r="57" spans="1:3" x14ac:dyDescent="0.25">
      <c r="A57" s="4" t="s">
        <v>56</v>
      </c>
      <c r="B57" s="4" t="s">
        <v>211</v>
      </c>
      <c r="C57" s="5">
        <v>20214</v>
      </c>
    </row>
    <row r="58" spans="1:3" x14ac:dyDescent="0.25">
      <c r="A58" s="4" t="s">
        <v>52</v>
      </c>
      <c r="B58" s="4" t="s">
        <v>221</v>
      </c>
      <c r="C58" s="5">
        <v>13767</v>
      </c>
    </row>
    <row r="59" spans="1:3" x14ac:dyDescent="0.25">
      <c r="A59" s="6" t="s">
        <v>57</v>
      </c>
      <c r="B59" s="6" t="s">
        <v>117</v>
      </c>
      <c r="C59" s="6">
        <v>26450</v>
      </c>
    </row>
    <row r="60" spans="1:3" x14ac:dyDescent="0.25">
      <c r="A60" s="4" t="s">
        <v>58</v>
      </c>
      <c r="B60" s="4" t="s">
        <v>212</v>
      </c>
      <c r="C60" s="5">
        <v>20211</v>
      </c>
    </row>
    <row r="61" spans="1:3" x14ac:dyDescent="0.25">
      <c r="A61" s="4" t="s">
        <v>59</v>
      </c>
      <c r="B61" s="2" t="s">
        <v>213</v>
      </c>
      <c r="C61" s="7">
        <v>13775</v>
      </c>
    </row>
    <row r="62" spans="1:3" x14ac:dyDescent="0.25">
      <c r="A62" s="4" t="s">
        <v>157</v>
      </c>
      <c r="B62" s="4"/>
      <c r="C62" s="4"/>
    </row>
    <row r="63" spans="1:3" x14ac:dyDescent="0.25">
      <c r="A63" s="4" t="s">
        <v>158</v>
      </c>
      <c r="B63" s="4" t="s">
        <v>222</v>
      </c>
      <c r="C63" s="4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7"/>
  <sheetViews>
    <sheetView workbookViewId="0"/>
  </sheetViews>
  <sheetFormatPr defaultRowHeight="15" x14ac:dyDescent="0.25"/>
  <cols>
    <col min="1" max="2" width="61.7109375" customWidth="1"/>
    <col min="3" max="3" width="7.5703125" bestFit="1" customWidth="1"/>
  </cols>
  <sheetData>
    <row r="1" spans="1:3" x14ac:dyDescent="0.25">
      <c r="A1" s="1" t="s">
        <v>163</v>
      </c>
      <c r="B1" s="2" t="s">
        <v>164</v>
      </c>
      <c r="C1" s="3" t="s">
        <v>165</v>
      </c>
    </row>
    <row r="2" spans="1:3" x14ac:dyDescent="0.25">
      <c r="A2" s="4" t="s">
        <v>145</v>
      </c>
      <c r="B2" s="4" t="s">
        <v>166</v>
      </c>
      <c r="C2" s="4"/>
    </row>
    <row r="3" spans="1:3" x14ac:dyDescent="0.25">
      <c r="A3" s="4" t="s">
        <v>60</v>
      </c>
      <c r="B3" s="4" t="s">
        <v>226</v>
      </c>
      <c r="C3" s="4">
        <v>17539</v>
      </c>
    </row>
    <row r="4" spans="1:3" x14ac:dyDescent="0.25">
      <c r="A4" s="4" t="s">
        <v>61</v>
      </c>
      <c r="B4" s="4" t="s">
        <v>166</v>
      </c>
      <c r="C4" s="4"/>
    </row>
    <row r="5" spans="1:3" x14ac:dyDescent="0.25">
      <c r="A5" s="4" t="s">
        <v>62</v>
      </c>
      <c r="B5" s="4" t="s">
        <v>227</v>
      </c>
      <c r="C5" s="4">
        <v>30399</v>
      </c>
    </row>
    <row r="6" spans="1:3" x14ac:dyDescent="0.25">
      <c r="A6" s="6" t="s">
        <v>63</v>
      </c>
      <c r="B6" s="6" t="s">
        <v>228</v>
      </c>
      <c r="C6" s="6">
        <v>30479</v>
      </c>
    </row>
    <row r="7" spans="1:3" x14ac:dyDescent="0.25">
      <c r="A7" s="4" t="s">
        <v>146</v>
      </c>
      <c r="B7" s="4" t="s">
        <v>225</v>
      </c>
      <c r="C7" s="4">
        <v>30631</v>
      </c>
    </row>
    <row r="8" spans="1:3" x14ac:dyDescent="0.25">
      <c r="A8" s="4" t="s">
        <v>64</v>
      </c>
      <c r="B8" s="4" t="s">
        <v>229</v>
      </c>
      <c r="C8" s="4">
        <v>30520</v>
      </c>
    </row>
    <row r="9" spans="1:3" x14ac:dyDescent="0.25">
      <c r="A9" s="4" t="s">
        <v>147</v>
      </c>
      <c r="B9" s="4" t="s">
        <v>239</v>
      </c>
      <c r="C9" s="5">
        <v>30502</v>
      </c>
    </row>
    <row r="10" spans="1:3" x14ac:dyDescent="0.25">
      <c r="A10" s="4" t="s">
        <v>65</v>
      </c>
      <c r="B10" s="4" t="s">
        <v>230</v>
      </c>
      <c r="C10" s="4">
        <v>30481</v>
      </c>
    </row>
    <row r="11" spans="1:3" x14ac:dyDescent="0.25">
      <c r="A11" s="6" t="s">
        <v>66</v>
      </c>
      <c r="B11" s="6" t="s">
        <v>228</v>
      </c>
      <c r="C11" s="6">
        <v>30479</v>
      </c>
    </row>
    <row r="12" spans="1:3" x14ac:dyDescent="0.25">
      <c r="A12" s="4" t="s">
        <v>67</v>
      </c>
      <c r="B12" s="4" t="s">
        <v>231</v>
      </c>
      <c r="C12" s="4">
        <v>30414</v>
      </c>
    </row>
    <row r="13" spans="1:3" x14ac:dyDescent="0.25">
      <c r="A13" s="4" t="s">
        <v>68</v>
      </c>
      <c r="B13" s="4" t="s">
        <v>240</v>
      </c>
      <c r="C13" s="4">
        <v>30407</v>
      </c>
    </row>
    <row r="14" spans="1:3" x14ac:dyDescent="0.25">
      <c r="A14" s="4" t="s">
        <v>69</v>
      </c>
      <c r="B14" s="4" t="s">
        <v>241</v>
      </c>
      <c r="C14" s="4">
        <v>30575</v>
      </c>
    </row>
    <row r="15" spans="1:3" x14ac:dyDescent="0.25">
      <c r="A15" s="4" t="s">
        <v>70</v>
      </c>
      <c r="B15" s="4" t="s">
        <v>232</v>
      </c>
      <c r="C15" s="4">
        <v>30511</v>
      </c>
    </row>
    <row r="16" spans="1:3" x14ac:dyDescent="0.25">
      <c r="A16" s="4" t="s">
        <v>71</v>
      </c>
      <c r="B16" s="4" t="s">
        <v>166</v>
      </c>
      <c r="C16" s="4"/>
    </row>
    <row r="17" spans="1:3" x14ac:dyDescent="0.25">
      <c r="A17" s="6" t="s">
        <v>72</v>
      </c>
      <c r="B17" s="6" t="s">
        <v>233</v>
      </c>
      <c r="C17" s="6">
        <v>30518</v>
      </c>
    </row>
    <row r="18" spans="1:3" x14ac:dyDescent="0.25">
      <c r="A18" s="4" t="s">
        <v>73</v>
      </c>
      <c r="B18" s="4" t="s">
        <v>234</v>
      </c>
      <c r="C18" s="4">
        <v>30674</v>
      </c>
    </row>
    <row r="19" spans="1:3" x14ac:dyDescent="0.25">
      <c r="A19" s="4" t="s">
        <v>27</v>
      </c>
      <c r="B19" s="4" t="s">
        <v>242</v>
      </c>
      <c r="C19" s="4">
        <v>30452</v>
      </c>
    </row>
    <row r="20" spans="1:3" x14ac:dyDescent="0.25">
      <c r="A20" s="6" t="s">
        <v>38</v>
      </c>
      <c r="B20" s="6" t="s">
        <v>233</v>
      </c>
      <c r="C20" s="6">
        <v>30518</v>
      </c>
    </row>
    <row r="21" spans="1:3" x14ac:dyDescent="0.25">
      <c r="A21" s="6" t="s">
        <v>55</v>
      </c>
      <c r="B21" s="6" t="s">
        <v>237</v>
      </c>
      <c r="C21" s="6">
        <v>30519</v>
      </c>
    </row>
    <row r="22" spans="1:3" x14ac:dyDescent="0.25">
      <c r="A22" s="4" t="s">
        <v>74</v>
      </c>
      <c r="B22" s="4" t="s">
        <v>235</v>
      </c>
      <c r="C22" s="4">
        <v>30675</v>
      </c>
    </row>
    <row r="23" spans="1:3" x14ac:dyDescent="0.25">
      <c r="A23" s="4" t="s">
        <v>56</v>
      </c>
      <c r="B23" s="4" t="s">
        <v>236</v>
      </c>
      <c r="C23" s="4">
        <v>30454</v>
      </c>
    </row>
    <row r="24" spans="1:3" x14ac:dyDescent="0.25">
      <c r="A24" s="6" t="s">
        <v>57</v>
      </c>
      <c r="B24" s="6" t="s">
        <v>237</v>
      </c>
      <c r="C24" s="6">
        <v>30519</v>
      </c>
    </row>
    <row r="25" spans="1:3" x14ac:dyDescent="0.25">
      <c r="A25" s="4" t="s">
        <v>52</v>
      </c>
      <c r="B25" s="4" t="s">
        <v>52</v>
      </c>
      <c r="C25" s="5">
        <v>30627</v>
      </c>
    </row>
    <row r="26" spans="1:3" x14ac:dyDescent="0.25">
      <c r="A26" s="4" t="s">
        <v>75</v>
      </c>
      <c r="B26" s="4" t="s">
        <v>243</v>
      </c>
      <c r="C26" s="4">
        <v>30372</v>
      </c>
    </row>
    <row r="27" spans="1:3" x14ac:dyDescent="0.25">
      <c r="A27" s="4" t="s">
        <v>76</v>
      </c>
      <c r="B27" s="4" t="s">
        <v>238</v>
      </c>
      <c r="C27" s="4">
        <v>30422</v>
      </c>
    </row>
    <row r="28" spans="1:3" x14ac:dyDescent="0.25">
      <c r="A28" s="4" t="s">
        <v>77</v>
      </c>
      <c r="B28" s="4" t="s">
        <v>244</v>
      </c>
      <c r="C28" s="4">
        <v>17538</v>
      </c>
    </row>
    <row r="29" spans="1:3" x14ac:dyDescent="0.25">
      <c r="A29" s="4" t="s">
        <v>148</v>
      </c>
      <c r="B29" s="4" t="s">
        <v>166</v>
      </c>
      <c r="C29" s="4"/>
    </row>
    <row r="30" spans="1:3" x14ac:dyDescent="0.25">
      <c r="A30" s="4" t="s">
        <v>149</v>
      </c>
      <c r="B30" s="4" t="s">
        <v>245</v>
      </c>
      <c r="C30" s="5">
        <v>17556</v>
      </c>
    </row>
    <row r="31" spans="1:3" x14ac:dyDescent="0.25">
      <c r="A31" s="4" t="s">
        <v>150</v>
      </c>
      <c r="B31" s="4" t="s">
        <v>246</v>
      </c>
      <c r="C31" s="5">
        <v>30662</v>
      </c>
    </row>
    <row r="32" spans="1:3" x14ac:dyDescent="0.25">
      <c r="A32" s="6" t="s">
        <v>78</v>
      </c>
      <c r="B32" s="6" t="s">
        <v>247</v>
      </c>
      <c r="C32" s="6">
        <v>30412</v>
      </c>
    </row>
    <row r="33" spans="1:3" x14ac:dyDescent="0.25">
      <c r="A33" s="6" t="s">
        <v>79</v>
      </c>
      <c r="B33" s="6" t="s">
        <v>247</v>
      </c>
      <c r="C33" s="6">
        <v>30412</v>
      </c>
    </row>
    <row r="34" spans="1:3" x14ac:dyDescent="0.25">
      <c r="A34" s="6" t="s">
        <v>80</v>
      </c>
      <c r="B34" s="6" t="s">
        <v>247</v>
      </c>
      <c r="C34" s="6">
        <v>30412</v>
      </c>
    </row>
    <row r="35" spans="1:3" x14ac:dyDescent="0.25">
      <c r="A35" s="4" t="s">
        <v>81</v>
      </c>
      <c r="B35" s="4" t="s">
        <v>248</v>
      </c>
      <c r="C35" s="5">
        <v>17545</v>
      </c>
    </row>
    <row r="36" spans="1:3" x14ac:dyDescent="0.25">
      <c r="A36" s="4" t="s">
        <v>65</v>
      </c>
      <c r="B36" s="4" t="s">
        <v>249</v>
      </c>
      <c r="C36" s="5">
        <v>30485</v>
      </c>
    </row>
    <row r="37" spans="1:3" x14ac:dyDescent="0.25">
      <c r="A37" s="4" t="s">
        <v>82</v>
      </c>
      <c r="B37" s="4" t="s">
        <v>250</v>
      </c>
      <c r="C37" s="4">
        <v>30499</v>
      </c>
    </row>
    <row r="38" spans="1:3" x14ac:dyDescent="0.25">
      <c r="A38" s="4" t="s">
        <v>83</v>
      </c>
      <c r="B38" s="4" t="s">
        <v>251</v>
      </c>
      <c r="C38" s="5">
        <v>30375</v>
      </c>
    </row>
    <row r="39" spans="1:3" x14ac:dyDescent="0.25">
      <c r="A39" s="4" t="s">
        <v>69</v>
      </c>
      <c r="B39" s="4" t="s">
        <v>252</v>
      </c>
      <c r="C39" s="5">
        <v>30488</v>
      </c>
    </row>
    <row r="40" spans="1:3" x14ac:dyDescent="0.25">
      <c r="A40" s="4" t="s">
        <v>84</v>
      </c>
      <c r="B40" s="4" t="s">
        <v>253</v>
      </c>
      <c r="C40" s="5">
        <v>17537</v>
      </c>
    </row>
    <row r="41" spans="1:3" x14ac:dyDescent="0.25">
      <c r="A41" s="4" t="s">
        <v>151</v>
      </c>
      <c r="B41" s="4" t="s">
        <v>166</v>
      </c>
      <c r="C41" s="4"/>
    </row>
    <row r="42" spans="1:3" x14ac:dyDescent="0.25">
      <c r="A42" s="6" t="s">
        <v>66</v>
      </c>
      <c r="B42" s="6" t="s">
        <v>254</v>
      </c>
      <c r="C42" s="6">
        <v>30484</v>
      </c>
    </row>
    <row r="43" spans="1:3" x14ac:dyDescent="0.25">
      <c r="A43" s="6" t="s">
        <v>63</v>
      </c>
      <c r="B43" s="6" t="s">
        <v>254</v>
      </c>
      <c r="C43" s="6">
        <v>30484</v>
      </c>
    </row>
    <row r="44" spans="1:3" x14ac:dyDescent="0.25">
      <c r="A44" s="4" t="s">
        <v>85</v>
      </c>
      <c r="B44" s="4" t="s">
        <v>255</v>
      </c>
      <c r="C44" s="5">
        <v>30467</v>
      </c>
    </row>
    <row r="45" spans="1:3" x14ac:dyDescent="0.25">
      <c r="A45" s="6" t="s">
        <v>86</v>
      </c>
      <c r="B45" s="6" t="s">
        <v>256</v>
      </c>
      <c r="C45" s="6">
        <v>17553</v>
      </c>
    </row>
    <row r="46" spans="1:3" x14ac:dyDescent="0.25">
      <c r="A46" s="6" t="s">
        <v>87</v>
      </c>
      <c r="B46" s="6" t="s">
        <v>256</v>
      </c>
      <c r="C46" s="6">
        <v>17553</v>
      </c>
    </row>
    <row r="47" spans="1:3" x14ac:dyDescent="0.25">
      <c r="A47" s="4" t="s">
        <v>88</v>
      </c>
      <c r="B47" s="4" t="s">
        <v>257</v>
      </c>
      <c r="C47" s="4">
        <v>17536</v>
      </c>
    </row>
    <row r="48" spans="1:3" x14ac:dyDescent="0.25">
      <c r="A48" s="4" t="s">
        <v>152</v>
      </c>
      <c r="B48" s="4" t="s">
        <v>258</v>
      </c>
      <c r="C48" s="4">
        <v>30458</v>
      </c>
    </row>
    <row r="49" spans="1:3" x14ac:dyDescent="0.25">
      <c r="A49" s="4" t="s">
        <v>89</v>
      </c>
      <c r="B49" s="4" t="s">
        <v>259</v>
      </c>
      <c r="C49" s="5">
        <v>17529</v>
      </c>
    </row>
    <row r="50" spans="1:3" x14ac:dyDescent="0.25">
      <c r="A50" s="4" t="s">
        <v>90</v>
      </c>
      <c r="B50" s="4" t="s">
        <v>260</v>
      </c>
      <c r="C50" s="4">
        <v>17519</v>
      </c>
    </row>
    <row r="51" spans="1:3" x14ac:dyDescent="0.25">
      <c r="A51" s="4" t="s">
        <v>91</v>
      </c>
      <c r="B51" s="4" t="s">
        <v>261</v>
      </c>
      <c r="C51" s="4">
        <v>30371</v>
      </c>
    </row>
    <row r="52" spans="1:3" x14ac:dyDescent="0.25">
      <c r="A52" s="4" t="s">
        <v>92</v>
      </c>
      <c r="B52" s="4" t="s">
        <v>166</v>
      </c>
      <c r="C52" s="4"/>
    </row>
    <row r="53" spans="1:3" x14ac:dyDescent="0.25">
      <c r="A53" s="4" t="s">
        <v>93</v>
      </c>
      <c r="B53" s="4" t="s">
        <v>262</v>
      </c>
      <c r="C53" s="4"/>
    </row>
    <row r="54" spans="1:3" x14ac:dyDescent="0.25">
      <c r="A54" s="4" t="s">
        <v>94</v>
      </c>
      <c r="B54" s="4" t="s">
        <v>262</v>
      </c>
      <c r="C54" s="4"/>
    </row>
    <row r="55" spans="1:3" x14ac:dyDescent="0.25">
      <c r="A55" s="4" t="s">
        <v>95</v>
      </c>
      <c r="B55" s="4" t="s">
        <v>262</v>
      </c>
      <c r="C55" s="4"/>
    </row>
    <row r="56" spans="1:3" x14ac:dyDescent="0.25">
      <c r="A56" s="4" t="s">
        <v>96</v>
      </c>
      <c r="B56" s="4" t="s">
        <v>262</v>
      </c>
      <c r="C56" s="4"/>
    </row>
    <row r="57" spans="1:3" x14ac:dyDescent="0.25">
      <c r="A57" s="4" t="s">
        <v>97</v>
      </c>
      <c r="B57" s="4" t="s">
        <v>262</v>
      </c>
      <c r="C57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8"/>
  <sheetViews>
    <sheetView workbookViewId="0">
      <selection activeCell="B1" sqref="B1"/>
    </sheetView>
  </sheetViews>
  <sheetFormatPr defaultRowHeight="15" x14ac:dyDescent="0.25"/>
  <cols>
    <col min="1" max="1" width="56.140625" customWidth="1"/>
    <col min="2" max="2" width="50.140625" bestFit="1" customWidth="1"/>
    <col min="3" max="3" width="7.5703125" bestFit="1" customWidth="1"/>
  </cols>
  <sheetData>
    <row r="1" spans="1:3" x14ac:dyDescent="0.25">
      <c r="A1" s="1" t="s">
        <v>163</v>
      </c>
      <c r="B1" s="2" t="s">
        <v>164</v>
      </c>
      <c r="C1" s="3" t="s">
        <v>165</v>
      </c>
    </row>
    <row r="2" spans="1:3" x14ac:dyDescent="0.25">
      <c r="A2" s="4" t="s">
        <v>145</v>
      </c>
      <c r="B2" s="4" t="str">
        <f>_xlfn.XLOOKUP(A2,CFS_Standalone!A:A,CFS_Standalone!B:B)</f>
        <v>Lable</v>
      </c>
      <c r="C2" s="4"/>
    </row>
    <row r="3" spans="1:3" x14ac:dyDescent="0.25">
      <c r="A3" s="4" t="s">
        <v>60</v>
      </c>
      <c r="B3" s="4" t="str">
        <f>_xlfn.XLOOKUP(A3,CFS_Standalone!A:A,CFS_Standalone!B:B)</f>
        <v>Net Profit Before Tax And Exceptional Item</v>
      </c>
      <c r="C3" s="4">
        <f>_xlfn.XLOOKUP(A3,CFS_Standalone!A:A,CFS_Standalone!C:C)</f>
        <v>17539</v>
      </c>
    </row>
    <row r="4" spans="1:3" x14ac:dyDescent="0.25">
      <c r="A4" s="4" t="s">
        <v>61</v>
      </c>
      <c r="B4" s="4" t="str">
        <f>_xlfn.XLOOKUP(A4,CFS_Standalone!A:A,CFS_Standalone!B:B)</f>
        <v>Lable</v>
      </c>
      <c r="C4" s="4"/>
    </row>
    <row r="5" spans="1:3" x14ac:dyDescent="0.25">
      <c r="A5" s="4" t="s">
        <v>62</v>
      </c>
      <c r="B5" s="4" t="str">
        <f>_xlfn.XLOOKUP(A5,CFS_Standalone!A:A,CFS_Standalone!B:B)</f>
        <v>Depreciation and Amortisation Expense</v>
      </c>
      <c r="C5" s="4">
        <f>_xlfn.XLOOKUP(A5,CFS_Standalone!A:A,CFS_Standalone!C:C)</f>
        <v>30399</v>
      </c>
    </row>
    <row r="6" spans="1:3" x14ac:dyDescent="0.25">
      <c r="A6" s="6" t="s">
        <v>63</v>
      </c>
      <c r="B6" s="6" t="str">
        <f>_xlfn.XLOOKUP(A6,CFS_Standalone!A:A,CFS_Standalone!B:B)</f>
        <v>Interest Expense</v>
      </c>
      <c r="C6" s="6">
        <f>_xlfn.XLOOKUP(A6,CFS_Standalone!A:A,CFS_Standalone!C:C)</f>
        <v>30479</v>
      </c>
    </row>
    <row r="7" spans="1:3" x14ac:dyDescent="0.25">
      <c r="A7" s="4" t="s">
        <v>113</v>
      </c>
      <c r="B7" s="4" t="s">
        <v>225</v>
      </c>
      <c r="C7" s="4">
        <v>30631</v>
      </c>
    </row>
    <row r="8" spans="1:3" x14ac:dyDescent="0.25">
      <c r="A8" s="4" t="s">
        <v>64</v>
      </c>
      <c r="B8" s="4" t="str">
        <f>_xlfn.XLOOKUP(A8,CFS_Standalone!A:A,CFS_Standalone!B:B)</f>
        <v>Other Provisions Written Off</v>
      </c>
      <c r="C8" s="4">
        <f>_xlfn.XLOOKUP(A8,CFS_Standalone!A:A,CFS_Standalone!C:C)</f>
        <v>30520</v>
      </c>
    </row>
    <row r="9" spans="1:3" x14ac:dyDescent="0.25">
      <c r="A9" s="4" t="s">
        <v>268</v>
      </c>
      <c r="B9" s="4" t="s">
        <v>269</v>
      </c>
      <c r="C9" s="5">
        <v>30576</v>
      </c>
    </row>
    <row r="10" spans="1:3" x14ac:dyDescent="0.25">
      <c r="A10" s="4" t="s">
        <v>65</v>
      </c>
      <c r="B10" s="4" t="str">
        <f>_xlfn.XLOOKUP(A10,CFS_Standalone!A:A,CFS_Standalone!B:B)</f>
        <v>Interest Income</v>
      </c>
      <c r="C10" s="4">
        <f>_xlfn.XLOOKUP(A10,CFS_Standalone!A:A,CFS_Standalone!C:C)</f>
        <v>30481</v>
      </c>
    </row>
    <row r="11" spans="1:3" x14ac:dyDescent="0.25">
      <c r="A11" s="6" t="s">
        <v>66</v>
      </c>
      <c r="B11" s="6" t="str">
        <f>_xlfn.XLOOKUP(A11,CFS_Standalone!A:A,CFS_Standalone!B:B)</f>
        <v>Interest Expense</v>
      </c>
      <c r="C11" s="6">
        <f>_xlfn.XLOOKUP(A11,CFS_Standalone!A:A,CFS_Standalone!C:C)</f>
        <v>30479</v>
      </c>
    </row>
    <row r="12" spans="1:3" x14ac:dyDescent="0.25">
      <c r="A12" s="4" t="s">
        <v>114</v>
      </c>
      <c r="B12" s="4" t="s">
        <v>231</v>
      </c>
      <c r="C12" s="4">
        <v>30414</v>
      </c>
    </row>
    <row r="13" spans="1:3" x14ac:dyDescent="0.25">
      <c r="A13" s="4" t="s">
        <v>115</v>
      </c>
      <c r="B13" s="4" t="s">
        <v>263</v>
      </c>
      <c r="C13" s="4">
        <v>17542</v>
      </c>
    </row>
    <row r="14" spans="1:3" x14ac:dyDescent="0.25">
      <c r="A14" s="4" t="s">
        <v>68</v>
      </c>
      <c r="B14" s="4" t="str">
        <f>_xlfn.XLOOKUP(A14,CFS_Standalone!A:A,CFS_Standalone!B:B)</f>
        <v>Employees Stock Options Grants</v>
      </c>
      <c r="C14" s="4">
        <f>_xlfn.XLOOKUP(A14,CFS_Standalone!A:A,CFS_Standalone!C:C)</f>
        <v>30407</v>
      </c>
    </row>
    <row r="15" spans="1:3" x14ac:dyDescent="0.25">
      <c r="A15" s="4" t="s">
        <v>69</v>
      </c>
      <c r="B15" s="4" t="str">
        <f>_xlfn.XLOOKUP(A15,CFS_Standalone!A:A,CFS_Standalone!B:B)</f>
        <v>Profit / Loss from Deployment in Mutual Funds</v>
      </c>
      <c r="C15" s="4">
        <f>_xlfn.XLOOKUP(A15,CFS_Standalone!A:A,CFS_Standalone!C:C)</f>
        <v>30575</v>
      </c>
    </row>
    <row r="16" spans="1:3" x14ac:dyDescent="0.25">
      <c r="A16" s="4" t="s">
        <v>70</v>
      </c>
      <c r="B16" s="4" t="str">
        <f>_xlfn.XLOOKUP(A16,CFS_Standalone!A:A,CFS_Standalone!B:B)</f>
        <v>Operating Profit Before Working Capital Changes</v>
      </c>
      <c r="C16" s="4">
        <f>_xlfn.XLOOKUP(A16,CFS_Standalone!A:A,CFS_Standalone!C:C)</f>
        <v>30511</v>
      </c>
    </row>
    <row r="17" spans="1:3" x14ac:dyDescent="0.25">
      <c r="A17" s="4" t="s">
        <v>71</v>
      </c>
      <c r="B17" s="4" t="str">
        <f>_xlfn.XLOOKUP(A17,CFS_Standalone!A:A,CFS_Standalone!B:B)</f>
        <v>Lable</v>
      </c>
      <c r="C17" s="4"/>
    </row>
    <row r="18" spans="1:3" x14ac:dyDescent="0.25">
      <c r="A18" s="6" t="s">
        <v>72</v>
      </c>
      <c r="B18" s="6" t="str">
        <f>_xlfn.XLOOKUP(A18,CFS_Standalone!A:A,CFS_Standalone!B:B)</f>
        <v>Other Current and Non Current Assets</v>
      </c>
      <c r="C18" s="6">
        <f>_xlfn.XLOOKUP(A18,CFS_Standalone!A:A,CFS_Standalone!C:C)</f>
        <v>30518</v>
      </c>
    </row>
    <row r="19" spans="1:3" x14ac:dyDescent="0.25">
      <c r="A19" s="4" t="s">
        <v>73</v>
      </c>
      <c r="B19" s="4" t="str">
        <f>_xlfn.XLOOKUP(A19,CFS_Standalone!A:A,CFS_Standalone!B:B)</f>
        <v>Trade And Other Receivables</v>
      </c>
      <c r="C19" s="4">
        <f>_xlfn.XLOOKUP(A19,CFS_Standalone!A:A,CFS_Standalone!C:C)</f>
        <v>30674</v>
      </c>
    </row>
    <row r="20" spans="1:3" x14ac:dyDescent="0.25">
      <c r="A20" s="4" t="s">
        <v>27</v>
      </c>
      <c r="B20" s="4" t="str">
        <f>_xlfn.XLOOKUP(A20,CFS_Standalone!A:A,CFS_Standalone!B:B)</f>
        <v>Adjustments for other financial assets, non-current</v>
      </c>
      <c r="C20" s="4">
        <f>_xlfn.XLOOKUP(A20,CFS_Standalone!A:A,CFS_Standalone!C:C)</f>
        <v>30452</v>
      </c>
    </row>
    <row r="21" spans="1:3" x14ac:dyDescent="0.25">
      <c r="A21" s="6" t="s">
        <v>116</v>
      </c>
      <c r="B21" s="6" t="s">
        <v>233</v>
      </c>
      <c r="C21" s="6">
        <v>30518</v>
      </c>
    </row>
    <row r="22" spans="1:3" x14ac:dyDescent="0.25">
      <c r="A22" s="6" t="s">
        <v>55</v>
      </c>
      <c r="B22" s="6" t="str">
        <f>_xlfn.XLOOKUP(A22,CFS_Standalone!A:A,CFS_Standalone!B:B)</f>
        <v>Other Current and Non Current Liabilities</v>
      </c>
      <c r="C22" s="6">
        <f>_xlfn.XLOOKUP(A22,CFS_Standalone!A:A,CFS_Standalone!C:C)</f>
        <v>30519</v>
      </c>
    </row>
    <row r="23" spans="1:3" x14ac:dyDescent="0.25">
      <c r="A23" s="4" t="s">
        <v>74</v>
      </c>
      <c r="B23" s="4" t="str">
        <f>_xlfn.XLOOKUP(A23,CFS_Standalone!A:A,CFS_Standalone!B:B)</f>
        <v>Trade Payables And Others</v>
      </c>
      <c r="C23" s="4">
        <f>_xlfn.XLOOKUP(A23,CFS_Standalone!A:A,CFS_Standalone!C:C)</f>
        <v>30675</v>
      </c>
    </row>
    <row r="24" spans="1:3" x14ac:dyDescent="0.25">
      <c r="A24" s="4" t="s">
        <v>56</v>
      </c>
      <c r="B24" s="4" t="str">
        <f>_xlfn.XLOOKUP(A24,CFS_Standalone!A:A,CFS_Standalone!B:B)</f>
        <v>Adjustments for other financial liabilities, non-current</v>
      </c>
      <c r="C24" s="4">
        <f>_xlfn.XLOOKUP(A24,CFS_Standalone!A:A,CFS_Standalone!C:C)</f>
        <v>30454</v>
      </c>
    </row>
    <row r="25" spans="1:3" x14ac:dyDescent="0.25">
      <c r="A25" s="6" t="s">
        <v>117</v>
      </c>
      <c r="B25" s="6" t="s">
        <v>237</v>
      </c>
      <c r="C25" s="6">
        <v>30519</v>
      </c>
    </row>
    <row r="26" spans="1:3" x14ac:dyDescent="0.25">
      <c r="A26" s="4" t="s">
        <v>52</v>
      </c>
      <c r="B26" s="4" t="str">
        <f>_xlfn.XLOOKUP(A26,CFS_Standalone!A:A,CFS_Standalone!B:B)</f>
        <v>Provisions</v>
      </c>
      <c r="C26" s="4">
        <f>_xlfn.XLOOKUP(A26,CFS_Standalone!A:A,CFS_Standalone!C:C)</f>
        <v>30627</v>
      </c>
    </row>
    <row r="27" spans="1:3" x14ac:dyDescent="0.25">
      <c r="A27" s="8" t="s">
        <v>75</v>
      </c>
      <c r="B27" s="8" t="str">
        <f>_xlfn.XLOOKUP(A27,CFS_Standalone!A:A,CFS_Standalone!B:B)</f>
        <v>Cash Generated From Operations</v>
      </c>
      <c r="C27" s="8">
        <f>_xlfn.XLOOKUP(A27,CFS_Standalone!A:A,CFS_Standalone!C:C)</f>
        <v>30372</v>
      </c>
    </row>
    <row r="28" spans="1:3" x14ac:dyDescent="0.25">
      <c r="A28" s="8" t="s">
        <v>76</v>
      </c>
      <c r="B28" s="8" t="str">
        <f>_xlfn.XLOOKUP(A28,CFS_Standalone!A:A,CFS_Standalone!B:B)</f>
        <v>Income Tax Paid</v>
      </c>
      <c r="C28" s="8">
        <f>_xlfn.XLOOKUP(A28,CFS_Standalone!A:A,CFS_Standalone!C:C)</f>
        <v>30422</v>
      </c>
    </row>
    <row r="29" spans="1:3" x14ac:dyDescent="0.25">
      <c r="A29" s="8" t="s">
        <v>118</v>
      </c>
      <c r="B29" s="9" t="s">
        <v>244</v>
      </c>
      <c r="C29" s="9">
        <v>17538</v>
      </c>
    </row>
    <row r="30" spans="1:3" x14ac:dyDescent="0.25">
      <c r="A30" s="4" t="s">
        <v>148</v>
      </c>
      <c r="B30" s="4" t="s">
        <v>166</v>
      </c>
      <c r="C30" s="4"/>
    </row>
    <row r="31" spans="1:3" x14ac:dyDescent="0.25">
      <c r="A31" s="4" t="s">
        <v>159</v>
      </c>
      <c r="B31" s="4" t="s">
        <v>245</v>
      </c>
      <c r="C31" s="4">
        <v>17556</v>
      </c>
    </row>
    <row r="32" spans="1:3" x14ac:dyDescent="0.25">
      <c r="A32" s="6" t="s">
        <v>160</v>
      </c>
      <c r="B32" s="6" t="s">
        <v>264</v>
      </c>
      <c r="C32" s="6">
        <v>17772</v>
      </c>
    </row>
    <row r="33" spans="1:3" x14ac:dyDescent="0.25">
      <c r="A33" s="6" t="s">
        <v>119</v>
      </c>
      <c r="B33" s="6" t="s">
        <v>264</v>
      </c>
      <c r="C33" s="6">
        <v>17772</v>
      </c>
    </row>
    <row r="34" spans="1:3" x14ac:dyDescent="0.25">
      <c r="A34" s="6" t="s">
        <v>120</v>
      </c>
      <c r="B34" s="6" t="s">
        <v>247</v>
      </c>
      <c r="C34" s="6">
        <v>30412</v>
      </c>
    </row>
    <row r="35" spans="1:3" x14ac:dyDescent="0.25">
      <c r="A35" s="6" t="s">
        <v>79</v>
      </c>
      <c r="B35" s="6" t="s">
        <v>247</v>
      </c>
      <c r="C35" s="6">
        <v>30412</v>
      </c>
    </row>
    <row r="36" spans="1:3" x14ac:dyDescent="0.25">
      <c r="A36" s="4" t="s">
        <v>121</v>
      </c>
      <c r="B36" s="4" t="s">
        <v>265</v>
      </c>
      <c r="C36" s="5">
        <v>17557</v>
      </c>
    </row>
    <row r="37" spans="1:3" x14ac:dyDescent="0.25">
      <c r="A37" s="4" t="s">
        <v>122</v>
      </c>
      <c r="B37" s="4" t="s">
        <v>249</v>
      </c>
      <c r="C37" s="5">
        <v>30485</v>
      </c>
    </row>
    <row r="38" spans="1:3" x14ac:dyDescent="0.25">
      <c r="A38" s="4" t="s">
        <v>69</v>
      </c>
      <c r="B38" s="4" t="s">
        <v>252</v>
      </c>
      <c r="C38" s="5">
        <v>30488</v>
      </c>
    </row>
    <row r="39" spans="1:3" x14ac:dyDescent="0.25">
      <c r="A39" s="4" t="s">
        <v>123</v>
      </c>
      <c r="B39" s="4" t="s">
        <v>253</v>
      </c>
      <c r="C39" s="4">
        <v>17537</v>
      </c>
    </row>
    <row r="40" spans="1:3" x14ac:dyDescent="0.25">
      <c r="A40" s="4" t="s">
        <v>151</v>
      </c>
      <c r="B40" s="4" t="s">
        <v>166</v>
      </c>
      <c r="C40" s="4"/>
    </row>
    <row r="41" spans="1:3" x14ac:dyDescent="0.25">
      <c r="A41" s="8" t="s">
        <v>161</v>
      </c>
      <c r="B41" s="8" t="s">
        <v>254</v>
      </c>
      <c r="C41" s="8">
        <v>30484</v>
      </c>
    </row>
    <row r="42" spans="1:3" x14ac:dyDescent="0.25">
      <c r="A42" s="4" t="s">
        <v>124</v>
      </c>
      <c r="B42" s="4" t="s">
        <v>266</v>
      </c>
      <c r="C42" s="5">
        <v>17554</v>
      </c>
    </row>
    <row r="43" spans="1:3" x14ac:dyDescent="0.25">
      <c r="A43" s="4" t="s">
        <v>125</v>
      </c>
      <c r="B43" s="4" t="s">
        <v>267</v>
      </c>
      <c r="C43" s="5">
        <v>30658</v>
      </c>
    </row>
    <row r="44" spans="1:3" x14ac:dyDescent="0.25">
      <c r="A44" s="6" t="s">
        <v>63</v>
      </c>
      <c r="B44" s="6" t="s">
        <v>255</v>
      </c>
      <c r="C44" s="6">
        <v>30467</v>
      </c>
    </row>
    <row r="45" spans="1:3" x14ac:dyDescent="0.25">
      <c r="A45" s="6" t="s">
        <v>85</v>
      </c>
      <c r="B45" s="6" t="s">
        <v>255</v>
      </c>
      <c r="C45" s="6">
        <v>30467</v>
      </c>
    </row>
    <row r="46" spans="1:3" x14ac:dyDescent="0.25">
      <c r="A46" s="6" t="s">
        <v>86</v>
      </c>
      <c r="B46" s="6" t="s">
        <v>256</v>
      </c>
      <c r="C46" s="6">
        <v>17553</v>
      </c>
    </row>
    <row r="47" spans="1:3" x14ac:dyDescent="0.25">
      <c r="A47" s="6" t="s">
        <v>87</v>
      </c>
      <c r="B47" s="6" t="s">
        <v>256</v>
      </c>
      <c r="C47" s="6">
        <v>17553</v>
      </c>
    </row>
    <row r="48" spans="1:3" x14ac:dyDescent="0.25">
      <c r="A48" s="4" t="s">
        <v>126</v>
      </c>
      <c r="B48" s="4" t="s">
        <v>257</v>
      </c>
      <c r="C48" s="4">
        <v>17536</v>
      </c>
    </row>
    <row r="49" spans="1:3" x14ac:dyDescent="0.25">
      <c r="A49" s="4" t="s">
        <v>152</v>
      </c>
      <c r="B49" s="4" t="s">
        <v>258</v>
      </c>
      <c r="C49" s="4">
        <v>30458</v>
      </c>
    </row>
    <row r="50" spans="1:3" x14ac:dyDescent="0.25">
      <c r="A50" s="4" t="s">
        <v>89</v>
      </c>
      <c r="B50" s="4" t="s">
        <v>259</v>
      </c>
      <c r="C50" s="5">
        <v>17529</v>
      </c>
    </row>
    <row r="51" spans="1:3" x14ac:dyDescent="0.25">
      <c r="A51" s="4" t="s">
        <v>127</v>
      </c>
      <c r="B51" s="4" t="s">
        <v>260</v>
      </c>
      <c r="C51" s="5">
        <v>17519</v>
      </c>
    </row>
    <row r="52" spans="1:3" x14ac:dyDescent="0.25">
      <c r="A52" s="4" t="s">
        <v>162</v>
      </c>
      <c r="B52" s="4" t="s">
        <v>261</v>
      </c>
      <c r="C52" s="4">
        <v>30371</v>
      </c>
    </row>
    <row r="53" spans="1:3" x14ac:dyDescent="0.25">
      <c r="A53" s="4" t="s">
        <v>92</v>
      </c>
      <c r="B53" s="4" t="s">
        <v>262</v>
      </c>
      <c r="C53" s="4"/>
    </row>
    <row r="54" spans="1:3" x14ac:dyDescent="0.25">
      <c r="A54" s="4" t="s">
        <v>93</v>
      </c>
      <c r="B54" s="4" t="s">
        <v>262</v>
      </c>
      <c r="C54" s="4"/>
    </row>
    <row r="55" spans="1:3" x14ac:dyDescent="0.25">
      <c r="A55" s="4" t="s">
        <v>94</v>
      </c>
      <c r="B55" s="4" t="s">
        <v>262</v>
      </c>
      <c r="C55" s="4"/>
    </row>
    <row r="56" spans="1:3" x14ac:dyDescent="0.25">
      <c r="A56" s="4" t="s">
        <v>95</v>
      </c>
      <c r="B56" s="4" t="s">
        <v>262</v>
      </c>
      <c r="C56" s="4"/>
    </row>
    <row r="57" spans="1:3" x14ac:dyDescent="0.25">
      <c r="A57" s="4" t="s">
        <v>96</v>
      </c>
      <c r="B57" s="4" t="s">
        <v>262</v>
      </c>
      <c r="C57" s="4"/>
    </row>
    <row r="58" spans="1:3" x14ac:dyDescent="0.25">
      <c r="A58" s="4" t="s">
        <v>97</v>
      </c>
      <c r="B58" s="4" t="s">
        <v>262</v>
      </c>
      <c r="C5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0062-EE18-4388-8C63-98D1ED3AB420}">
  <dimension ref="A1:C1"/>
  <sheetViews>
    <sheetView workbookViewId="0"/>
  </sheetViews>
  <sheetFormatPr defaultRowHeight="15" x14ac:dyDescent="0.25"/>
  <sheetData>
    <row r="1" spans="1:3" x14ac:dyDescent="0.25">
      <c r="A1" s="1" t="s">
        <v>163</v>
      </c>
      <c r="B1" s="2" t="s">
        <v>164</v>
      </c>
      <c r="C1" s="3" t="s">
        <v>165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1D03-1055-482D-BE50-ABF3DC375E95}">
  <dimension ref="A1:C1"/>
  <sheetViews>
    <sheetView tabSelected="1" workbookViewId="0"/>
  </sheetViews>
  <sheetFormatPr defaultRowHeight="15" x14ac:dyDescent="0.25"/>
  <sheetData>
    <row r="1" spans="1:3" x14ac:dyDescent="0.25">
      <c r="A1" s="1" t="s">
        <v>163</v>
      </c>
      <c r="B1" s="2" t="s">
        <v>164</v>
      </c>
      <c r="C1" s="3" t="s">
        <v>165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2025-12-31T06:20:29Z</dcterms:created>
  <dcterms:modified xsi:type="dcterms:W3CDTF">2026-01-20T10:31:10Z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2026-01-01T06:05:25Z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04c873b5-77c9-4214-9717-4ba21ee70753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