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783341A2-24A0-4A8E-BCAE-C4EF98BD951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&amp;L_Standalone" sheetId="1" r:id="rId1"/>
    <sheet name="P&amp;L_Consolidated" sheetId="9" r:id="rId2"/>
    <sheet name="BS_Standalone" sheetId="2" r:id="rId3"/>
    <sheet name="BS_Consolidated" sheetId="10" r:id="rId4"/>
    <sheet name="CFS_Standalone" sheetId="5" r:id="rId5"/>
    <sheet name="CFS_Consolidated" sheetId="13" r:id="rId6"/>
    <sheet name="SR_Standalone" sheetId="4" r:id="rId7"/>
    <sheet name="SR_Consolidated" sheetId="11" r:id="rId8"/>
  </sheets>
  <definedNames>
    <definedName name="_xlnm._FilterDatabase" localSheetId="3" hidden="1">BS_Consolidated!$A$1:$C$39</definedName>
    <definedName name="_xlnm._FilterDatabase" localSheetId="2" hidden="1">BS_Standalone!$A$1:$C$37</definedName>
    <definedName name="_xlnm._FilterDatabase" localSheetId="5" hidden="1">CFS_Consolidated!$A$1:$C$29</definedName>
    <definedName name="_xlnm._FilterDatabase" localSheetId="4" hidden="1">CFS_Standalone!$A$1:$C$27</definedName>
    <definedName name="_xlnm._FilterDatabase" localSheetId="1" hidden="1">'P&amp;L_Consolidated'!$A$1:$C$37</definedName>
    <definedName name="_xlnm._FilterDatabase" localSheetId="0" hidden="1">'P&amp;L_Standalone'!$A$1:$D$33</definedName>
    <definedName name="_xlnm._FilterDatabase" localSheetId="7" hidden="1">SR_Consolidated!$A$1:$C$16</definedName>
    <definedName name="_xlnm._FilterDatabase" localSheetId="6" hidden="1">SR_Standalone!$A$1:$C$16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1" l="1"/>
  <c r="B4" i="11"/>
  <c r="B5" i="11"/>
  <c r="B6" i="11"/>
  <c r="C6" i="11"/>
  <c r="B7" i="11"/>
  <c r="C7" i="11"/>
  <c r="B8" i="11"/>
  <c r="C8" i="11"/>
  <c r="B9" i="11"/>
  <c r="B11" i="11"/>
  <c r="B12" i="11"/>
  <c r="B15" i="11"/>
  <c r="C15" i="11"/>
  <c r="B16" i="11"/>
  <c r="C16" i="11"/>
  <c r="B2" i="11"/>
  <c r="B3" i="13"/>
  <c r="C3" i="13"/>
  <c r="B4" i="13"/>
  <c r="B5" i="13"/>
  <c r="C5" i="13"/>
  <c r="B9" i="13"/>
  <c r="B10" i="13"/>
  <c r="C10" i="13"/>
  <c r="B11" i="13"/>
  <c r="C11" i="13"/>
  <c r="B12" i="13"/>
  <c r="C12" i="13"/>
  <c r="B14" i="13"/>
  <c r="C14" i="13"/>
  <c r="B15" i="13"/>
  <c r="C15" i="13"/>
  <c r="B16" i="13"/>
  <c r="C16" i="13"/>
  <c r="B17" i="13"/>
  <c r="C17" i="13"/>
  <c r="B18" i="13"/>
  <c r="C18" i="13"/>
  <c r="B19" i="13"/>
  <c r="C19" i="13"/>
  <c r="B20" i="13"/>
  <c r="B24" i="13"/>
  <c r="B26" i="13"/>
  <c r="C26" i="13"/>
  <c r="B27" i="13"/>
  <c r="C27" i="13"/>
  <c r="B28" i="13"/>
  <c r="C28" i="13"/>
  <c r="B29" i="13"/>
  <c r="C29" i="13"/>
  <c r="B2" i="13"/>
  <c r="B3" i="10"/>
  <c r="B4" i="10"/>
  <c r="C4" i="10"/>
  <c r="B5" i="10"/>
  <c r="C5" i="10"/>
  <c r="B7" i="10"/>
  <c r="C7" i="10"/>
  <c r="B8" i="10"/>
  <c r="B9" i="10"/>
  <c r="C9" i="10"/>
  <c r="B10" i="10"/>
  <c r="C10" i="10"/>
  <c r="B11" i="10"/>
  <c r="C11" i="10"/>
  <c r="B12" i="10"/>
  <c r="C12" i="10"/>
  <c r="B13" i="10"/>
  <c r="C13" i="10"/>
  <c r="B14" i="10"/>
  <c r="B16" i="10"/>
  <c r="C16" i="10"/>
  <c r="B17" i="10"/>
  <c r="C17" i="10"/>
  <c r="B18" i="10"/>
  <c r="C18" i="10"/>
  <c r="B20" i="10"/>
  <c r="C20" i="10"/>
  <c r="B21" i="10"/>
  <c r="C21" i="10"/>
  <c r="B22" i="10"/>
  <c r="B23" i="10"/>
  <c r="B24" i="10"/>
  <c r="C24" i="10"/>
  <c r="B25" i="10"/>
  <c r="C25" i="10"/>
  <c r="B27" i="10"/>
  <c r="B28" i="10"/>
  <c r="B29" i="10"/>
  <c r="C29" i="10"/>
  <c r="B30" i="10"/>
  <c r="C30" i="10"/>
  <c r="B32" i="10"/>
  <c r="B34" i="10"/>
  <c r="C34" i="10"/>
  <c r="B35" i="10"/>
  <c r="C35" i="10"/>
  <c r="B2" i="10"/>
</calcChain>
</file>

<file path=xl/sharedStrings.xml><?xml version="1.0" encoding="utf-8"?>
<sst xmlns="http://schemas.openxmlformats.org/spreadsheetml/2006/main" count="418" uniqueCount="206">
  <si>
    <t>Other Income</t>
  </si>
  <si>
    <t>Expenses</t>
  </si>
  <si>
    <t>Employee benefits expense</t>
  </si>
  <si>
    <t>Finance Costs</t>
  </si>
  <si>
    <t>Depreciation and amortisation expense</t>
  </si>
  <si>
    <t>Other expenses</t>
  </si>
  <si>
    <t>Total Expenses</t>
  </si>
  <si>
    <t>Exceptional Items</t>
  </si>
  <si>
    <t>Tax Expenses</t>
  </si>
  <si>
    <t>Current Tax</t>
  </si>
  <si>
    <t>Deferred Tax</t>
  </si>
  <si>
    <t>Profitloss) from discontinuing operations</t>
  </si>
  <si>
    <t>Tax expense of discontinuing operations</t>
  </si>
  <si>
    <t>Other Comperhensive income/(Expense)</t>
  </si>
  <si>
    <t>Paid-up Equity Share Capital</t>
  </si>
  <si>
    <t>Reserve excluding Revaluation Reserves as per balance sheet of previous accounting year</t>
  </si>
  <si>
    <t>Basic EPS (in Rs )</t>
  </si>
  <si>
    <t>Diluted EPS (in Rs.)</t>
  </si>
  <si>
    <t>Basic</t>
  </si>
  <si>
    <t>Diluted</t>
  </si>
  <si>
    <t>ASSETS</t>
  </si>
  <si>
    <t>Non-current assets</t>
  </si>
  <si>
    <t>Intangible Assets</t>
  </si>
  <si>
    <t>Investment Property</t>
  </si>
  <si>
    <t>Financial assets</t>
  </si>
  <si>
    <t>Investments</t>
  </si>
  <si>
    <t>Loans and advances</t>
  </si>
  <si>
    <t>Others</t>
  </si>
  <si>
    <t>Deferred tax assets (Net)</t>
  </si>
  <si>
    <t>Non-Current Tax Assets (Net)</t>
  </si>
  <si>
    <t>Current assets</t>
  </si>
  <si>
    <t>Trade Receivables</t>
  </si>
  <si>
    <t>Cash and cash equivalents</t>
  </si>
  <si>
    <t>Other balances with banks</t>
  </si>
  <si>
    <t>Other Current Assets</t>
  </si>
  <si>
    <t>EQUITY AND LIABILITIES</t>
  </si>
  <si>
    <t>Equity</t>
  </si>
  <si>
    <t>Equity Share Capital</t>
  </si>
  <si>
    <t>Other Equity</t>
  </si>
  <si>
    <t>Non-current liabilities</t>
  </si>
  <si>
    <t>Financial liabilities</t>
  </si>
  <si>
    <t>Other Financial Liabilities</t>
  </si>
  <si>
    <t>Non-Current Provisions</t>
  </si>
  <si>
    <t>Other Current Liabilities</t>
  </si>
  <si>
    <t>TOTAL</t>
  </si>
  <si>
    <t>Segment Revenue</t>
  </si>
  <si>
    <t>Revenue by Geographical Segment</t>
  </si>
  <si>
    <t>India</t>
  </si>
  <si>
    <t>Outside India</t>
  </si>
  <si>
    <t>Total</t>
  </si>
  <si>
    <t>Less: Inter Segment Revenue</t>
  </si>
  <si>
    <t>Net sales/Income From Operations</t>
  </si>
  <si>
    <t>Segment Results</t>
  </si>
  <si>
    <t>Add: Other Income</t>
  </si>
  <si>
    <t>Less: Other Un -allocable Exp.</t>
  </si>
  <si>
    <t>Total Profit Before Tax</t>
  </si>
  <si>
    <t>CASH FLOW FROM OPERATING ACTIVITIES</t>
  </si>
  <si>
    <t>Net Profit Before Tax</t>
  </si>
  <si>
    <t>Depreciation and amortisation</t>
  </si>
  <si>
    <t>Interest income</t>
  </si>
  <si>
    <t>Finance costs</t>
  </si>
  <si>
    <t>(Increase)/Decrease in Trade Receivables</t>
  </si>
  <si>
    <t>(Increase)/Decrease in Loans and Advances</t>
  </si>
  <si>
    <t>Increase/(Decrease) in Trade Payables</t>
  </si>
  <si>
    <t>Increase/(Decrease) in Provisions</t>
  </si>
  <si>
    <t>Increase/(Decrease) in Current Liabilities</t>
  </si>
  <si>
    <t>Cash Generated from Operations</t>
  </si>
  <si>
    <t>Income Tax Paid</t>
  </si>
  <si>
    <t>CASH FLOW FROM INVESTING ACTIVITIES</t>
  </si>
  <si>
    <t>Interest Income</t>
  </si>
  <si>
    <t>CASH FLOW FROM FINANCING ACTIVITIES</t>
  </si>
  <si>
    <t>Cash and cash equivalents at the beginning of the year</t>
  </si>
  <si>
    <t>Revenue from Operations</t>
  </si>
  <si>
    <t>Current</t>
  </si>
  <si>
    <t>Deferred</t>
  </si>
  <si>
    <t>Goodwill</t>
  </si>
  <si>
    <t>Inventories</t>
  </si>
  <si>
    <t>Equity Share capital</t>
  </si>
  <si>
    <t>Non Controlling Interest</t>
  </si>
  <si>
    <t>Add Other Income</t>
  </si>
  <si>
    <t>Associates Loss/(Profit)</t>
  </si>
  <si>
    <t>(Increase)/Decrease in Other Assets</t>
  </si>
  <si>
    <t>(Increase)/Decrease in Inventories</t>
  </si>
  <si>
    <t>NET CASH GENERATED/(USED IN) BY OPERATING ACTIVITIES</t>
  </si>
  <si>
    <t>NET CASH GENERATED/(USED IN) BY INVESTING ACTIVITIES</t>
  </si>
  <si>
    <t>NET CASH GENERATED/(USED IN) BY FINANCING ACTIVITIES</t>
  </si>
  <si>
    <t>CASH AND CASH EQUIVALENTS AT THE END OF THE YEAR</t>
  </si>
  <si>
    <t>Total Revenue</t>
  </si>
  <si>
    <t>Profit (Loss) for the period from continuing operations</t>
  </si>
  <si>
    <t>Profit/(Loss) from Discontinuing operations (after tax)</t>
  </si>
  <si>
    <t>Profit/(Loss) for the period</t>
  </si>
  <si>
    <t>Total Comprehensive Income (Comprising Profit (Loss) and Other Comprehensive Income for the period)</t>
  </si>
  <si>
    <t>Earning Per Share (Rs)* (Not annualised )</t>
  </si>
  <si>
    <t>Face Value ( In Rs. )</t>
  </si>
  <si>
    <t>Profit / (Loss) before exceptional Items and tax</t>
  </si>
  <si>
    <t>Profit / (Loss) before Tax</t>
  </si>
  <si>
    <t>Sub-Contracting &amp; Technical Fee</t>
  </si>
  <si>
    <t>Number of shares used in computing Earnings per Equity Shares (taken face value of Re.1/-)</t>
  </si>
  <si>
    <t>Current liabilities</t>
  </si>
  <si>
    <t xml:space="preserve">Current Provisions </t>
  </si>
  <si>
    <t>Trade payables</t>
  </si>
  <si>
    <t>Total outstanding dues of creditors other than Micro, Small &amp; Medium Enterprise</t>
  </si>
  <si>
    <t>Total outstanding dues of Micro, Small &amp; Medium Enterprise</t>
  </si>
  <si>
    <t>Property, Plant and Equipment</t>
  </si>
  <si>
    <t>(Profit)(+)/Loss(-) before tax, Other Income &amp; unallocable Expense from each segment)</t>
  </si>
  <si>
    <t>Adjustments for</t>
  </si>
  <si>
    <t>Working capital adjustments</t>
  </si>
  <si>
    <t>Purchase of property, plant and equipment</t>
  </si>
  <si>
    <t>NET INCREASE/(DECREASE) IN CASH AND CASH EQUIVALENTS</t>
  </si>
  <si>
    <t>Share of Profit / (Loss) of Associates</t>
  </si>
  <si>
    <t>Profit /(Loss) before Tax</t>
  </si>
  <si>
    <t>Profit/(loss) from discontinuing operations</t>
  </si>
  <si>
    <t>Profit/(loss) from Discontinuing operations (after tax)</t>
  </si>
  <si>
    <t>Profit (Loss) for the period</t>
  </si>
  <si>
    <t>Other Comperhensive Income/(Expense)</t>
  </si>
  <si>
    <t>Basic EPS (in Rs.)</t>
  </si>
  <si>
    <t>Earning Per Share (Rs)* ( Not annualised )</t>
  </si>
  <si>
    <t>Profit Before Share of Profit / (Loss) of Associates, Exceptional Item and Tax</t>
  </si>
  <si>
    <t>Change in Inventories of Stock-in-trade</t>
  </si>
  <si>
    <t>Purchase of Stock-in-trade</t>
  </si>
  <si>
    <t>Profit Before Exceptional Item and Tax</t>
  </si>
  <si>
    <t>Number of shares used in computing earnings per equity shares</t>
  </si>
  <si>
    <t xml:space="preserve">Current liabilities </t>
  </si>
  <si>
    <t>Current Provisions</t>
  </si>
  <si>
    <t>(Profit)(+)/Loss(-) before tax, interest &amp; unallocable Expense from each segment)*</t>
  </si>
  <si>
    <t>Purchase of property, plant and equipments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</si>
  <si>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</si>
  <si>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</si>
  <si>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</si>
  <si>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</si>
  <si>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</si>
  <si>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</si>
  <si>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Employee Benefit Expense</t>
  </si>
  <si>
    <t>Depreciation, Depletion and Amortisation Expense</t>
  </si>
  <si>
    <t>Other Expenses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</si>
  <si>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</si>
  <si>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</si>
  <si>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</si>
  <si>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</si>
  <si>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Profit/(Loss) for the Period from Continuing Operations</t>
  </si>
  <si>
    <t>Tax Expense of Discontinuing Operations</t>
  </si>
  <si>
    <t>Net Profit/(Loss) for the Period</t>
  </si>
  <si>
    <t>Paid-Up Equity Share Capital</t>
  </si>
  <si>
    <t>Basic EPS</t>
  </si>
  <si>
    <t>Diluted EPS</t>
  </si>
  <si>
    <t>Operating Expenses</t>
  </si>
  <si>
    <t>Profit/(Loss) from Discontinuing Operations</t>
  </si>
  <si>
    <t>Net Profit From Discontinuing Operations (After Tax)</t>
  </si>
  <si>
    <t>Other Comprehensive Income</t>
  </si>
  <si>
    <t>Total Comprehensive Gain (Loss) For the Year</t>
  </si>
  <si>
    <t>Face Value</t>
  </si>
  <si>
    <t>Reserve excluding Revaluation Reserves (as per Balance Sheet of Previous Accounting Year)</t>
  </si>
  <si>
    <t>Ignore This Field</t>
  </si>
  <si>
    <t>Lable</t>
  </si>
  <si>
    <t>Purchase of Stock-in-Trade</t>
  </si>
  <si>
    <t>Changes in Inventories of Finished Goods, Work-In-Progress and Stock-In-Trade</t>
  </si>
  <si>
    <t>Profit/(Loss) from ordinary activities after finance costs but before exceptional items</t>
  </si>
  <si>
    <t>Share of Profit/(loss) of associates and Joint Ventures before ebt</t>
  </si>
  <si>
    <t>Other Non-Current Financial Assets</t>
  </si>
  <si>
    <t>Deferred Tax Assets (Net)</t>
  </si>
  <si>
    <t>Income Tax assets (net)</t>
  </si>
  <si>
    <t>Cash And Cash Equivalents</t>
  </si>
  <si>
    <t>Loans, Current</t>
  </si>
  <si>
    <t>Loans Non-Current</t>
  </si>
  <si>
    <t>Other Non Current Financial Liabilities</t>
  </si>
  <si>
    <t>Long-Term Provisions</t>
  </si>
  <si>
    <t>Trade Payables</t>
  </si>
  <si>
    <t>Other Current Financial Liabilities</t>
  </si>
  <si>
    <t>Short-Term Provisions</t>
  </si>
  <si>
    <t>Other liabilities</t>
  </si>
  <si>
    <t>Property, Plant &amp; Equipment</t>
  </si>
  <si>
    <t>Other Intangible Assets</t>
  </si>
  <si>
    <t>Non-Current Investments</t>
  </si>
  <si>
    <t>Bank balance other than cash and cash equivalents</t>
  </si>
  <si>
    <t>Total Equity And Liabilities</t>
  </si>
  <si>
    <t>Share Capital</t>
  </si>
  <si>
    <t>Reserves And Surplus/Other Equity</t>
  </si>
  <si>
    <t>Total Assets</t>
  </si>
  <si>
    <t>Goodwill On Consolidation</t>
  </si>
  <si>
    <t>Minority Interest</t>
  </si>
  <si>
    <t>Total Current Liabilities</t>
  </si>
  <si>
    <t>Interest Expense</t>
  </si>
  <si>
    <t>Net Cash Flow From Operating Activities</t>
  </si>
  <si>
    <t>Interest Received</t>
  </si>
  <si>
    <t>Net Cash Flow From Investing Activities</t>
  </si>
  <si>
    <t>Interest Paid</t>
  </si>
  <si>
    <t>Net Cash Flow From Financing Activities</t>
  </si>
  <si>
    <t>Net increase (decrease) in cash and cash equivalents before effect of exchange rate changes</t>
  </si>
  <si>
    <t>Net Profit Before Tax And Exceptional Item</t>
  </si>
  <si>
    <t>Depreciation and Amortisation Expense</t>
  </si>
  <si>
    <t>Trade And Other Receivables</t>
  </si>
  <si>
    <t>Loans And Advances</t>
  </si>
  <si>
    <t>Other Current and Non Current Assets</t>
  </si>
  <si>
    <t>Trade Payables And Others</t>
  </si>
  <si>
    <t>Provisions</t>
  </si>
  <si>
    <t>Other Current and Non Current Liabilities</t>
  </si>
  <si>
    <t>Cash Generated From Operations</t>
  </si>
  <si>
    <t>Purchase Of Fixed Assets (Tangible / Intangible)</t>
  </si>
  <si>
    <t>Cash and Cash Equivalents at the Beginning of the Year</t>
  </si>
  <si>
    <t>Cash and Cash Equivalents at the End of the Year</t>
  </si>
  <si>
    <t>Others-Before Working Capital Changes</t>
  </si>
  <si>
    <t>As is Product Name</t>
  </si>
  <si>
    <t>Total Segment Revenue</t>
  </si>
  <si>
    <t>Unallocated Income (Expenses)</t>
  </si>
  <si>
    <t>Profit/(Loss) from ordinary activities before tax</t>
  </si>
  <si>
    <t>Bifurcation not Give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</si>
</sst>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Fill="1" applyBorder="1"/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workbookViewId="0">
      <selection activeCell="A3" sqref="A3"/>
    </sheetView>
  </sheetViews>
  <sheetFormatPr defaultRowHeight="15" x14ac:dyDescent="0.25"/>
  <cols>
    <col min="1" max="2" width="58.42578125" customWidth="1"/>
    <col min="3" max="3" width="7.5703125" bestFit="1" customWidth="1"/>
    <col min="4" max="4" width="18.85546875" bestFit="1" customWidth="1"/>
  </cols>
  <sheetData>
    <row r="1" spans="1:3" x14ac:dyDescent="0.25">
      <c r="A1" s="1" t="s">
        <v>126</v>
      </c>
      <c r="B1" s="1" t="s">
        <v>127</v>
      </c>
      <c r="C1" s="1" t="s">
        <v>128</v>
      </c>
    </row>
    <row r="2" spans="1:3" x14ac:dyDescent="0.25">
      <c r="A2" s="2" t="s">
        <v>72</v>
      </c>
      <c r="B2" s="2" t="s">
        <v>129</v>
      </c>
      <c r="C2" s="2">
        <v>256</v>
      </c>
    </row>
    <row r="3" spans="1:3" x14ac:dyDescent="0.25">
      <c r="A3" s="2" t="s">
        <v>0</v>
      </c>
      <c r="B3" s="2" t="s">
        <v>130</v>
      </c>
      <c r="C3" s="2">
        <v>265</v>
      </c>
    </row>
    <row r="4" spans="1:3" x14ac:dyDescent="0.25">
      <c r="A4" s="2" t="s">
        <v>87</v>
      </c>
      <c r="B4" s="2" t="s">
        <v>131</v>
      </c>
      <c r="C4" s="2">
        <v>25238</v>
      </c>
    </row>
    <row r="5" spans="1:3" x14ac:dyDescent="0.25">
      <c r="A5" s="2" t="s">
        <v>1</v>
      </c>
      <c r="B5" s="2" t="s">
        <v>153</v>
      </c>
      <c r="C5" s="2"/>
    </row>
    <row r="6" spans="1:3" x14ac:dyDescent="0.25">
      <c r="A6" s="2" t="s">
        <v>2</v>
      </c>
      <c r="B6" s="2" t="s">
        <v>132</v>
      </c>
      <c r="C6" s="2">
        <v>238</v>
      </c>
    </row>
    <row r="7" spans="1:3" x14ac:dyDescent="0.25">
      <c r="A7" s="2" t="s">
        <v>96</v>
      </c>
      <c r="B7" s="2" t="s">
        <v>145</v>
      </c>
      <c r="C7" s="2">
        <v>276</v>
      </c>
    </row>
    <row r="8" spans="1:3" x14ac:dyDescent="0.25">
      <c r="A8" s="2" t="s">
        <v>3</v>
      </c>
      <c r="B8" s="2" t="s">
        <v>3</v>
      </c>
      <c r="C8" s="2">
        <v>246</v>
      </c>
    </row>
    <row r="9" spans="1:3" x14ac:dyDescent="0.25">
      <c r="A9" s="2" t="s">
        <v>4</v>
      </c>
      <c r="B9" s="2" t="s">
        <v>133</v>
      </c>
      <c r="C9" s="2">
        <v>232</v>
      </c>
    </row>
    <row r="10" spans="1:3" x14ac:dyDescent="0.25">
      <c r="A10" s="2" t="s">
        <v>5</v>
      </c>
      <c r="B10" s="2" t="s">
        <v>134</v>
      </c>
      <c r="C10" s="2">
        <v>279</v>
      </c>
    </row>
    <row r="11" spans="1:3" x14ac:dyDescent="0.25">
      <c r="A11" s="2" t="s">
        <v>6</v>
      </c>
      <c r="B11" s="2" t="s">
        <v>6</v>
      </c>
      <c r="C11" s="2">
        <v>320</v>
      </c>
    </row>
    <row r="12" spans="1:3" x14ac:dyDescent="0.25">
      <c r="A12" s="2" t="s">
        <v>94</v>
      </c>
      <c r="B12" s="2" t="s">
        <v>135</v>
      </c>
      <c r="C12" s="2">
        <v>294</v>
      </c>
    </row>
    <row r="13" spans="1:3" x14ac:dyDescent="0.25">
      <c r="A13" s="2" t="s">
        <v>7</v>
      </c>
      <c r="B13" s="2" t="s">
        <v>136</v>
      </c>
      <c r="C13" s="2">
        <v>278</v>
      </c>
    </row>
    <row r="14" spans="1:3" x14ac:dyDescent="0.25">
      <c r="A14" s="2" t="s">
        <v>95</v>
      </c>
      <c r="B14" s="2" t="s">
        <v>137</v>
      </c>
      <c r="C14" s="2">
        <v>296</v>
      </c>
    </row>
    <row r="15" spans="1:3" x14ac:dyDescent="0.25">
      <c r="A15" s="2" t="s">
        <v>8</v>
      </c>
      <c r="B15" s="2" t="s">
        <v>153</v>
      </c>
      <c r="C15" s="2"/>
    </row>
    <row r="16" spans="1:3" x14ac:dyDescent="0.25">
      <c r="A16" s="2" t="s">
        <v>9</v>
      </c>
      <c r="B16" s="2" t="s">
        <v>138</v>
      </c>
      <c r="C16" s="2">
        <v>318</v>
      </c>
    </row>
    <row r="17" spans="1:4" x14ac:dyDescent="0.25">
      <c r="A17" s="2" t="s">
        <v>10</v>
      </c>
      <c r="B17" s="2" t="s">
        <v>10</v>
      </c>
      <c r="C17" s="2">
        <v>231</v>
      </c>
    </row>
    <row r="18" spans="1:4" x14ac:dyDescent="0.25">
      <c r="A18" s="2" t="s">
        <v>88</v>
      </c>
      <c r="B18" s="2" t="s">
        <v>139</v>
      </c>
      <c r="C18" s="2">
        <v>20017</v>
      </c>
    </row>
    <row r="19" spans="1:4" x14ac:dyDescent="0.25">
      <c r="A19" s="2" t="s">
        <v>11</v>
      </c>
      <c r="B19" s="2" t="s">
        <v>146</v>
      </c>
      <c r="C19" s="3">
        <v>20016</v>
      </c>
    </row>
    <row r="20" spans="1:4" x14ac:dyDescent="0.25">
      <c r="A20" s="2" t="s">
        <v>12</v>
      </c>
      <c r="B20" s="2" t="s">
        <v>140</v>
      </c>
      <c r="C20" s="3">
        <v>20018</v>
      </c>
    </row>
    <row r="21" spans="1:4" x14ac:dyDescent="0.25">
      <c r="A21" s="2" t="s">
        <v>89</v>
      </c>
      <c r="B21" s="1" t="s">
        <v>147</v>
      </c>
      <c r="C21" s="4">
        <v>20015</v>
      </c>
    </row>
    <row r="22" spans="1:4" x14ac:dyDescent="0.25">
      <c r="A22" s="2" t="s">
        <v>90</v>
      </c>
      <c r="B22" s="1" t="s">
        <v>141</v>
      </c>
      <c r="C22" s="4">
        <v>269</v>
      </c>
    </row>
    <row r="23" spans="1:4" x14ac:dyDescent="0.25">
      <c r="A23" s="2" t="s">
        <v>13</v>
      </c>
      <c r="B23" s="2" t="s">
        <v>148</v>
      </c>
      <c r="C23" s="2">
        <v>16484</v>
      </c>
      <c r="D23" t="s">
        <v>205</v>
      </c>
    </row>
    <row r="24" spans="1:4" x14ac:dyDescent="0.25">
      <c r="A24" s="2" t="s">
        <v>91</v>
      </c>
      <c r="B24" s="1" t="s">
        <v>149</v>
      </c>
      <c r="C24" s="4">
        <v>20019</v>
      </c>
    </row>
    <row r="25" spans="1:4" x14ac:dyDescent="0.25">
      <c r="A25" s="2" t="s">
        <v>14</v>
      </c>
      <c r="B25" s="2" t="s">
        <v>142</v>
      </c>
      <c r="C25" s="2">
        <v>282</v>
      </c>
    </row>
    <row r="26" spans="1:4" x14ac:dyDescent="0.25">
      <c r="A26" s="2" t="s">
        <v>93</v>
      </c>
      <c r="B26" s="2" t="s">
        <v>150</v>
      </c>
      <c r="C26" s="3">
        <v>245</v>
      </c>
    </row>
    <row r="27" spans="1:4" x14ac:dyDescent="0.25">
      <c r="A27" s="2" t="s">
        <v>15</v>
      </c>
      <c r="B27" s="2" t="s">
        <v>151</v>
      </c>
      <c r="C27" s="3">
        <v>309</v>
      </c>
    </row>
    <row r="28" spans="1:4" x14ac:dyDescent="0.25">
      <c r="A28" s="2" t="s">
        <v>92</v>
      </c>
      <c r="B28" s="2" t="s">
        <v>153</v>
      </c>
      <c r="C28" s="2"/>
    </row>
    <row r="29" spans="1:4" x14ac:dyDescent="0.25">
      <c r="A29" s="2" t="s">
        <v>16</v>
      </c>
      <c r="B29" s="2" t="s">
        <v>143</v>
      </c>
      <c r="C29" s="3">
        <v>222</v>
      </c>
    </row>
    <row r="30" spans="1:4" x14ac:dyDescent="0.25">
      <c r="A30" s="2" t="s">
        <v>17</v>
      </c>
      <c r="B30" s="2" t="s">
        <v>144</v>
      </c>
      <c r="C30" s="3">
        <v>234</v>
      </c>
    </row>
    <row r="31" spans="1:4" x14ac:dyDescent="0.25">
      <c r="A31" s="2" t="s">
        <v>97</v>
      </c>
      <c r="B31" s="2" t="s">
        <v>153</v>
      </c>
      <c r="C31" s="2"/>
      <c r="D31" t="s">
        <v>152</v>
      </c>
    </row>
    <row r="32" spans="1:4" x14ac:dyDescent="0.25">
      <c r="A32" s="2" t="s">
        <v>18</v>
      </c>
      <c r="B32" s="2" t="s">
        <v>143</v>
      </c>
      <c r="C32" s="3">
        <v>222</v>
      </c>
      <c r="D32" t="s">
        <v>152</v>
      </c>
    </row>
    <row r="33" spans="1:4" x14ac:dyDescent="0.25">
      <c r="A33" s="2" t="s">
        <v>19</v>
      </c>
      <c r="B33" s="2" t="s">
        <v>144</v>
      </c>
      <c r="C33" s="3">
        <v>234</v>
      </c>
      <c r="D33" t="s">
        <v>152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7"/>
  <sheetViews>
    <sheetView tabSelected="1" workbookViewId="0">
      <selection activeCell="B1" sqref="B1"/>
    </sheetView>
  </sheetViews>
  <sheetFormatPr defaultRowHeight="15" x14ac:dyDescent="0.25"/>
  <cols>
    <col min="1" max="2" width="65.5703125" customWidth="1"/>
    <col min="3" max="3" width="7.5703125" bestFit="1" customWidth="1"/>
    <col min="4" max="4" width="18.85546875" bestFit="1" customWidth="1"/>
  </cols>
  <sheetData>
    <row r="1" spans="1:3" x14ac:dyDescent="0.25">
      <c r="A1" s="1" t="s">
        <v>126</v>
      </c>
      <c r="B1" s="1" t="s">
        <v>127</v>
      </c>
      <c r="C1" s="1" t="s">
        <v>128</v>
      </c>
    </row>
    <row r="2" spans="1:3" x14ac:dyDescent="0.25">
      <c r="A2" s="2" t="s">
        <v>72</v>
      </c>
      <c r="B2" s="2" t="s">
        <v>129</v>
      </c>
      <c r="C2" s="2">
        <v>256</v>
      </c>
    </row>
    <row r="3" spans="1:3" x14ac:dyDescent="0.25">
      <c r="A3" s="2" t="s">
        <v>0</v>
      </c>
      <c r="B3" s="2" t="s">
        <v>130</v>
      </c>
      <c r="C3" s="2">
        <v>265</v>
      </c>
    </row>
    <row r="4" spans="1:3" x14ac:dyDescent="0.25">
      <c r="A4" s="2" t="s">
        <v>87</v>
      </c>
      <c r="B4" s="2" t="s">
        <v>131</v>
      </c>
      <c r="C4" s="2">
        <v>25238</v>
      </c>
    </row>
    <row r="5" spans="1:3" x14ac:dyDescent="0.25">
      <c r="A5" s="2" t="s">
        <v>1</v>
      </c>
      <c r="B5" s="2"/>
      <c r="C5" s="2"/>
    </row>
    <row r="6" spans="1:3" x14ac:dyDescent="0.25">
      <c r="A6" s="2" t="s">
        <v>119</v>
      </c>
      <c r="B6" s="2" t="s">
        <v>154</v>
      </c>
      <c r="C6" s="2">
        <v>307</v>
      </c>
    </row>
    <row r="7" spans="1:3" x14ac:dyDescent="0.25">
      <c r="A7" s="2" t="s">
        <v>118</v>
      </c>
      <c r="B7" s="2" t="s">
        <v>155</v>
      </c>
      <c r="C7" s="2">
        <v>227</v>
      </c>
    </row>
    <row r="8" spans="1:3" x14ac:dyDescent="0.25">
      <c r="A8" s="2" t="s">
        <v>2</v>
      </c>
      <c r="B8" s="2" t="s">
        <v>132</v>
      </c>
      <c r="C8" s="2">
        <v>238</v>
      </c>
    </row>
    <row r="9" spans="1:3" x14ac:dyDescent="0.25">
      <c r="A9" s="2" t="s">
        <v>96</v>
      </c>
      <c r="B9" s="2" t="s">
        <v>145</v>
      </c>
      <c r="C9" s="2">
        <v>276</v>
      </c>
    </row>
    <row r="10" spans="1:3" x14ac:dyDescent="0.25">
      <c r="A10" s="2" t="s">
        <v>3</v>
      </c>
      <c r="B10" s="2" t="s">
        <v>3</v>
      </c>
      <c r="C10" s="2">
        <v>246</v>
      </c>
    </row>
    <row r="11" spans="1:3" x14ac:dyDescent="0.25">
      <c r="A11" s="2" t="s">
        <v>4</v>
      </c>
      <c r="B11" s="2" t="s">
        <v>133</v>
      </c>
      <c r="C11" s="2">
        <v>232</v>
      </c>
    </row>
    <row r="12" spans="1:3" x14ac:dyDescent="0.25">
      <c r="A12" s="2" t="s">
        <v>5</v>
      </c>
      <c r="B12" s="2" t="s">
        <v>134</v>
      </c>
      <c r="C12" s="2">
        <v>279</v>
      </c>
    </row>
    <row r="13" spans="1:3" x14ac:dyDescent="0.25">
      <c r="A13" s="2" t="s">
        <v>6</v>
      </c>
      <c r="B13" s="2" t="s">
        <v>6</v>
      </c>
      <c r="C13" s="2">
        <v>320</v>
      </c>
    </row>
    <row r="14" spans="1:3" x14ac:dyDescent="0.25">
      <c r="A14" s="2" t="s">
        <v>117</v>
      </c>
      <c r="B14" s="2" t="s">
        <v>156</v>
      </c>
      <c r="C14" s="2">
        <v>294</v>
      </c>
    </row>
    <row r="15" spans="1:3" x14ac:dyDescent="0.25">
      <c r="A15" s="2" t="s">
        <v>109</v>
      </c>
      <c r="B15" s="2" t="s">
        <v>157</v>
      </c>
      <c r="C15" s="2">
        <v>25236</v>
      </c>
    </row>
    <row r="16" spans="1:3" x14ac:dyDescent="0.25">
      <c r="A16" s="2" t="s">
        <v>120</v>
      </c>
      <c r="B16" s="2" t="s">
        <v>156</v>
      </c>
      <c r="C16" s="2">
        <v>294</v>
      </c>
    </row>
    <row r="17" spans="1:4" x14ac:dyDescent="0.25">
      <c r="A17" s="2" t="s">
        <v>7</v>
      </c>
      <c r="B17" s="2" t="s">
        <v>136</v>
      </c>
      <c r="C17" s="2">
        <v>278</v>
      </c>
    </row>
    <row r="18" spans="1:4" x14ac:dyDescent="0.25">
      <c r="A18" s="2" t="s">
        <v>110</v>
      </c>
      <c r="B18" s="2" t="s">
        <v>137</v>
      </c>
      <c r="C18" s="2">
        <v>296</v>
      </c>
    </row>
    <row r="19" spans="1:4" x14ac:dyDescent="0.25">
      <c r="A19" s="2" t="s">
        <v>8</v>
      </c>
      <c r="B19" s="2"/>
      <c r="C19" s="2"/>
    </row>
    <row r="20" spans="1:4" x14ac:dyDescent="0.25">
      <c r="A20" s="2" t="s">
        <v>73</v>
      </c>
      <c r="B20" s="2" t="s">
        <v>138</v>
      </c>
      <c r="C20" s="2">
        <v>318</v>
      </c>
    </row>
    <row r="21" spans="1:4" x14ac:dyDescent="0.25">
      <c r="A21" s="2" t="s">
        <v>74</v>
      </c>
      <c r="B21" s="2" t="s">
        <v>10</v>
      </c>
      <c r="C21" s="2">
        <v>231</v>
      </c>
    </row>
    <row r="22" spans="1:4" x14ac:dyDescent="0.25">
      <c r="A22" s="2" t="s">
        <v>88</v>
      </c>
      <c r="B22" s="2" t="s">
        <v>139</v>
      </c>
      <c r="C22" s="2">
        <v>20017</v>
      </c>
    </row>
    <row r="23" spans="1:4" x14ac:dyDescent="0.25">
      <c r="A23" s="2" t="s">
        <v>111</v>
      </c>
      <c r="B23" s="2" t="s">
        <v>146</v>
      </c>
      <c r="C23" s="2">
        <v>20016</v>
      </c>
    </row>
    <row r="24" spans="1:4" x14ac:dyDescent="0.25">
      <c r="A24" s="2" t="s">
        <v>12</v>
      </c>
      <c r="B24" s="2" t="s">
        <v>140</v>
      </c>
      <c r="C24" s="2">
        <v>20018</v>
      </c>
    </row>
    <row r="25" spans="1:4" x14ac:dyDescent="0.25">
      <c r="A25" s="2" t="s">
        <v>112</v>
      </c>
      <c r="B25" s="2" t="s">
        <v>147</v>
      </c>
      <c r="C25" s="2">
        <v>20015</v>
      </c>
    </row>
    <row r="26" spans="1:4" x14ac:dyDescent="0.25">
      <c r="A26" s="2" t="s">
        <v>113</v>
      </c>
      <c r="B26" s="2" t="s">
        <v>141</v>
      </c>
      <c r="C26" s="2">
        <v>269</v>
      </c>
    </row>
    <row r="27" spans="1:4" x14ac:dyDescent="0.25">
      <c r="A27" s="2" t="s">
        <v>114</v>
      </c>
      <c r="B27" s="2" t="s">
        <v>148</v>
      </c>
      <c r="C27" s="2">
        <v>16484</v>
      </c>
      <c r="D27" t="s">
        <v>205</v>
      </c>
    </row>
    <row r="28" spans="1:4" x14ac:dyDescent="0.25">
      <c r="A28" s="2" t="s">
        <v>91</v>
      </c>
      <c r="B28" s="2" t="s">
        <v>149</v>
      </c>
      <c r="C28" s="2">
        <v>20019</v>
      </c>
    </row>
    <row r="29" spans="1:4" x14ac:dyDescent="0.25">
      <c r="A29" s="2" t="s">
        <v>14</v>
      </c>
      <c r="B29" s="2" t="s">
        <v>142</v>
      </c>
      <c r="C29" s="2">
        <v>282</v>
      </c>
    </row>
    <row r="30" spans="1:4" x14ac:dyDescent="0.25">
      <c r="A30" s="2" t="s">
        <v>93</v>
      </c>
      <c r="B30" s="2" t="s">
        <v>150</v>
      </c>
      <c r="C30" s="2">
        <v>245</v>
      </c>
    </row>
    <row r="31" spans="1:4" x14ac:dyDescent="0.25">
      <c r="A31" s="2" t="s">
        <v>15</v>
      </c>
      <c r="B31" s="2" t="s">
        <v>151</v>
      </c>
      <c r="C31" s="2">
        <v>309</v>
      </c>
    </row>
    <row r="32" spans="1:4" x14ac:dyDescent="0.25">
      <c r="A32" s="2" t="s">
        <v>116</v>
      </c>
      <c r="B32" s="2"/>
      <c r="C32" s="2"/>
    </row>
    <row r="33" spans="1:4" x14ac:dyDescent="0.25">
      <c r="A33" s="2" t="s">
        <v>115</v>
      </c>
      <c r="B33" s="2" t="s">
        <v>143</v>
      </c>
      <c r="C33" s="2">
        <v>222</v>
      </c>
    </row>
    <row r="34" spans="1:4" x14ac:dyDescent="0.25">
      <c r="A34" s="2" t="s">
        <v>17</v>
      </c>
      <c r="B34" s="2" t="s">
        <v>144</v>
      </c>
      <c r="C34" s="2">
        <v>234</v>
      </c>
    </row>
    <row r="35" spans="1:4" x14ac:dyDescent="0.25">
      <c r="A35" s="2" t="s">
        <v>121</v>
      </c>
      <c r="B35" s="2"/>
      <c r="C35" s="2"/>
      <c r="D35" t="s">
        <v>152</v>
      </c>
    </row>
    <row r="36" spans="1:4" x14ac:dyDescent="0.25">
      <c r="A36" s="2" t="s">
        <v>18</v>
      </c>
      <c r="B36" s="2" t="s">
        <v>143</v>
      </c>
      <c r="C36" s="2">
        <v>222</v>
      </c>
      <c r="D36" t="s">
        <v>152</v>
      </c>
    </row>
    <row r="37" spans="1:4" x14ac:dyDescent="0.25">
      <c r="A37" s="2" t="s">
        <v>19</v>
      </c>
      <c r="B37" s="2" t="s">
        <v>144</v>
      </c>
      <c r="C37" s="2">
        <v>234</v>
      </c>
      <c r="D37" t="s">
        <v>152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topLeftCell="A24" workbookViewId="0">
      <selection activeCell="B24" sqref="B1:C1048576"/>
    </sheetView>
  </sheetViews>
  <sheetFormatPr defaultRowHeight="15" x14ac:dyDescent="0.25"/>
  <cols>
    <col min="1" max="1" width="28.7109375" bestFit="1" customWidth="1"/>
    <col min="2" max="2" width="46.7109375" bestFit="1" customWidth="1"/>
    <col min="3" max="3" width="7.5703125" bestFit="1" customWidth="1"/>
  </cols>
  <sheetData>
    <row r="1" spans="1:3" x14ac:dyDescent="0.25">
      <c r="A1" s="1" t="s">
        <v>126</v>
      </c>
      <c r="B1" s="1" t="s">
        <v>127</v>
      </c>
      <c r="C1" s="1" t="s">
        <v>128</v>
      </c>
    </row>
    <row r="2" spans="1:3" x14ac:dyDescent="0.25">
      <c r="A2" s="2" t="s">
        <v>20</v>
      </c>
      <c r="B2" s="2" t="s">
        <v>153</v>
      </c>
      <c r="C2" s="2"/>
    </row>
    <row r="3" spans="1:3" x14ac:dyDescent="0.25">
      <c r="A3" s="2" t="s">
        <v>21</v>
      </c>
      <c r="B3" s="2" t="s">
        <v>153</v>
      </c>
      <c r="C3" s="2"/>
    </row>
    <row r="4" spans="1:3" x14ac:dyDescent="0.25">
      <c r="A4" s="2" t="s">
        <v>103</v>
      </c>
      <c r="B4" s="2" t="s">
        <v>170</v>
      </c>
      <c r="C4" s="2">
        <v>20222</v>
      </c>
    </row>
    <row r="5" spans="1:3" x14ac:dyDescent="0.25">
      <c r="A5" s="2" t="s">
        <v>22</v>
      </c>
      <c r="B5" s="2" t="s">
        <v>171</v>
      </c>
      <c r="C5" s="2">
        <v>20221</v>
      </c>
    </row>
    <row r="6" spans="1:3" x14ac:dyDescent="0.25">
      <c r="A6" s="2" t="s">
        <v>23</v>
      </c>
      <c r="B6" s="2" t="s">
        <v>23</v>
      </c>
      <c r="C6" s="2">
        <v>25736</v>
      </c>
    </row>
    <row r="7" spans="1:3" x14ac:dyDescent="0.25">
      <c r="A7" s="2" t="s">
        <v>24</v>
      </c>
      <c r="B7" s="2" t="s">
        <v>153</v>
      </c>
      <c r="C7" s="2"/>
    </row>
    <row r="8" spans="1:3" x14ac:dyDescent="0.25">
      <c r="A8" s="2" t="s">
        <v>25</v>
      </c>
      <c r="B8" s="2" t="s">
        <v>172</v>
      </c>
      <c r="C8" s="2">
        <v>13748</v>
      </c>
    </row>
    <row r="9" spans="1:3" x14ac:dyDescent="0.25">
      <c r="A9" s="2" t="s">
        <v>26</v>
      </c>
      <c r="B9" s="2" t="s">
        <v>163</v>
      </c>
      <c r="C9" s="2">
        <v>20217</v>
      </c>
    </row>
    <row r="10" spans="1:3" x14ac:dyDescent="0.25">
      <c r="A10" s="2" t="s">
        <v>27</v>
      </c>
      <c r="B10" s="2" t="s">
        <v>158</v>
      </c>
      <c r="C10" s="2">
        <v>20216</v>
      </c>
    </row>
    <row r="11" spans="1:3" x14ac:dyDescent="0.25">
      <c r="A11" s="2" t="s">
        <v>28</v>
      </c>
      <c r="B11" s="2" t="s">
        <v>159</v>
      </c>
      <c r="C11" s="2">
        <v>13726</v>
      </c>
    </row>
    <row r="12" spans="1:3" x14ac:dyDescent="0.25">
      <c r="A12" s="2" t="s">
        <v>29</v>
      </c>
      <c r="B12" s="2" t="s">
        <v>160</v>
      </c>
      <c r="C12" s="2">
        <v>20215</v>
      </c>
    </row>
    <row r="13" spans="1:3" x14ac:dyDescent="0.25">
      <c r="A13" s="2" t="s">
        <v>30</v>
      </c>
      <c r="B13" s="2" t="s">
        <v>153</v>
      </c>
      <c r="C13" s="2"/>
    </row>
    <row r="14" spans="1:3" x14ac:dyDescent="0.25">
      <c r="A14" s="2" t="s">
        <v>24</v>
      </c>
      <c r="B14" s="2" t="s">
        <v>153</v>
      </c>
      <c r="C14" s="2"/>
    </row>
    <row r="15" spans="1:3" x14ac:dyDescent="0.25">
      <c r="A15" s="2" t="s">
        <v>31</v>
      </c>
      <c r="B15" s="2" t="s">
        <v>31</v>
      </c>
      <c r="C15" s="2">
        <v>13780</v>
      </c>
    </row>
    <row r="16" spans="1:3" x14ac:dyDescent="0.25">
      <c r="A16" s="2" t="s">
        <v>32</v>
      </c>
      <c r="B16" s="2" t="s">
        <v>161</v>
      </c>
      <c r="C16" s="2">
        <v>13722</v>
      </c>
    </row>
    <row r="17" spans="1:3" x14ac:dyDescent="0.25">
      <c r="A17" s="2" t="s">
        <v>33</v>
      </c>
      <c r="B17" s="2" t="s">
        <v>173</v>
      </c>
      <c r="C17" s="2">
        <v>29788</v>
      </c>
    </row>
    <row r="18" spans="1:3" x14ac:dyDescent="0.25">
      <c r="A18" s="2" t="s">
        <v>26</v>
      </c>
      <c r="B18" s="2" t="s">
        <v>162</v>
      </c>
      <c r="C18" s="2">
        <v>20230</v>
      </c>
    </row>
    <row r="19" spans="1:3" x14ac:dyDescent="0.25">
      <c r="A19" s="2" t="s">
        <v>34</v>
      </c>
      <c r="B19" s="2" t="s">
        <v>34</v>
      </c>
      <c r="C19" s="2">
        <v>13750</v>
      </c>
    </row>
    <row r="20" spans="1:3" x14ac:dyDescent="0.25">
      <c r="A20" s="2" t="s">
        <v>44</v>
      </c>
      <c r="B20" s="2" t="s">
        <v>177</v>
      </c>
      <c r="C20" s="2">
        <v>13771</v>
      </c>
    </row>
    <row r="21" spans="1:3" x14ac:dyDescent="0.25">
      <c r="A21" s="2" t="s">
        <v>35</v>
      </c>
      <c r="B21" s="2" t="s">
        <v>153</v>
      </c>
      <c r="C21" s="2"/>
    </row>
    <row r="22" spans="1:3" x14ac:dyDescent="0.25">
      <c r="A22" s="2" t="s">
        <v>36</v>
      </c>
      <c r="B22" s="2" t="s">
        <v>153</v>
      </c>
      <c r="C22" s="2"/>
    </row>
    <row r="23" spans="1:3" x14ac:dyDescent="0.25">
      <c r="A23" s="2" t="s">
        <v>37</v>
      </c>
      <c r="B23" s="2" t="s">
        <v>175</v>
      </c>
      <c r="C23" s="2">
        <v>13765</v>
      </c>
    </row>
    <row r="24" spans="1:3" x14ac:dyDescent="0.25">
      <c r="A24" s="2" t="s">
        <v>38</v>
      </c>
      <c r="B24" s="2" t="s">
        <v>176</v>
      </c>
      <c r="C24" s="2">
        <v>13762</v>
      </c>
    </row>
    <row r="25" spans="1:3" x14ac:dyDescent="0.25">
      <c r="A25" s="2" t="s">
        <v>39</v>
      </c>
      <c r="B25" s="2" t="s">
        <v>153</v>
      </c>
      <c r="C25" s="2"/>
    </row>
    <row r="26" spans="1:3" x14ac:dyDescent="0.25">
      <c r="A26" s="2" t="s">
        <v>40</v>
      </c>
      <c r="B26" s="2" t="s">
        <v>153</v>
      </c>
      <c r="C26" s="2"/>
    </row>
    <row r="27" spans="1:3" x14ac:dyDescent="0.25">
      <c r="A27" s="2" t="s">
        <v>41</v>
      </c>
      <c r="B27" s="2" t="s">
        <v>164</v>
      </c>
      <c r="C27" s="2">
        <v>20226</v>
      </c>
    </row>
    <row r="28" spans="1:3" x14ac:dyDescent="0.25">
      <c r="A28" s="2" t="s">
        <v>42</v>
      </c>
      <c r="B28" s="2" t="s">
        <v>165</v>
      </c>
      <c r="C28" s="2">
        <v>13743</v>
      </c>
    </row>
    <row r="29" spans="1:3" x14ac:dyDescent="0.25">
      <c r="A29" s="2" t="s">
        <v>98</v>
      </c>
      <c r="B29" s="2" t="s">
        <v>153</v>
      </c>
      <c r="C29" s="2"/>
    </row>
    <row r="30" spans="1:3" x14ac:dyDescent="0.25">
      <c r="A30" s="2" t="s">
        <v>40</v>
      </c>
      <c r="B30" s="2" t="s">
        <v>153</v>
      </c>
      <c r="C30" s="2"/>
    </row>
    <row r="31" spans="1:3" x14ac:dyDescent="0.25">
      <c r="A31" s="6" t="s">
        <v>100</v>
      </c>
      <c r="B31" s="6"/>
      <c r="C31" s="6"/>
    </row>
    <row r="32" spans="1:3" x14ac:dyDescent="0.25">
      <c r="A32" s="5" t="s">
        <v>102</v>
      </c>
      <c r="B32" s="5" t="s">
        <v>166</v>
      </c>
      <c r="C32" s="5">
        <v>13779</v>
      </c>
    </row>
    <row r="33" spans="1:3" x14ac:dyDescent="0.25">
      <c r="A33" s="5" t="s">
        <v>101</v>
      </c>
      <c r="B33" s="5" t="s">
        <v>166</v>
      </c>
      <c r="C33" s="5">
        <v>13779</v>
      </c>
    </row>
    <row r="34" spans="1:3" x14ac:dyDescent="0.25">
      <c r="A34" s="2" t="s">
        <v>41</v>
      </c>
      <c r="B34" s="2" t="s">
        <v>167</v>
      </c>
      <c r="C34" s="2">
        <v>20214</v>
      </c>
    </row>
    <row r="35" spans="1:3" x14ac:dyDescent="0.25">
      <c r="A35" s="2" t="s">
        <v>99</v>
      </c>
      <c r="B35" s="2" t="s">
        <v>168</v>
      </c>
      <c r="C35" s="2">
        <v>13767</v>
      </c>
    </row>
    <row r="36" spans="1:3" x14ac:dyDescent="0.25">
      <c r="A36" s="2" t="s">
        <v>43</v>
      </c>
      <c r="B36" s="2" t="s">
        <v>169</v>
      </c>
      <c r="C36" s="2">
        <v>26450</v>
      </c>
    </row>
    <row r="37" spans="1:3" x14ac:dyDescent="0.25">
      <c r="A37" s="2" t="s">
        <v>44</v>
      </c>
      <c r="B37" s="2" t="s">
        <v>174</v>
      </c>
      <c r="C37" s="2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9"/>
  <sheetViews>
    <sheetView workbookViewId="0">
      <selection activeCell="B1" sqref="B1"/>
    </sheetView>
  </sheetViews>
  <sheetFormatPr defaultRowHeight="15" x14ac:dyDescent="0.25"/>
  <cols>
    <col min="1" max="1" width="28.7109375" bestFit="1" customWidth="1"/>
    <col min="2" max="2" width="46.7109375" bestFit="1" customWidth="1"/>
    <col min="3" max="3" width="7.5703125" bestFit="1" customWidth="1"/>
  </cols>
  <sheetData>
    <row r="1" spans="1:3" x14ac:dyDescent="0.25">
      <c r="A1" s="1" t="s">
        <v>126</v>
      </c>
      <c r="B1" s="1" t="s">
        <v>127</v>
      </c>
      <c r="C1" s="1" t="s">
        <v>128</v>
      </c>
    </row>
    <row r="2" spans="1:3" x14ac:dyDescent="0.25">
      <c r="A2" s="2" t="s">
        <v>20</v>
      </c>
      <c r="B2" s="2" t="str">
        <f>_xlfn.XLOOKUP(A2,BS_Standalone!A:A,BS_Standalone!B:B)</f>
        <v>Lable</v>
      </c>
      <c r="C2" s="2"/>
    </row>
    <row r="3" spans="1:3" x14ac:dyDescent="0.25">
      <c r="A3" s="2" t="s">
        <v>21</v>
      </c>
      <c r="B3" s="2" t="str">
        <f>_xlfn.XLOOKUP(A3,BS_Standalone!A:A,BS_Standalone!B:B)</f>
        <v>Lable</v>
      </c>
      <c r="C3" s="2"/>
    </row>
    <row r="4" spans="1:3" x14ac:dyDescent="0.25">
      <c r="A4" s="2" t="s">
        <v>103</v>
      </c>
      <c r="B4" s="2" t="str">
        <f>_xlfn.XLOOKUP(A4,BS_Standalone!A:A,BS_Standalone!B:B)</f>
        <v>Property, Plant &amp; Equipment</v>
      </c>
      <c r="C4" s="2">
        <f>_xlfn.XLOOKUP(A4,BS_Standalone!A:A,BS_Standalone!C:C)</f>
        <v>20222</v>
      </c>
    </row>
    <row r="5" spans="1:3" x14ac:dyDescent="0.25">
      <c r="A5" s="2" t="s">
        <v>22</v>
      </c>
      <c r="B5" s="2" t="str">
        <f>_xlfn.XLOOKUP(A5,BS_Standalone!A:A,BS_Standalone!B:B)</f>
        <v>Other Intangible Assets</v>
      </c>
      <c r="C5" s="2">
        <f>_xlfn.XLOOKUP(A5,BS_Standalone!A:A,BS_Standalone!C:C)</f>
        <v>20221</v>
      </c>
    </row>
    <row r="6" spans="1:3" x14ac:dyDescent="0.25">
      <c r="A6" s="2" t="s">
        <v>75</v>
      </c>
      <c r="B6" s="2" t="s">
        <v>178</v>
      </c>
      <c r="C6" s="2">
        <v>13734</v>
      </c>
    </row>
    <row r="7" spans="1:3" x14ac:dyDescent="0.25">
      <c r="A7" s="2" t="s">
        <v>23</v>
      </c>
      <c r="B7" s="2" t="str">
        <f>_xlfn.XLOOKUP(A7,BS_Standalone!A:A,BS_Standalone!B:B)</f>
        <v>Investment Property</v>
      </c>
      <c r="C7" s="2">
        <f>_xlfn.XLOOKUP(A7,BS_Standalone!A:A,BS_Standalone!C:C)</f>
        <v>25736</v>
      </c>
    </row>
    <row r="8" spans="1:3" x14ac:dyDescent="0.25">
      <c r="A8" s="2" t="s">
        <v>24</v>
      </c>
      <c r="B8" s="2" t="str">
        <f>_xlfn.XLOOKUP(A8,BS_Standalone!A:A,BS_Standalone!B:B)</f>
        <v>Lable</v>
      </c>
      <c r="C8" s="2"/>
    </row>
    <row r="9" spans="1:3" x14ac:dyDescent="0.25">
      <c r="A9" s="2" t="s">
        <v>25</v>
      </c>
      <c r="B9" s="2" t="str">
        <f>_xlfn.XLOOKUP(A9,BS_Standalone!A:A,BS_Standalone!B:B)</f>
        <v>Non-Current Investments</v>
      </c>
      <c r="C9" s="2">
        <f>_xlfn.XLOOKUP(A9,BS_Standalone!A:A,BS_Standalone!C:C)</f>
        <v>13748</v>
      </c>
    </row>
    <row r="10" spans="1:3" x14ac:dyDescent="0.25">
      <c r="A10" s="2" t="s">
        <v>26</v>
      </c>
      <c r="B10" s="2" t="str">
        <f>_xlfn.XLOOKUP(A10,BS_Standalone!A:A,BS_Standalone!B:B)</f>
        <v>Loans Non-Current</v>
      </c>
      <c r="C10" s="2">
        <f>_xlfn.XLOOKUP(A10,BS_Standalone!A:A,BS_Standalone!C:C)</f>
        <v>20217</v>
      </c>
    </row>
    <row r="11" spans="1:3" x14ac:dyDescent="0.25">
      <c r="A11" s="2" t="s">
        <v>27</v>
      </c>
      <c r="B11" s="2" t="str">
        <f>_xlfn.XLOOKUP(A11,BS_Standalone!A:A,BS_Standalone!B:B)</f>
        <v>Other Non-Current Financial Assets</v>
      </c>
      <c r="C11" s="2">
        <f>_xlfn.XLOOKUP(A11,BS_Standalone!A:A,BS_Standalone!C:C)</f>
        <v>20216</v>
      </c>
    </row>
    <row r="12" spans="1:3" x14ac:dyDescent="0.25">
      <c r="A12" s="2" t="s">
        <v>28</v>
      </c>
      <c r="B12" s="2" t="str">
        <f>_xlfn.XLOOKUP(A12,BS_Standalone!A:A,BS_Standalone!B:B)</f>
        <v>Deferred Tax Assets (Net)</v>
      </c>
      <c r="C12" s="2">
        <f>_xlfn.XLOOKUP(A12,BS_Standalone!A:A,BS_Standalone!C:C)</f>
        <v>13726</v>
      </c>
    </row>
    <row r="13" spans="1:3" x14ac:dyDescent="0.25">
      <c r="A13" s="2" t="s">
        <v>29</v>
      </c>
      <c r="B13" s="2" t="str">
        <f>_xlfn.XLOOKUP(A13,BS_Standalone!A:A,BS_Standalone!B:B)</f>
        <v>Income Tax assets (net)</v>
      </c>
      <c r="C13" s="2">
        <f>_xlfn.XLOOKUP(A13,BS_Standalone!A:A,BS_Standalone!C:C)</f>
        <v>20215</v>
      </c>
    </row>
    <row r="14" spans="1:3" x14ac:dyDescent="0.25">
      <c r="A14" s="2" t="s">
        <v>30</v>
      </c>
      <c r="B14" s="2" t="str">
        <f>_xlfn.XLOOKUP(A14,BS_Standalone!A:A,BS_Standalone!B:B)</f>
        <v>Lable</v>
      </c>
      <c r="C14" s="2"/>
    </row>
    <row r="15" spans="1:3" x14ac:dyDescent="0.25">
      <c r="A15" s="2" t="s">
        <v>76</v>
      </c>
      <c r="B15" s="2" t="s">
        <v>76</v>
      </c>
      <c r="C15" s="2">
        <v>13737</v>
      </c>
    </row>
    <row r="16" spans="1:3" x14ac:dyDescent="0.25">
      <c r="A16" s="2" t="s">
        <v>31</v>
      </c>
      <c r="B16" s="2" t="str">
        <f>_xlfn.XLOOKUP(A16,BS_Standalone!A:A,BS_Standalone!B:B)</f>
        <v>Trade Receivables</v>
      </c>
      <c r="C16" s="2">
        <f>_xlfn.XLOOKUP(A16,BS_Standalone!A:A,BS_Standalone!C:C)</f>
        <v>13780</v>
      </c>
    </row>
    <row r="17" spans="1:3" x14ac:dyDescent="0.25">
      <c r="A17" s="2" t="s">
        <v>32</v>
      </c>
      <c r="B17" s="2" t="str">
        <f>_xlfn.XLOOKUP(A17,BS_Standalone!A:A,BS_Standalone!B:B)</f>
        <v>Cash And Cash Equivalents</v>
      </c>
      <c r="C17" s="2">
        <f>_xlfn.XLOOKUP(A17,BS_Standalone!A:A,BS_Standalone!C:C)</f>
        <v>13722</v>
      </c>
    </row>
    <row r="18" spans="1:3" x14ac:dyDescent="0.25">
      <c r="A18" s="2" t="s">
        <v>33</v>
      </c>
      <c r="B18" s="2" t="str">
        <f>_xlfn.XLOOKUP(A18,BS_Standalone!A:A,BS_Standalone!B:B)</f>
        <v>Bank balance other than cash and cash equivalents</v>
      </c>
      <c r="C18" s="2">
        <f>_xlfn.XLOOKUP(A18,BS_Standalone!A:A,BS_Standalone!C:C)</f>
        <v>29788</v>
      </c>
    </row>
    <row r="19" spans="1:3" x14ac:dyDescent="0.25">
      <c r="A19" s="2" t="s">
        <v>26</v>
      </c>
      <c r="B19" s="2" t="s">
        <v>162</v>
      </c>
      <c r="C19" s="2">
        <v>20230</v>
      </c>
    </row>
    <row r="20" spans="1:3" x14ac:dyDescent="0.25">
      <c r="A20" s="2" t="s">
        <v>34</v>
      </c>
      <c r="B20" s="2" t="str">
        <f>_xlfn.XLOOKUP(A20,BS_Standalone!A:A,BS_Standalone!B:B)</f>
        <v>Other Current Assets</v>
      </c>
      <c r="C20" s="2">
        <f>_xlfn.XLOOKUP(A20,BS_Standalone!A:A,BS_Standalone!C:C)</f>
        <v>13750</v>
      </c>
    </row>
    <row r="21" spans="1:3" x14ac:dyDescent="0.25">
      <c r="A21" s="2" t="s">
        <v>44</v>
      </c>
      <c r="B21" s="2" t="str">
        <f>_xlfn.XLOOKUP(A21,BS_Standalone!A:A,BS_Standalone!B:B)</f>
        <v>Total Assets</v>
      </c>
      <c r="C21" s="2">
        <f>_xlfn.XLOOKUP(A21,BS_Standalone!A:A,BS_Standalone!C:C)</f>
        <v>13771</v>
      </c>
    </row>
    <row r="22" spans="1:3" x14ac:dyDescent="0.25">
      <c r="A22" s="2" t="s">
        <v>35</v>
      </c>
      <c r="B22" s="2" t="str">
        <f>_xlfn.XLOOKUP(A22,BS_Standalone!A:A,BS_Standalone!B:B)</f>
        <v>Lable</v>
      </c>
      <c r="C22" s="2"/>
    </row>
    <row r="23" spans="1:3" x14ac:dyDescent="0.25">
      <c r="A23" s="2" t="s">
        <v>36</v>
      </c>
      <c r="B23" s="2" t="str">
        <f>_xlfn.XLOOKUP(A23,BS_Standalone!A:A,BS_Standalone!B:B)</f>
        <v>Lable</v>
      </c>
      <c r="C23" s="2"/>
    </row>
    <row r="24" spans="1:3" x14ac:dyDescent="0.25">
      <c r="A24" s="2" t="s">
        <v>77</v>
      </c>
      <c r="B24" s="2" t="str">
        <f>_xlfn.XLOOKUP(A24,BS_Standalone!A:A,BS_Standalone!B:B)</f>
        <v>Share Capital</v>
      </c>
      <c r="C24" s="2">
        <f>_xlfn.XLOOKUP(A24,BS_Standalone!A:A,BS_Standalone!C:C)</f>
        <v>13765</v>
      </c>
    </row>
    <row r="25" spans="1:3" x14ac:dyDescent="0.25">
      <c r="A25" s="2" t="s">
        <v>38</v>
      </c>
      <c r="B25" s="2" t="str">
        <f>_xlfn.XLOOKUP(A25,BS_Standalone!A:A,BS_Standalone!B:B)</f>
        <v>Reserves And Surplus/Other Equity</v>
      </c>
      <c r="C25" s="2">
        <f>_xlfn.XLOOKUP(A25,BS_Standalone!A:A,BS_Standalone!C:C)</f>
        <v>13762</v>
      </c>
    </row>
    <row r="26" spans="1:3" x14ac:dyDescent="0.25">
      <c r="A26" s="2" t="s">
        <v>78</v>
      </c>
      <c r="B26" s="2" t="s">
        <v>179</v>
      </c>
      <c r="C26" s="2">
        <v>13744</v>
      </c>
    </row>
    <row r="27" spans="1:3" x14ac:dyDescent="0.25">
      <c r="A27" s="2" t="s">
        <v>39</v>
      </c>
      <c r="B27" s="2" t="str">
        <f>_xlfn.XLOOKUP(A27,BS_Standalone!A:A,BS_Standalone!B:B)</f>
        <v>Lable</v>
      </c>
      <c r="C27" s="2"/>
    </row>
    <row r="28" spans="1:3" x14ac:dyDescent="0.25">
      <c r="A28" s="2" t="s">
        <v>40</v>
      </c>
      <c r="B28" s="2" t="str">
        <f>_xlfn.XLOOKUP(A28,BS_Standalone!A:A,BS_Standalone!B:B)</f>
        <v>Lable</v>
      </c>
      <c r="C28" s="2"/>
    </row>
    <row r="29" spans="1:3" x14ac:dyDescent="0.25">
      <c r="A29" s="2" t="s">
        <v>41</v>
      </c>
      <c r="B29" s="2" t="str">
        <f>_xlfn.XLOOKUP(A29,BS_Standalone!A:A,BS_Standalone!B:B)</f>
        <v>Other Non Current Financial Liabilities</v>
      </c>
      <c r="C29" s="2">
        <f>_xlfn.XLOOKUP(A29,BS_Standalone!A:A,BS_Standalone!C:C)</f>
        <v>20226</v>
      </c>
    </row>
    <row r="30" spans="1:3" x14ac:dyDescent="0.25">
      <c r="A30" s="2" t="s">
        <v>42</v>
      </c>
      <c r="B30" s="2" t="str">
        <f>_xlfn.XLOOKUP(A30,BS_Standalone!A:A,BS_Standalone!B:B)</f>
        <v>Long-Term Provisions</v>
      </c>
      <c r="C30" s="2">
        <f>_xlfn.XLOOKUP(A30,BS_Standalone!A:A,BS_Standalone!C:C)</f>
        <v>13743</v>
      </c>
    </row>
    <row r="31" spans="1:3" x14ac:dyDescent="0.25">
      <c r="A31" s="2" t="s">
        <v>122</v>
      </c>
      <c r="B31" s="2" t="s">
        <v>153</v>
      </c>
      <c r="C31" s="2"/>
    </row>
    <row r="32" spans="1:3" x14ac:dyDescent="0.25">
      <c r="A32" s="2" t="s">
        <v>40</v>
      </c>
      <c r="B32" s="2" t="str">
        <f>_xlfn.XLOOKUP(A32,BS_Standalone!A:A,BS_Standalone!B:B)</f>
        <v>Lable</v>
      </c>
      <c r="C32" s="2"/>
    </row>
    <row r="33" spans="1:3" x14ac:dyDescent="0.25">
      <c r="A33" s="2" t="s">
        <v>100</v>
      </c>
      <c r="B33" s="2"/>
      <c r="C33" s="2"/>
    </row>
    <row r="34" spans="1:3" x14ac:dyDescent="0.25">
      <c r="A34" s="5" t="s">
        <v>102</v>
      </c>
      <c r="B34" s="5" t="str">
        <f>_xlfn.XLOOKUP(A34,BS_Standalone!A:A,BS_Standalone!B:B)</f>
        <v>Trade Payables</v>
      </c>
      <c r="C34" s="5">
        <f>_xlfn.XLOOKUP(A34,BS_Standalone!A:A,BS_Standalone!C:C)</f>
        <v>13779</v>
      </c>
    </row>
    <row r="35" spans="1:3" x14ac:dyDescent="0.25">
      <c r="A35" s="5" t="s">
        <v>101</v>
      </c>
      <c r="B35" s="5" t="str">
        <f>_xlfn.XLOOKUP(A35,BS_Standalone!A:A,BS_Standalone!B:B)</f>
        <v>Trade Payables</v>
      </c>
      <c r="C35" s="5">
        <f>_xlfn.XLOOKUP(A35,BS_Standalone!A:A,BS_Standalone!C:C)</f>
        <v>13779</v>
      </c>
    </row>
    <row r="36" spans="1:3" x14ac:dyDescent="0.25">
      <c r="A36" s="2" t="s">
        <v>41</v>
      </c>
      <c r="B36" s="2" t="s">
        <v>167</v>
      </c>
      <c r="C36" s="2">
        <v>20214</v>
      </c>
    </row>
    <row r="37" spans="1:3" x14ac:dyDescent="0.25">
      <c r="A37" s="2" t="s">
        <v>123</v>
      </c>
      <c r="B37" s="2" t="s">
        <v>168</v>
      </c>
      <c r="C37" s="2">
        <v>13767</v>
      </c>
    </row>
    <row r="38" spans="1:3" x14ac:dyDescent="0.25">
      <c r="A38" s="2" t="s">
        <v>43</v>
      </c>
      <c r="B38" s="2" t="s">
        <v>180</v>
      </c>
      <c r="C38" s="2">
        <v>13775</v>
      </c>
    </row>
    <row r="39" spans="1:3" x14ac:dyDescent="0.25">
      <c r="A39" s="2" t="s">
        <v>44</v>
      </c>
      <c r="B39" s="2" t="s">
        <v>174</v>
      </c>
      <c r="C39" s="2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9"/>
  <sheetViews>
    <sheetView workbookViewId="0">
      <selection activeCell="B1" sqref="B1:C1048576"/>
    </sheetView>
  </sheetViews>
  <sheetFormatPr defaultRowHeight="15" x14ac:dyDescent="0.25"/>
  <cols>
    <col min="1" max="1" width="55.85546875" bestFit="1" customWidth="1"/>
    <col min="2" max="2" width="50.42578125" bestFit="1" customWidth="1"/>
    <col min="3" max="3" width="7.5703125" bestFit="1" customWidth="1"/>
  </cols>
  <sheetData>
    <row r="1" spans="1:3" x14ac:dyDescent="0.25">
      <c r="A1" s="1" t="s">
        <v>126</v>
      </c>
      <c r="B1" s="1" t="s">
        <v>127</v>
      </c>
      <c r="C1" s="1" t="s">
        <v>128</v>
      </c>
    </row>
    <row r="2" spans="1:3" x14ac:dyDescent="0.25">
      <c r="A2" s="2" t="s">
        <v>56</v>
      </c>
      <c r="B2" s="2" t="s">
        <v>153</v>
      </c>
      <c r="C2" s="2"/>
    </row>
    <row r="3" spans="1:3" x14ac:dyDescent="0.25">
      <c r="A3" s="2" t="s">
        <v>57</v>
      </c>
      <c r="B3" s="2" t="s">
        <v>188</v>
      </c>
      <c r="C3" s="2">
        <v>17539</v>
      </c>
    </row>
    <row r="4" spans="1:3" x14ac:dyDescent="0.25">
      <c r="A4" s="2" t="s">
        <v>105</v>
      </c>
      <c r="B4" s="2" t="s">
        <v>153</v>
      </c>
      <c r="C4" s="2"/>
    </row>
    <row r="5" spans="1:3" x14ac:dyDescent="0.25">
      <c r="A5" s="2" t="s">
        <v>58</v>
      </c>
      <c r="B5" s="2" t="s">
        <v>189</v>
      </c>
      <c r="C5" s="2">
        <v>30399</v>
      </c>
    </row>
    <row r="6" spans="1:3" x14ac:dyDescent="0.25">
      <c r="A6" s="2" t="s">
        <v>59</v>
      </c>
      <c r="B6" s="2" t="s">
        <v>69</v>
      </c>
      <c r="C6" s="3">
        <v>30481</v>
      </c>
    </row>
    <row r="7" spans="1:3" x14ac:dyDescent="0.25">
      <c r="A7" s="2" t="s">
        <v>60</v>
      </c>
      <c r="B7" s="2" t="s">
        <v>181</v>
      </c>
      <c r="C7" s="3">
        <v>30479</v>
      </c>
    </row>
    <row r="8" spans="1:3" x14ac:dyDescent="0.25">
      <c r="A8" s="2" t="s">
        <v>106</v>
      </c>
      <c r="B8" s="2" t="s">
        <v>153</v>
      </c>
      <c r="C8" s="2"/>
    </row>
    <row r="9" spans="1:3" x14ac:dyDescent="0.25">
      <c r="A9" s="2" t="s">
        <v>61</v>
      </c>
      <c r="B9" s="2" t="s">
        <v>190</v>
      </c>
      <c r="C9" s="2">
        <v>30674</v>
      </c>
    </row>
    <row r="10" spans="1:3" x14ac:dyDescent="0.25">
      <c r="A10" s="2" t="s">
        <v>62</v>
      </c>
      <c r="B10" s="2" t="s">
        <v>191</v>
      </c>
      <c r="C10" s="2">
        <v>30497</v>
      </c>
    </row>
    <row r="11" spans="1:3" x14ac:dyDescent="0.25">
      <c r="A11" s="2" t="s">
        <v>81</v>
      </c>
      <c r="B11" s="2" t="s">
        <v>192</v>
      </c>
      <c r="C11" s="2">
        <v>30518</v>
      </c>
    </row>
    <row r="12" spans="1:3" x14ac:dyDescent="0.25">
      <c r="A12" s="2" t="s">
        <v>63</v>
      </c>
      <c r="B12" s="2" t="s">
        <v>193</v>
      </c>
      <c r="C12" s="2">
        <v>30675</v>
      </c>
    </row>
    <row r="13" spans="1:3" x14ac:dyDescent="0.25">
      <c r="A13" s="2" t="s">
        <v>64</v>
      </c>
      <c r="B13" s="2" t="s">
        <v>194</v>
      </c>
      <c r="C13" s="2">
        <v>30627</v>
      </c>
    </row>
    <row r="14" spans="1:3" x14ac:dyDescent="0.25">
      <c r="A14" s="2" t="s">
        <v>65</v>
      </c>
      <c r="B14" s="2" t="s">
        <v>195</v>
      </c>
      <c r="C14" s="2">
        <v>30519</v>
      </c>
    </row>
    <row r="15" spans="1:3" x14ac:dyDescent="0.25">
      <c r="A15" s="2" t="s">
        <v>66</v>
      </c>
      <c r="B15" s="2" t="s">
        <v>196</v>
      </c>
      <c r="C15" s="2">
        <v>30372</v>
      </c>
    </row>
    <row r="16" spans="1:3" x14ac:dyDescent="0.25">
      <c r="A16" s="2" t="s">
        <v>67</v>
      </c>
      <c r="B16" s="2" t="s">
        <v>67</v>
      </c>
      <c r="C16" s="2">
        <v>30422</v>
      </c>
    </row>
    <row r="17" spans="1:3" x14ac:dyDescent="0.25">
      <c r="A17" s="2" t="s">
        <v>83</v>
      </c>
      <c r="B17" s="2" t="s">
        <v>182</v>
      </c>
      <c r="C17" s="2">
        <v>17538</v>
      </c>
    </row>
    <row r="18" spans="1:3" x14ac:dyDescent="0.25">
      <c r="A18" s="2" t="s">
        <v>68</v>
      </c>
      <c r="B18" s="2" t="s">
        <v>153</v>
      </c>
      <c r="C18" s="2"/>
    </row>
    <row r="19" spans="1:3" x14ac:dyDescent="0.25">
      <c r="A19" s="2" t="s">
        <v>107</v>
      </c>
      <c r="B19" s="2" t="s">
        <v>197</v>
      </c>
      <c r="C19" s="2">
        <v>17556</v>
      </c>
    </row>
    <row r="20" spans="1:3" x14ac:dyDescent="0.25">
      <c r="A20" s="2" t="s">
        <v>69</v>
      </c>
      <c r="B20" s="2" t="s">
        <v>183</v>
      </c>
      <c r="C20" s="3">
        <v>30485</v>
      </c>
    </row>
    <row r="21" spans="1:3" x14ac:dyDescent="0.25">
      <c r="A21" s="2" t="s">
        <v>84</v>
      </c>
      <c r="B21" s="2" t="s">
        <v>184</v>
      </c>
      <c r="C21" s="2">
        <v>17537</v>
      </c>
    </row>
    <row r="22" spans="1:3" x14ac:dyDescent="0.25">
      <c r="A22" s="2" t="s">
        <v>70</v>
      </c>
      <c r="B22" s="2" t="s">
        <v>153</v>
      </c>
      <c r="C22" s="2"/>
    </row>
    <row r="23" spans="1:3" x14ac:dyDescent="0.25">
      <c r="A23" s="2" t="s">
        <v>60</v>
      </c>
      <c r="B23" s="2" t="s">
        <v>185</v>
      </c>
      <c r="C23" s="3">
        <v>30484</v>
      </c>
    </row>
    <row r="24" spans="1:3" ht="15" customHeight="1" x14ac:dyDescent="0.25">
      <c r="A24" s="2" t="s">
        <v>85</v>
      </c>
      <c r="B24" s="2" t="s">
        <v>186</v>
      </c>
      <c r="C24" s="2">
        <v>17536</v>
      </c>
    </row>
    <row r="25" spans="1:3" x14ac:dyDescent="0.25">
      <c r="A25" s="2" t="s">
        <v>108</v>
      </c>
      <c r="B25" s="2" t="s">
        <v>187</v>
      </c>
      <c r="C25" s="2">
        <v>30458</v>
      </c>
    </row>
    <row r="26" spans="1:3" x14ac:dyDescent="0.25">
      <c r="A26" s="2" t="s">
        <v>71</v>
      </c>
      <c r="B26" s="2" t="s">
        <v>198</v>
      </c>
      <c r="C26" s="2">
        <v>17519</v>
      </c>
    </row>
    <row r="27" spans="1:3" x14ac:dyDescent="0.25">
      <c r="A27" s="2" t="s">
        <v>86</v>
      </c>
      <c r="B27" s="2" t="s">
        <v>199</v>
      </c>
      <c r="C27" s="2">
        <v>30371</v>
      </c>
    </row>
    <row r="28" spans="1:3" x14ac:dyDescent="0.25">
      <c r="A28" s="2"/>
      <c r="B28" s="2"/>
      <c r="C28" s="2"/>
    </row>
    <row r="29" spans="1:3" x14ac:dyDescent="0.25">
      <c r="A29" s="2"/>
      <c r="B29" s="2"/>
      <c r="C29" s="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9"/>
  <sheetViews>
    <sheetView topLeftCell="A24" workbookViewId="0">
      <selection activeCell="B1" sqref="B1"/>
    </sheetView>
  </sheetViews>
  <sheetFormatPr defaultRowHeight="15" x14ac:dyDescent="0.25"/>
  <cols>
    <col min="1" max="2" width="48.5703125" customWidth="1"/>
    <col min="3" max="3" width="7.5703125" bestFit="1" customWidth="1"/>
  </cols>
  <sheetData>
    <row r="1" spans="1:3" x14ac:dyDescent="0.25">
      <c r="A1" s="1" t="s">
        <v>126</v>
      </c>
      <c r="B1" s="1" t="s">
        <v>127</v>
      </c>
      <c r="C1" s="1" t="s">
        <v>128</v>
      </c>
    </row>
    <row r="2" spans="1:3" x14ac:dyDescent="0.25">
      <c r="A2" s="2" t="s">
        <v>56</v>
      </c>
      <c r="B2" s="2" t="str">
        <f>_xlfn.XLOOKUP(A2,CFS_Standalone!A:A,CFS_Standalone!B:B)</f>
        <v>Lable</v>
      </c>
      <c r="C2" s="2"/>
    </row>
    <row r="3" spans="1:3" x14ac:dyDescent="0.25">
      <c r="A3" s="2" t="s">
        <v>57</v>
      </c>
      <c r="B3" s="2" t="str">
        <f>_xlfn.XLOOKUP(A3,CFS_Standalone!A:A,CFS_Standalone!B:B)</f>
        <v>Net Profit Before Tax And Exceptional Item</v>
      </c>
      <c r="C3" s="2">
        <f>_xlfn.XLOOKUP(A3,CFS_Standalone!A:A,CFS_Standalone!C:C)</f>
        <v>17539</v>
      </c>
    </row>
    <row r="4" spans="1:3" x14ac:dyDescent="0.25">
      <c r="A4" s="2" t="s">
        <v>105</v>
      </c>
      <c r="B4" s="2" t="str">
        <f>_xlfn.XLOOKUP(A4,CFS_Standalone!A:A,CFS_Standalone!B:B)</f>
        <v>Lable</v>
      </c>
      <c r="C4" s="2"/>
    </row>
    <row r="5" spans="1:3" x14ac:dyDescent="0.25">
      <c r="A5" s="2" t="s">
        <v>58</v>
      </c>
      <c r="B5" s="2" t="str">
        <f>_xlfn.XLOOKUP(A5,CFS_Standalone!A:A,CFS_Standalone!B:B)</f>
        <v>Depreciation and Amortisation Expense</v>
      </c>
      <c r="C5" s="2">
        <f>_xlfn.XLOOKUP(A5,CFS_Standalone!A:A,CFS_Standalone!C:C)</f>
        <v>30399</v>
      </c>
    </row>
    <row r="6" spans="1:3" x14ac:dyDescent="0.25">
      <c r="A6" s="2" t="s">
        <v>80</v>
      </c>
      <c r="B6" s="2" t="s">
        <v>200</v>
      </c>
      <c r="C6" s="2">
        <v>17542</v>
      </c>
    </row>
    <row r="7" spans="1:3" x14ac:dyDescent="0.25">
      <c r="A7" s="2" t="s">
        <v>59</v>
      </c>
      <c r="B7" s="2" t="s">
        <v>69</v>
      </c>
      <c r="C7" s="3">
        <v>30481</v>
      </c>
    </row>
    <row r="8" spans="1:3" x14ac:dyDescent="0.25">
      <c r="A8" s="2" t="s">
        <v>60</v>
      </c>
      <c r="B8" s="2" t="s">
        <v>181</v>
      </c>
      <c r="C8" s="3">
        <v>30479</v>
      </c>
    </row>
    <row r="9" spans="1:3" x14ac:dyDescent="0.25">
      <c r="A9" s="2" t="s">
        <v>106</v>
      </c>
      <c r="B9" s="2" t="str">
        <f>_xlfn.XLOOKUP(A9,CFS_Standalone!A:A,CFS_Standalone!B:B)</f>
        <v>Lable</v>
      </c>
      <c r="C9" s="2"/>
    </row>
    <row r="10" spans="1:3" x14ac:dyDescent="0.25">
      <c r="A10" s="2" t="s">
        <v>61</v>
      </c>
      <c r="B10" s="2" t="str">
        <f>_xlfn.XLOOKUP(A10,CFS_Standalone!A:A,CFS_Standalone!B:B)</f>
        <v>Trade And Other Receivables</v>
      </c>
      <c r="C10" s="2">
        <f>_xlfn.XLOOKUP(A10,CFS_Standalone!A:A,CFS_Standalone!C:C)</f>
        <v>30674</v>
      </c>
    </row>
    <row r="11" spans="1:3" x14ac:dyDescent="0.25">
      <c r="A11" s="2" t="s">
        <v>62</v>
      </c>
      <c r="B11" s="2" t="str">
        <f>_xlfn.XLOOKUP(A11,CFS_Standalone!A:A,CFS_Standalone!B:B)</f>
        <v>Loans And Advances</v>
      </c>
      <c r="C11" s="2">
        <f>_xlfn.XLOOKUP(A11,CFS_Standalone!A:A,CFS_Standalone!C:C)</f>
        <v>30497</v>
      </c>
    </row>
    <row r="12" spans="1:3" x14ac:dyDescent="0.25">
      <c r="A12" s="2" t="s">
        <v>81</v>
      </c>
      <c r="B12" s="2" t="str">
        <f>_xlfn.XLOOKUP(A12,CFS_Standalone!A:A,CFS_Standalone!B:B)</f>
        <v>Other Current and Non Current Assets</v>
      </c>
      <c r="C12" s="2">
        <f>_xlfn.XLOOKUP(A12,CFS_Standalone!A:A,CFS_Standalone!C:C)</f>
        <v>30518</v>
      </c>
    </row>
    <row r="13" spans="1:3" x14ac:dyDescent="0.25">
      <c r="A13" s="2" t="s">
        <v>82</v>
      </c>
      <c r="B13" s="2" t="s">
        <v>76</v>
      </c>
      <c r="C13" s="3">
        <v>30487</v>
      </c>
    </row>
    <row r="14" spans="1:3" x14ac:dyDescent="0.25">
      <c r="A14" s="2" t="s">
        <v>63</v>
      </c>
      <c r="B14" s="2" t="str">
        <f>_xlfn.XLOOKUP(A14,CFS_Standalone!A:A,CFS_Standalone!B:B)</f>
        <v>Trade Payables And Others</v>
      </c>
      <c r="C14" s="2">
        <f>_xlfn.XLOOKUP(A14,CFS_Standalone!A:A,CFS_Standalone!C:C)</f>
        <v>30675</v>
      </c>
    </row>
    <row r="15" spans="1:3" x14ac:dyDescent="0.25">
      <c r="A15" s="2" t="s">
        <v>64</v>
      </c>
      <c r="B15" s="2" t="str">
        <f>_xlfn.XLOOKUP(A15,CFS_Standalone!A:A,CFS_Standalone!B:B)</f>
        <v>Provisions</v>
      </c>
      <c r="C15" s="2">
        <f>_xlfn.XLOOKUP(A15,CFS_Standalone!A:A,CFS_Standalone!C:C)</f>
        <v>30627</v>
      </c>
    </row>
    <row r="16" spans="1:3" x14ac:dyDescent="0.25">
      <c r="A16" s="2" t="s">
        <v>65</v>
      </c>
      <c r="B16" s="2" t="str">
        <f>_xlfn.XLOOKUP(A16,CFS_Standalone!A:A,CFS_Standalone!B:B)</f>
        <v>Other Current and Non Current Liabilities</v>
      </c>
      <c r="C16" s="2">
        <f>_xlfn.XLOOKUP(A16,CFS_Standalone!A:A,CFS_Standalone!C:C)</f>
        <v>30519</v>
      </c>
    </row>
    <row r="17" spans="1:3" x14ac:dyDescent="0.25">
      <c r="A17" s="2" t="s">
        <v>66</v>
      </c>
      <c r="B17" s="2" t="str">
        <f>_xlfn.XLOOKUP(A17,CFS_Standalone!A:A,CFS_Standalone!B:B)</f>
        <v>Cash Generated From Operations</v>
      </c>
      <c r="C17" s="2">
        <f>_xlfn.XLOOKUP(A17,CFS_Standalone!A:A,CFS_Standalone!C:C)</f>
        <v>30372</v>
      </c>
    </row>
    <row r="18" spans="1:3" x14ac:dyDescent="0.25">
      <c r="A18" s="2" t="s">
        <v>67</v>
      </c>
      <c r="B18" s="2" t="str">
        <f>_xlfn.XLOOKUP(A18,CFS_Standalone!A:A,CFS_Standalone!B:B)</f>
        <v>Income Tax Paid</v>
      </c>
      <c r="C18" s="2">
        <f>_xlfn.XLOOKUP(A18,CFS_Standalone!A:A,CFS_Standalone!C:C)</f>
        <v>30422</v>
      </c>
    </row>
    <row r="19" spans="1:3" x14ac:dyDescent="0.25">
      <c r="A19" s="2" t="s">
        <v>83</v>
      </c>
      <c r="B19" s="2" t="str">
        <f>_xlfn.XLOOKUP(A19,CFS_Standalone!A:A,CFS_Standalone!B:B)</f>
        <v>Net Cash Flow From Operating Activities</v>
      </c>
      <c r="C19" s="2">
        <f>_xlfn.XLOOKUP(A19,CFS_Standalone!A:A,CFS_Standalone!C:C)</f>
        <v>17538</v>
      </c>
    </row>
    <row r="20" spans="1:3" x14ac:dyDescent="0.25">
      <c r="A20" s="2" t="s">
        <v>68</v>
      </c>
      <c r="B20" s="2" t="str">
        <f>_xlfn.XLOOKUP(A20,CFS_Standalone!A:A,CFS_Standalone!B:B)</f>
        <v>Lable</v>
      </c>
      <c r="C20" s="2"/>
    </row>
    <row r="21" spans="1:3" x14ac:dyDescent="0.25">
      <c r="A21" s="2" t="s">
        <v>125</v>
      </c>
      <c r="B21" s="2" t="s">
        <v>197</v>
      </c>
      <c r="C21" s="3">
        <v>17556</v>
      </c>
    </row>
    <row r="22" spans="1:3" x14ac:dyDescent="0.25">
      <c r="A22" s="2" t="s">
        <v>69</v>
      </c>
      <c r="B22" s="2" t="s">
        <v>183</v>
      </c>
      <c r="C22" s="3">
        <v>30485</v>
      </c>
    </row>
    <row r="23" spans="1:3" x14ac:dyDescent="0.25">
      <c r="A23" s="2" t="s">
        <v>84</v>
      </c>
      <c r="B23" s="1" t="s">
        <v>184</v>
      </c>
      <c r="C23" s="4">
        <v>17537</v>
      </c>
    </row>
    <row r="24" spans="1:3" x14ac:dyDescent="0.25">
      <c r="A24" s="2" t="s">
        <v>70</v>
      </c>
      <c r="B24" s="2" t="str">
        <f>_xlfn.XLOOKUP(A24,CFS_Standalone!A:A,CFS_Standalone!B:B)</f>
        <v>Lable</v>
      </c>
      <c r="C24" s="2"/>
    </row>
    <row r="25" spans="1:3" x14ac:dyDescent="0.25">
      <c r="A25" s="2" t="s">
        <v>60</v>
      </c>
      <c r="B25" s="2" t="s">
        <v>185</v>
      </c>
      <c r="C25" s="3">
        <v>30484</v>
      </c>
    </row>
    <row r="26" spans="1:3" x14ac:dyDescent="0.25">
      <c r="A26" s="2" t="s">
        <v>85</v>
      </c>
      <c r="B26" s="2" t="str">
        <f>_xlfn.XLOOKUP(A26,CFS_Standalone!A:A,CFS_Standalone!B:B)</f>
        <v>Net Cash Flow From Financing Activities</v>
      </c>
      <c r="C26" s="2">
        <f>_xlfn.XLOOKUP(A26,CFS_Standalone!A:A,CFS_Standalone!C:C)</f>
        <v>17536</v>
      </c>
    </row>
    <row r="27" spans="1:3" x14ac:dyDescent="0.25">
      <c r="A27" s="2" t="s">
        <v>108</v>
      </c>
      <c r="B27" s="2" t="str">
        <f>_xlfn.XLOOKUP(A27,CFS_Standalone!A:A,CFS_Standalone!B:B)</f>
        <v>Net increase (decrease) in cash and cash equivalents before effect of exchange rate changes</v>
      </c>
      <c r="C27" s="2">
        <f>_xlfn.XLOOKUP(A27,CFS_Standalone!A:A,CFS_Standalone!C:C)</f>
        <v>30458</v>
      </c>
    </row>
    <row r="28" spans="1:3" x14ac:dyDescent="0.25">
      <c r="A28" s="2" t="s">
        <v>71</v>
      </c>
      <c r="B28" s="2" t="str">
        <f>_xlfn.XLOOKUP(A28,CFS_Standalone!A:A,CFS_Standalone!B:B)</f>
        <v>Cash and Cash Equivalents at the Beginning of the Year</v>
      </c>
      <c r="C28" s="2">
        <f>_xlfn.XLOOKUP(A28,CFS_Standalone!A:A,CFS_Standalone!C:C)</f>
        <v>17519</v>
      </c>
    </row>
    <row r="29" spans="1:3" x14ac:dyDescent="0.25">
      <c r="A29" s="2" t="s">
        <v>86</v>
      </c>
      <c r="B29" s="2" t="str">
        <f>_xlfn.XLOOKUP(A29,CFS_Standalone!A:A,CFS_Standalone!B:B)</f>
        <v>Cash and Cash Equivalents at the End of the Year</v>
      </c>
      <c r="C29" s="2">
        <f>_xlfn.XLOOKUP(A29,CFS_Standalone!A:A,CFS_Standalone!C:C)</f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>
      <selection activeCell="B3" sqref="B3"/>
    </sheetView>
  </sheetViews>
  <sheetFormatPr defaultRowHeight="15" x14ac:dyDescent="0.25"/>
  <cols>
    <col min="1" max="1" width="80.28515625" bestFit="1" customWidth="1"/>
    <col min="2" max="2" width="43.7109375" bestFit="1" customWidth="1"/>
    <col min="3" max="3" width="7.5703125" bestFit="1" customWidth="1"/>
  </cols>
  <sheetData>
    <row r="1" spans="1:3" x14ac:dyDescent="0.25">
      <c r="A1" s="1" t="s">
        <v>126</v>
      </c>
      <c r="B1" s="1" t="s">
        <v>127</v>
      </c>
      <c r="C1" s="1" t="s">
        <v>128</v>
      </c>
    </row>
    <row r="2" spans="1:3" x14ac:dyDescent="0.25">
      <c r="A2" s="2" t="s">
        <v>45</v>
      </c>
      <c r="B2" s="2" t="s">
        <v>153</v>
      </c>
      <c r="C2" s="2"/>
    </row>
    <row r="3" spans="1:3" x14ac:dyDescent="0.25">
      <c r="A3" s="2" t="s">
        <v>46</v>
      </c>
      <c r="B3" s="2" t="s">
        <v>153</v>
      </c>
      <c r="C3" s="2"/>
    </row>
    <row r="4" spans="1:3" x14ac:dyDescent="0.25">
      <c r="A4" s="2" t="s">
        <v>47</v>
      </c>
      <c r="B4" s="2" t="s">
        <v>201</v>
      </c>
      <c r="C4" s="2"/>
    </row>
    <row r="5" spans="1:3" x14ac:dyDescent="0.25">
      <c r="A5" s="2" t="s">
        <v>48</v>
      </c>
      <c r="B5" s="2" t="s">
        <v>201</v>
      </c>
      <c r="C5" s="2"/>
    </row>
    <row r="6" spans="1:3" x14ac:dyDescent="0.25">
      <c r="A6" s="2" t="s">
        <v>49</v>
      </c>
      <c r="B6" s="2" t="s">
        <v>45</v>
      </c>
      <c r="C6" s="2">
        <v>8920</v>
      </c>
    </row>
    <row r="7" spans="1:3" x14ac:dyDescent="0.25">
      <c r="A7" s="2" t="s">
        <v>50</v>
      </c>
      <c r="B7" s="2" t="s">
        <v>50</v>
      </c>
      <c r="C7" s="2">
        <v>8924</v>
      </c>
    </row>
    <row r="8" spans="1:3" x14ac:dyDescent="0.25">
      <c r="A8" s="2" t="s">
        <v>51</v>
      </c>
      <c r="B8" s="2" t="s">
        <v>202</v>
      </c>
      <c r="C8" s="2">
        <v>8931</v>
      </c>
    </row>
    <row r="9" spans="1:3" x14ac:dyDescent="0.25">
      <c r="A9" s="2" t="s">
        <v>52</v>
      </c>
      <c r="B9" s="2" t="s">
        <v>153</v>
      </c>
      <c r="C9" s="2"/>
    </row>
    <row r="10" spans="1:3" x14ac:dyDescent="0.25">
      <c r="A10" s="2" t="s">
        <v>104</v>
      </c>
      <c r="B10" s="2" t="s">
        <v>153</v>
      </c>
      <c r="C10" s="2"/>
    </row>
    <row r="11" spans="1:3" x14ac:dyDescent="0.25">
      <c r="A11" s="2" t="s">
        <v>47</v>
      </c>
      <c r="B11" s="2" t="s">
        <v>201</v>
      </c>
      <c r="C11" s="2"/>
    </row>
    <row r="12" spans="1:3" x14ac:dyDescent="0.25">
      <c r="A12" s="2" t="s">
        <v>48</v>
      </c>
      <c r="B12" s="2" t="s">
        <v>201</v>
      </c>
      <c r="C12" s="2"/>
    </row>
    <row r="13" spans="1:3" x14ac:dyDescent="0.25">
      <c r="A13" s="2" t="s">
        <v>49</v>
      </c>
      <c r="B13" s="2" t="s">
        <v>52</v>
      </c>
      <c r="C13" s="2">
        <v>8919</v>
      </c>
    </row>
    <row r="14" spans="1:3" x14ac:dyDescent="0.25">
      <c r="A14" s="2" t="s">
        <v>53</v>
      </c>
      <c r="B14" s="2" t="s">
        <v>0</v>
      </c>
      <c r="C14" s="3">
        <v>14859</v>
      </c>
    </row>
    <row r="15" spans="1:3" x14ac:dyDescent="0.25">
      <c r="A15" s="2" t="s">
        <v>54</v>
      </c>
      <c r="B15" s="2" t="s">
        <v>203</v>
      </c>
      <c r="C15" s="3">
        <v>8929</v>
      </c>
    </row>
    <row r="16" spans="1:3" x14ac:dyDescent="0.25">
      <c r="A16" s="2" t="s">
        <v>55</v>
      </c>
      <c r="B16" s="1" t="s">
        <v>204</v>
      </c>
      <c r="C16" s="4">
        <v>8911</v>
      </c>
    </row>
  </sheetData>
  <conditionalFormatting sqref="C1">
    <cfRule type="duplicateValues" dxfId="23" priority="1"/>
    <cfRule type="duplicateValues" dxfId="22" priority="2"/>
    <cfRule type="duplicateValues" dxfId="21" priority="3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6"/>
  <sheetViews>
    <sheetView workbookViewId="0">
      <selection activeCell="B15" sqref="B15"/>
    </sheetView>
  </sheetViews>
  <sheetFormatPr defaultRowHeight="15" x14ac:dyDescent="0.25"/>
  <cols>
    <col min="1" max="1" width="76" bestFit="1" customWidth="1"/>
    <col min="2" max="2" width="43.7109375" bestFit="1" customWidth="1"/>
    <col min="3" max="3" width="7.5703125" bestFit="1" customWidth="1"/>
  </cols>
  <sheetData>
    <row r="1" spans="1:3" x14ac:dyDescent="0.25">
      <c r="A1" s="1" t="s">
        <v>126</v>
      </c>
      <c r="B1" s="1" t="s">
        <v>127</v>
      </c>
      <c r="C1" s="1" t="s">
        <v>128</v>
      </c>
    </row>
    <row r="2" spans="1:3" x14ac:dyDescent="0.25">
      <c r="A2" s="2" t="s">
        <v>45</v>
      </c>
      <c r="B2" s="2" t="str">
        <f>_xlfn.XLOOKUP(A2,SR_Standalone!A:A,SR_Standalone!B:B)</f>
        <v>Lable</v>
      </c>
      <c r="C2" s="2"/>
    </row>
    <row r="3" spans="1:3" x14ac:dyDescent="0.25">
      <c r="A3" s="2" t="s">
        <v>46</v>
      </c>
      <c r="B3" s="2" t="str">
        <f>_xlfn.XLOOKUP(A3,SR_Standalone!A:A,SR_Standalone!B:B)</f>
        <v>Lable</v>
      </c>
      <c r="C3" s="2"/>
    </row>
    <row r="4" spans="1:3" x14ac:dyDescent="0.25">
      <c r="A4" s="2" t="s">
        <v>47</v>
      </c>
      <c r="B4" s="2" t="str">
        <f>_xlfn.XLOOKUP(A4,SR_Standalone!A:A,SR_Standalone!B:B)</f>
        <v>As is Product Name</v>
      </c>
      <c r="C4" s="2"/>
    </row>
    <row r="5" spans="1:3" x14ac:dyDescent="0.25">
      <c r="A5" s="2" t="s">
        <v>48</v>
      </c>
      <c r="B5" s="2" t="str">
        <f>_xlfn.XLOOKUP(A5,SR_Standalone!A:A,SR_Standalone!B:B)</f>
        <v>As is Product Name</v>
      </c>
      <c r="C5" s="2"/>
    </row>
    <row r="6" spans="1:3" x14ac:dyDescent="0.25">
      <c r="A6" s="2" t="s">
        <v>49</v>
      </c>
      <c r="B6" s="2" t="str">
        <f>_xlfn.XLOOKUP(A6,SR_Standalone!A:A,SR_Standalone!B:B)</f>
        <v>Segment Revenue</v>
      </c>
      <c r="C6" s="2">
        <f>_xlfn.XLOOKUP(A6,SR_Standalone!A:A,SR_Standalone!C:C)</f>
        <v>8920</v>
      </c>
    </row>
    <row r="7" spans="1:3" x14ac:dyDescent="0.25">
      <c r="A7" s="2" t="s">
        <v>50</v>
      </c>
      <c r="B7" s="2" t="str">
        <f>_xlfn.XLOOKUP(A7,SR_Standalone!A:A,SR_Standalone!B:B)</f>
        <v>Less: Inter Segment Revenue</v>
      </c>
      <c r="C7" s="2">
        <f>_xlfn.XLOOKUP(A7,SR_Standalone!A:A,SR_Standalone!C:C)</f>
        <v>8924</v>
      </c>
    </row>
    <row r="8" spans="1:3" x14ac:dyDescent="0.25">
      <c r="A8" s="2" t="s">
        <v>51</v>
      </c>
      <c r="B8" s="2" t="str">
        <f>_xlfn.XLOOKUP(A8,SR_Standalone!A:A,SR_Standalone!B:B)</f>
        <v>Total Segment Revenue</v>
      </c>
      <c r="C8" s="2">
        <f>_xlfn.XLOOKUP(A8,SR_Standalone!A:A,SR_Standalone!C:C)</f>
        <v>8931</v>
      </c>
    </row>
    <row r="9" spans="1:3" x14ac:dyDescent="0.25">
      <c r="A9" s="2" t="s">
        <v>52</v>
      </c>
      <c r="B9" s="2" t="str">
        <f>_xlfn.XLOOKUP(A9,SR_Standalone!A:A,SR_Standalone!B:B)</f>
        <v>Lable</v>
      </c>
      <c r="C9" s="2"/>
    </row>
    <row r="10" spans="1:3" x14ac:dyDescent="0.25">
      <c r="A10" s="2" t="s">
        <v>124</v>
      </c>
      <c r="B10" s="2" t="s">
        <v>153</v>
      </c>
      <c r="C10" s="2"/>
    </row>
    <row r="11" spans="1:3" x14ac:dyDescent="0.25">
      <c r="A11" s="2" t="s">
        <v>47</v>
      </c>
      <c r="B11" s="2" t="str">
        <f>_xlfn.XLOOKUP(A11,SR_Standalone!A:A,SR_Standalone!B:B)</f>
        <v>As is Product Name</v>
      </c>
      <c r="C11" s="2"/>
    </row>
    <row r="12" spans="1:3" x14ac:dyDescent="0.25">
      <c r="A12" s="2" t="s">
        <v>48</v>
      </c>
      <c r="B12" s="2" t="str">
        <f>_xlfn.XLOOKUP(A12,SR_Standalone!A:A,SR_Standalone!B:B)</f>
        <v>As is Product Name</v>
      </c>
      <c r="C12" s="2"/>
    </row>
    <row r="13" spans="1:3" x14ac:dyDescent="0.25">
      <c r="A13" s="2" t="s">
        <v>49</v>
      </c>
      <c r="B13" s="2" t="s">
        <v>52</v>
      </c>
      <c r="C13" s="2">
        <v>8919</v>
      </c>
    </row>
    <row r="14" spans="1:3" x14ac:dyDescent="0.25">
      <c r="A14" s="2" t="s">
        <v>79</v>
      </c>
      <c r="B14" s="2" t="s">
        <v>0</v>
      </c>
      <c r="C14" s="3">
        <v>14859</v>
      </c>
    </row>
    <row r="15" spans="1:3" x14ac:dyDescent="0.25">
      <c r="A15" s="2" t="s">
        <v>54</v>
      </c>
      <c r="B15" s="2" t="str">
        <f>_xlfn.XLOOKUP(A15,SR_Standalone!A:A,SR_Standalone!B:B)</f>
        <v>Unallocated Income (Expenses)</v>
      </c>
      <c r="C15" s="2">
        <f>_xlfn.XLOOKUP(A15,SR_Standalone!A:A,SR_Standalone!C:C)</f>
        <v>8929</v>
      </c>
    </row>
    <row r="16" spans="1:3" x14ac:dyDescent="0.25">
      <c r="A16" s="2" t="s">
        <v>55</v>
      </c>
      <c r="B16" s="2" t="str">
        <f>_xlfn.XLOOKUP(A16,SR_Standalone!A:A,SR_Standalone!B:B)</f>
        <v>Profit/(Loss) from ordinary activities before tax</v>
      </c>
      <c r="C16" s="2">
        <f>_xlfn.XLOOKUP(A16,SR_Standalone!A:A,SR_Standalone!C:C)</f>
        <v>8911</v>
      </c>
    </row>
  </sheetData>
  <conditionalFormatting sqref="C1">
    <cfRule type="duplicateValues" dxfId="20" priority="1"/>
    <cfRule type="duplicateValues" dxfId="19" priority="2"/>
    <cfRule type="duplicateValues" dxfId="18" priority="3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2025-12-31T17:48:54Z</dcterms:created>
  <dcterms:modified xsi:type="dcterms:W3CDTF">2026-01-22T08:05:46Z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2026-01-07T07:22:54Z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20e3bf7b-4a7c-41d1-861f-9263eb2f569f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