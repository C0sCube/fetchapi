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57860A7A-DF47-48D3-83C4-54A41734105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5" r:id="rId1"/>
    <sheet name="P&amp;L_Consolidated" sheetId="2" r:id="rId2"/>
    <sheet name="BS_Standalone" sheetId="4" r:id="rId3"/>
    <sheet name="BS_Consolidated" sheetId="1" r:id="rId4"/>
    <sheet name="CFS_Standalone" sheetId="6" r:id="rId5"/>
    <sheet name="CFS_Consolidated" sheetId="3" r:id="rId6"/>
    <sheet name="SR_Standalone" sheetId="8" r:id="rId7"/>
    <sheet name="SR_Consolidated" sheetId="7" r:id="rId8"/>
  </sheets>
  <definedNames>
    <definedName name="_xlnm._FilterDatabase" localSheetId="5" hidden="1">CFS_Consolidated!$A$1:$C$48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6" i="2"/>
  <c r="C16" i="2"/>
  <c r="B19" i="2"/>
  <c r="C19" i="2"/>
  <c r="B20" i="2"/>
  <c r="C20" i="2"/>
  <c r="B22" i="2"/>
  <c r="C22" i="2"/>
  <c r="B23" i="2"/>
  <c r="C23" i="2"/>
  <c r="B24" i="2"/>
  <c r="C24" i="2"/>
  <c r="B25" i="2"/>
  <c r="C25" i="2"/>
  <c r="B26" i="2"/>
  <c r="C26" i="2"/>
  <c r="B27" i="2"/>
  <c r="C27" i="2"/>
  <c r="B29" i="2"/>
  <c r="C29" i="2"/>
  <c r="B30" i="2"/>
  <c r="C30" i="2"/>
  <c r="C2" i="2"/>
  <c r="B2" i="2"/>
</calcChain>
</file>

<file path=xl/sharedStrings.xml><?xml version="1.0" encoding="utf-8"?>
<sst xmlns="http://schemas.openxmlformats.org/spreadsheetml/2006/main" count="432" uniqueCount="213">
  <si>
    <t>ASSETS</t>
  </si>
  <si>
    <t>Non-current assets</t>
  </si>
  <si>
    <t>Property, plant and equipment</t>
  </si>
  <si>
    <t>Right-of-use assets</t>
  </si>
  <si>
    <t>Goodwill</t>
  </si>
  <si>
    <t>Other intangible assets</t>
  </si>
  <si>
    <t>Intangible assets under development</t>
  </si>
  <si>
    <t>Financial assets</t>
  </si>
  <si>
    <t>Other financial assets</t>
  </si>
  <si>
    <t>Non-current  tax assets (net)</t>
  </si>
  <si>
    <t>Other non-current Assets</t>
  </si>
  <si>
    <t>Total non-Current Assets</t>
  </si>
  <si>
    <t>Current assets</t>
  </si>
  <si>
    <t>Trade receivables</t>
  </si>
  <si>
    <t xml:space="preserve">Unbilled receivables </t>
  </si>
  <si>
    <t>Cash and cash equivalents</t>
  </si>
  <si>
    <t>Bank balances other than above</t>
  </si>
  <si>
    <t>Loans</t>
  </si>
  <si>
    <t>Other current  assets</t>
  </si>
  <si>
    <t>Total current  assets</t>
  </si>
  <si>
    <t>Total assets</t>
  </si>
  <si>
    <t>EQUITY &amp;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</si>
  <si>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</si>
  <si>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</si>
  <si>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</si>
  <si>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</si>
  <si>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</si>
  <si>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</si>
  <si>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</si>
  <si>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</si>
  <si>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</si>
  <si>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Deferred tax liabilities (net)</t>
  </si>
  <si>
    <t>Total non-current liabilities</t>
  </si>
  <si>
    <t>Current liabilities</t>
  </si>
  <si>
    <t>Borrowings</t>
  </si>
  <si>
    <t>Trade payables</t>
  </si>
  <si>
    <t>Total outstanding dues of micro enterprise and small enterprises</t>
  </si>
  <si>
    <t>Total outstanding dues of creditors other than micro enterprise and small enterprise</t>
  </si>
  <si>
    <t>Other current  liabilities</t>
  </si>
  <si>
    <t>Current tax liabilities (net)</t>
  </si>
  <si>
    <t>Total current  liabilities</t>
  </si>
  <si>
    <t>Total liabilities</t>
  </si>
  <si>
    <t>Total equity and liabilities</t>
  </si>
  <si>
    <t>Revenue from operations</t>
  </si>
  <si>
    <t>Other income</t>
  </si>
  <si>
    <t>Total income</t>
  </si>
  <si>
    <t>Expenses</t>
  </si>
  <si>
    <t>Employee benefits expenses</t>
  </si>
  <si>
    <t>Finance costs</t>
  </si>
  <si>
    <t>Depreciation and amortization expenses</t>
  </si>
  <si>
    <t xml:space="preserve">Other expenses </t>
  </si>
  <si>
    <t>Total expenses</t>
  </si>
  <si>
    <t>Profit before tax</t>
  </si>
  <si>
    <t>Tax expense</t>
  </si>
  <si>
    <t>Current tax</t>
  </si>
  <si>
    <t>Deferred tax</t>
  </si>
  <si>
    <t>Total tax expenses</t>
  </si>
  <si>
    <t>Profit for the period / year</t>
  </si>
  <si>
    <t>Other comprehensive income</t>
  </si>
  <si>
    <r>
      <rPr>
        <sz val="11"/>
        <color theme="1"/>
        <rFont val="Calibri"/>
        <family val="2"/>
        <charset val="1"/>
      </rPr>
      <t xml:space="preserve">Items not to be reclassified to profit or loss in </t>
    </r>
    <r>
      <rPr>
        <sz val="11"/>
        <color theme="1"/>
        <rFont val="Calibri"/>
        <family val="2"/>
      </rPr>
      <t>subsequent periods/ year</t>
    </r>
  </si>
  <si>
    <t>Re-measurement of defined benefit plans</t>
  </si>
  <si>
    <t>Income tax effect on above</t>
  </si>
  <si>
    <t>Items to be reclassified to profit or loss in subsequent periods/ year</t>
  </si>
  <si>
    <t>Foreign currency translation reserve</t>
  </si>
  <si>
    <t>Total other comprehensive income</t>
  </si>
  <si>
    <r>
      <rPr>
        <sz val="11"/>
        <color theme="1"/>
        <rFont val="Calibri"/>
        <family val="2"/>
        <charset val="1"/>
      </rPr>
      <t>Total  comprehensive income  for the period /</t>
    </r>
    <r>
      <rPr>
        <sz val="11"/>
        <color theme="1"/>
        <rFont val="Calibri"/>
        <family val="2"/>
      </rPr>
      <t>year</t>
    </r>
  </si>
  <si>
    <t>Paid up share capital (par value INR 10/- each , fully paid)</t>
  </si>
  <si>
    <t>Other Equity</t>
  </si>
  <si>
    <t>Earnings per equity share (par value INR 10/- each, fully paid)</t>
  </si>
  <si>
    <t>Basic EPS (in INR per share)</t>
  </si>
  <si>
    <t>Diluted EPS (in INR per share)</t>
  </si>
  <si>
    <t>Cash flow from operating activities</t>
  </si>
  <si>
    <t>Adjustments to reconcile profits before tax to net cash flows:</t>
  </si>
  <si>
    <t>Depreciation and Amortization  expenses</t>
  </si>
  <si>
    <t>Interest income</t>
  </si>
  <si>
    <t>Share based payments to employees</t>
  </si>
  <si>
    <t>Rental income</t>
  </si>
  <si>
    <t>Provision for compensated absences</t>
  </si>
  <si>
    <t>Provision for gratuity</t>
  </si>
  <si>
    <t>Unrealised foreign exchange (gain)</t>
  </si>
  <si>
    <t>(Profit) on sale of assets</t>
  </si>
  <si>
    <t>Operating profit before working capital changes</t>
  </si>
  <si>
    <t>Changes in assets and liabilities</t>
  </si>
  <si>
    <t>(Increase) / Decrease in trade receivables and unbilled revenue</t>
  </si>
  <si>
    <t>Increase in other financial assets and other assets</t>
  </si>
  <si>
    <t>Decrease in trade payables</t>
  </si>
  <si>
    <t>Decrease in other financial liabilities, other liabilities and provisions</t>
  </si>
  <si>
    <t>Income tax paid</t>
  </si>
  <si>
    <t>Net cash from operating activities</t>
  </si>
  <si>
    <t>Cash flow from investing activities</t>
  </si>
  <si>
    <t>Purchase of property, plant and equipment</t>
  </si>
  <si>
    <t>Sale of property,  plant and equipment</t>
  </si>
  <si>
    <t>Closure of Right-of-use assets</t>
  </si>
  <si>
    <t>Receipt of security deposit</t>
  </si>
  <si>
    <t>Rental income received</t>
  </si>
  <si>
    <t>Acquisition of subsidiary, net of cash acquired</t>
  </si>
  <si>
    <t>Capital advance paid of purchase of land</t>
  </si>
  <si>
    <t>Interest received</t>
  </si>
  <si>
    <t>Investment in bank deposits, net</t>
  </si>
  <si>
    <t xml:space="preserve">Net cash (used) in from investing activities </t>
  </si>
  <si>
    <t>Cash flow from financial activities</t>
  </si>
  <si>
    <t>Proceeds from borrowing (net)</t>
  </si>
  <si>
    <t xml:space="preserve">Shares issued on exercise of employee stock options </t>
  </si>
  <si>
    <t>Repayment of lease liabilities</t>
  </si>
  <si>
    <t>Repayment of borrowings</t>
  </si>
  <si>
    <t xml:space="preserve">Interest  Paid </t>
  </si>
  <si>
    <t>Net cash from / (used in ) financing activities</t>
  </si>
  <si>
    <t xml:space="preserve">Net increase in cash and cash equivalents </t>
  </si>
  <si>
    <t xml:space="preserve">Cash and cash equivalents at the beginning of the period </t>
  </si>
  <si>
    <t xml:space="preserve">Cash and cash equivalents at the end of the period </t>
  </si>
  <si>
    <t>Components of cash and cash equivalents</t>
  </si>
  <si>
    <t xml:space="preserve">Balance with banks </t>
  </si>
  <si>
    <t>In current accounts</t>
  </si>
  <si>
    <t xml:space="preserve">In EEFC accounts </t>
  </si>
  <si>
    <t>Total cash and cash equivalents</t>
  </si>
  <si>
    <t>property, plant and equipment</t>
  </si>
  <si>
    <t>Other Intangible Assets</t>
  </si>
  <si>
    <t>Intangible Assets under development</t>
  </si>
  <si>
    <t>Investments</t>
  </si>
  <si>
    <t>Trade aeceivables</t>
  </si>
  <si>
    <t>Total Assets</t>
  </si>
  <si>
    <t>Items not to be reclassified to profit or loss in subsequent periods/ year</t>
  </si>
  <si>
    <t>Total  comprehensive income  for the period /year</t>
  </si>
  <si>
    <t>Increase/(Decrease) in trade payables</t>
  </si>
  <si>
    <t>Closure of right-of-use assets</t>
  </si>
  <si>
    <t>Acquisition of subsidiary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</si>
  <si>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</si>
  <si>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</si>
  <si>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</si>
  <si>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</si>
  <si>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</si>
  <si>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</si>
  <si>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</si>
  <si>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</si>
  <si>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Total Expenses</t>
  </si>
  <si>
    <t>Profit/(Loss) From Ordinary Activities before Tax</t>
  </si>
  <si>
    <t>Tax Expense</t>
  </si>
  <si>
    <t>Deferred Tax</t>
  </si>
  <si>
    <t>Items that will not be reclassified to Profit or Loss</t>
  </si>
  <si>
    <t>Reserve excluding Revaluation Reserves (as per Balance Sheet of Previous Accounting Year)</t>
  </si>
  <si>
    <t>Depreciation, Depletion and Amortisation Expense</t>
  </si>
  <si>
    <t>Other Expenses</t>
  </si>
  <si>
    <t>Net Profit/(Loss) for the Period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</si>
  <si>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</si>
  <si>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</si>
  <si>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</si>
  <si>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Other Comprehensive Income</t>
  </si>
  <si>
    <t>Total Comprehensive Gain (Loss) For the Year</t>
  </si>
  <si>
    <t>Paid-Up Equity Share Capital</t>
  </si>
  <si>
    <t>Basic EPS</t>
  </si>
  <si>
    <t>Diluted EPS</t>
  </si>
  <si>
    <t>Property, Plant &amp; Equipment</t>
  </si>
  <si>
    <t>Non-Current Investments</t>
  </si>
  <si>
    <t>Other Non-Current Financial Assets</t>
  </si>
  <si>
    <t>Other Non-Current Assets</t>
  </si>
  <si>
    <t>Total Non-Current Assets</t>
  </si>
  <si>
    <t>Cash And Cash Equivalents</t>
  </si>
  <si>
    <t>Loans, Current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</si>
  <si>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</si>
  <si>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</si>
  <si>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</si>
  <si>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</si>
  <si>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</si>
  <si>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Total Non-Current Liabilities</t>
  </si>
  <si>
    <t>Trade Payables</t>
  </si>
  <si>
    <t>Current Tax Liabilities (Net)</t>
  </si>
  <si>
    <t>Total Equity And Liabilities</t>
  </si>
  <si>
    <t>Right-of-use asset</t>
  </si>
  <si>
    <t>Income Tax assets (net)</t>
  </si>
  <si>
    <t>Trade Receivables</t>
  </si>
  <si>
    <t>Unbilled Revenue</t>
  </si>
  <si>
    <t>Bank balance other than cash and cash equivalents</t>
  </si>
  <si>
    <t>Other Current Assets</t>
  </si>
  <si>
    <t>Total Current Assets</t>
  </si>
  <si>
    <t>Other liabilities</t>
  </si>
  <si>
    <t>Short-Term Provisions</t>
  </si>
  <si>
    <t>Other Current Liabilities</t>
  </si>
  <si>
    <t>Goodwill On Consolidation</t>
  </si>
  <si>
    <t>Intangible Assets Under Development</t>
  </si>
  <si>
    <t>Interest Expense</t>
  </si>
  <si>
    <t>Interest Income</t>
  </si>
  <si>
    <t>Operating Profit Before Working Capital Changes</t>
  </si>
  <si>
    <t>Trade Payables And Others</t>
  </si>
  <si>
    <t>Interest Received</t>
  </si>
  <si>
    <t>Net Profit Before Tax And Exceptional Item</t>
  </si>
  <si>
    <t>Depreciation and Amortisation Expense</t>
  </si>
  <si>
    <t>Others-Before Working Capital Changes</t>
  </si>
  <si>
    <t>Provision For Gratuity,Leave Encashment And Pensions</t>
  </si>
  <si>
    <t>Foreign Exchange Gain / Loss</t>
  </si>
  <si>
    <t>Profit On Sale Of Fixed Assets</t>
  </si>
  <si>
    <t>Fin Lease &amp; Rental Charges</t>
  </si>
  <si>
    <t>Trade And Other Receivables</t>
  </si>
  <si>
    <t>Adjustments for other financial assets, non-current</t>
  </si>
  <si>
    <t>Adjustments for other financial liabilities, non-current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</si>
  <si>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</si>
  <si>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</si>
  <si>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</si>
  <si>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</si>
  <si>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Purchase of intangible assets under development</t>
  </si>
  <si>
    <t>Fixed Deposits</t>
  </si>
  <si>
    <t>Net Cash Flow From Investing Activities</t>
  </si>
  <si>
    <t>Proceeds From Long Term Borrowings</t>
  </si>
  <si>
    <t>Proceeds From Issue Of Equity Shares (Inclu Share Premium)</t>
  </si>
  <si>
    <t>Repayment Of Long Term Borrowings</t>
  </si>
  <si>
    <t>Payments of lease liabilities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</si>
  <si>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</si>
  <si>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</si>
  <si>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</si>
  <si>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</si>
  <si>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</si>
  <si>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Others-Investing Activities</t>
  </si>
  <si>
    <t>Acquisition Of Companies</t>
  </si>
  <si>
    <t>Segment Revenue Data Not Captured. (Refer Page No.8)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</si>
</sst>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tabSelected="1" zoomScaleNormal="100" workbookViewId="0">
      <selection activeCell="C11" sqref="C11"/>
    </sheetView>
  </sheetViews>
  <sheetFormatPr defaultColWidth="10.140625" defaultRowHeight="15" x14ac:dyDescent="0.25"/>
  <cols>
    <col min="1" max="1" width="56.42578125" customWidth="1"/>
    <col min="2" max="2" width="33.85546875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t="s">
        <v>43</v>
      </c>
      <c r="B2" t="s">
        <v>129</v>
      </c>
      <c r="C2">
        <v>256</v>
      </c>
    </row>
    <row r="3" spans="1:3" x14ac:dyDescent="0.25">
      <c r="A3" t="s">
        <v>44</v>
      </c>
      <c r="B3" t="s">
        <v>130</v>
      </c>
      <c r="C3">
        <v>265</v>
      </c>
    </row>
    <row r="4" spans="1:3" x14ac:dyDescent="0.25">
      <c r="A4" t="s">
        <v>45</v>
      </c>
      <c r="B4" t="s">
        <v>131</v>
      </c>
      <c r="C4">
        <v>25238</v>
      </c>
    </row>
    <row r="5" spans="1:3" x14ac:dyDescent="0.25">
      <c r="A5" t="s">
        <v>46</v>
      </c>
    </row>
    <row r="6" spans="1:3" x14ac:dyDescent="0.25">
      <c r="A6" t="s">
        <v>47</v>
      </c>
      <c r="B6" t="s">
        <v>132</v>
      </c>
      <c r="C6">
        <v>238</v>
      </c>
    </row>
    <row r="7" spans="1:3" x14ac:dyDescent="0.25">
      <c r="A7" t="s">
        <v>48</v>
      </c>
      <c r="B7" t="s">
        <v>133</v>
      </c>
      <c r="C7">
        <v>246</v>
      </c>
    </row>
    <row r="8" spans="1:3" x14ac:dyDescent="0.25">
      <c r="A8" t="s">
        <v>49</v>
      </c>
      <c r="B8" t="s">
        <v>140</v>
      </c>
      <c r="C8">
        <v>232</v>
      </c>
    </row>
    <row r="9" spans="1:3" x14ac:dyDescent="0.25">
      <c r="A9" t="s">
        <v>50</v>
      </c>
      <c r="B9" t="s">
        <v>141</v>
      </c>
      <c r="C9">
        <v>279</v>
      </c>
    </row>
    <row r="10" spans="1:3" x14ac:dyDescent="0.25">
      <c r="A10" t="s">
        <v>51</v>
      </c>
      <c r="B10" t="s">
        <v>134</v>
      </c>
      <c r="C10">
        <v>320</v>
      </c>
    </row>
    <row r="11" spans="1:3" x14ac:dyDescent="0.25">
      <c r="A11" t="s">
        <v>52</v>
      </c>
      <c r="B11" t="s">
        <v>135</v>
      </c>
      <c r="C11">
        <v>296</v>
      </c>
    </row>
    <row r="12" spans="1:3" x14ac:dyDescent="0.25">
      <c r="A12" s="4" t="s">
        <v>53</v>
      </c>
      <c r="B12" s="4" t="s">
        <v>136</v>
      </c>
      <c r="C12" s="4">
        <v>318</v>
      </c>
    </row>
    <row r="13" spans="1:3" x14ac:dyDescent="0.25">
      <c r="A13" s="4" t="s">
        <v>54</v>
      </c>
      <c r="B13" s="4" t="s">
        <v>136</v>
      </c>
      <c r="C13" s="4">
        <v>318</v>
      </c>
    </row>
    <row r="14" spans="1:3" x14ac:dyDescent="0.25">
      <c r="A14" t="s">
        <v>55</v>
      </c>
      <c r="B14" t="s">
        <v>137</v>
      </c>
      <c r="C14">
        <v>231</v>
      </c>
    </row>
    <row r="15" spans="1:3" x14ac:dyDescent="0.25">
      <c r="A15" t="s">
        <v>56</v>
      </c>
    </row>
    <row r="16" spans="1:3" x14ac:dyDescent="0.25">
      <c r="A16" t="s">
        <v>57</v>
      </c>
      <c r="B16" t="s">
        <v>142</v>
      </c>
      <c r="C16">
        <v>269</v>
      </c>
    </row>
    <row r="17" spans="1:3" x14ac:dyDescent="0.25">
      <c r="A17" t="s">
        <v>58</v>
      </c>
    </row>
    <row r="18" spans="1:3" x14ac:dyDescent="0.25">
      <c r="A18" t="s">
        <v>121</v>
      </c>
    </row>
    <row r="19" spans="1:3" x14ac:dyDescent="0.25">
      <c r="A19" t="s">
        <v>60</v>
      </c>
      <c r="B19" t="s">
        <v>138</v>
      </c>
      <c r="C19">
        <v>22293</v>
      </c>
    </row>
    <row r="20" spans="1:3" x14ac:dyDescent="0.25">
      <c r="A20" t="s">
        <v>61</v>
      </c>
      <c r="B20" t="s">
        <v>143</v>
      </c>
      <c r="C20">
        <v>22295</v>
      </c>
    </row>
    <row r="21" spans="1:3" x14ac:dyDescent="0.25">
      <c r="A21" t="s">
        <v>62</v>
      </c>
    </row>
    <row r="22" spans="1:3" x14ac:dyDescent="0.25">
      <c r="A22" t="s">
        <v>63</v>
      </c>
      <c r="B22" t="s">
        <v>144</v>
      </c>
      <c r="C22">
        <v>22294</v>
      </c>
    </row>
    <row r="23" spans="1:3" x14ac:dyDescent="0.25">
      <c r="A23" t="s">
        <v>61</v>
      </c>
      <c r="B23" t="s">
        <v>145</v>
      </c>
      <c r="C23">
        <v>22296</v>
      </c>
    </row>
    <row r="24" spans="1:3" x14ac:dyDescent="0.25">
      <c r="A24" t="s">
        <v>64</v>
      </c>
      <c r="B24" t="s">
        <v>146</v>
      </c>
      <c r="C24">
        <v>16484</v>
      </c>
    </row>
    <row r="25" spans="1:3" x14ac:dyDescent="0.25">
      <c r="A25" t="s">
        <v>122</v>
      </c>
      <c r="B25" t="s">
        <v>147</v>
      </c>
      <c r="C25">
        <v>20019</v>
      </c>
    </row>
    <row r="26" spans="1:3" x14ac:dyDescent="0.25">
      <c r="A26" t="s">
        <v>66</v>
      </c>
      <c r="B26" t="s">
        <v>148</v>
      </c>
      <c r="C26">
        <v>282</v>
      </c>
    </row>
    <row r="27" spans="1:3" x14ac:dyDescent="0.25">
      <c r="A27" t="s">
        <v>67</v>
      </c>
      <c r="B27" t="s">
        <v>139</v>
      </c>
      <c r="C27">
        <v>309</v>
      </c>
    </row>
    <row r="28" spans="1:3" x14ac:dyDescent="0.25">
      <c r="A28" t="s">
        <v>68</v>
      </c>
    </row>
    <row r="29" spans="1:3" x14ac:dyDescent="0.25">
      <c r="A29" t="s">
        <v>69</v>
      </c>
      <c r="B29" t="s">
        <v>149</v>
      </c>
      <c r="C29">
        <v>222</v>
      </c>
    </row>
    <row r="30" spans="1:3" x14ac:dyDescent="0.25">
      <c r="A30" t="s">
        <v>70</v>
      </c>
      <c r="B30" t="s">
        <v>150</v>
      </c>
      <c r="C30">
        <v>234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/>
  </sheetViews>
  <sheetFormatPr defaultColWidth="8.5703125" defaultRowHeight="15" x14ac:dyDescent="0.25"/>
  <cols>
    <col min="1" max="1" width="40.85546875" customWidth="1"/>
    <col min="2" max="2" width="31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t="s">
        <v>43</v>
      </c>
      <c r="B2" t="str">
        <f>VLOOKUP(A2,'P&amp;L_Standalone'!A2:C31,2,0)</f>
        <v>Gross Sales/Income from Operations</v>
      </c>
      <c r="C2">
        <f>VLOOKUP(A2,'P&amp;L_Standalone'!A2:C31,3,0)</f>
        <v>256</v>
      </c>
    </row>
    <row r="3" spans="1:3" x14ac:dyDescent="0.25">
      <c r="A3" t="s">
        <v>44</v>
      </c>
      <c r="B3" t="str">
        <f>VLOOKUP(A3,'P&amp;L_Standalone'!A3:C32,2,0)</f>
        <v>Miscellaneous Income</v>
      </c>
      <c r="C3">
        <f>VLOOKUP(A3,'P&amp;L_Standalone'!A3:C32,3,0)</f>
        <v>265</v>
      </c>
    </row>
    <row r="4" spans="1:3" x14ac:dyDescent="0.25">
      <c r="A4" t="s">
        <v>45</v>
      </c>
      <c r="B4" t="str">
        <f>VLOOKUP(A4,'P&amp;L_Standalone'!A4:C33,2,0)</f>
        <v>Total Income</v>
      </c>
      <c r="C4">
        <f>VLOOKUP(A4,'P&amp;L_Standalone'!A4:C33,3,0)</f>
        <v>25238</v>
      </c>
    </row>
    <row r="5" spans="1:3" x14ac:dyDescent="0.25">
      <c r="A5" t="s">
        <v>46</v>
      </c>
    </row>
    <row r="6" spans="1:3" x14ac:dyDescent="0.25">
      <c r="A6" t="s">
        <v>47</v>
      </c>
      <c r="B6" t="str">
        <f>VLOOKUP(A6,'P&amp;L_Standalone'!A6:C35,2,0)</f>
        <v>Employee Benefit Expense</v>
      </c>
      <c r="C6">
        <f>VLOOKUP(A6,'P&amp;L_Standalone'!A6:C35,3,0)</f>
        <v>238</v>
      </c>
    </row>
    <row r="7" spans="1:3" x14ac:dyDescent="0.25">
      <c r="A7" t="s">
        <v>48</v>
      </c>
      <c r="B7" t="str">
        <f>VLOOKUP(A7,'P&amp;L_Standalone'!A7:C36,2,0)</f>
        <v>Finance Costs</v>
      </c>
      <c r="C7">
        <f>VLOOKUP(A7,'P&amp;L_Standalone'!A7:C36,3,0)</f>
        <v>246</v>
      </c>
    </row>
    <row r="8" spans="1:3" x14ac:dyDescent="0.25">
      <c r="A8" t="s">
        <v>49</v>
      </c>
      <c r="B8" t="str">
        <f>VLOOKUP(A8,'P&amp;L_Standalone'!A8:C37,2,0)</f>
        <v>Depreciation, Depletion and Amortisation Expense</v>
      </c>
      <c r="C8">
        <f>VLOOKUP(A8,'P&amp;L_Standalone'!A8:C37,3,0)</f>
        <v>232</v>
      </c>
    </row>
    <row r="9" spans="1:3" x14ac:dyDescent="0.25">
      <c r="A9" t="s">
        <v>50</v>
      </c>
      <c r="B9" t="str">
        <f>VLOOKUP(A9,'P&amp;L_Standalone'!A9:C38,2,0)</f>
        <v>Other Expenses</v>
      </c>
      <c r="C9">
        <f>VLOOKUP(A9,'P&amp;L_Standalone'!A9:C38,3,0)</f>
        <v>279</v>
      </c>
    </row>
    <row r="10" spans="1:3" x14ac:dyDescent="0.25">
      <c r="A10" t="s">
        <v>51</v>
      </c>
      <c r="B10" t="str">
        <f>VLOOKUP(A10,'P&amp;L_Standalone'!A10:C39,2,0)</f>
        <v>Total Expenses</v>
      </c>
      <c r="C10">
        <f>VLOOKUP(A10,'P&amp;L_Standalone'!A10:C39,3,0)</f>
        <v>320</v>
      </c>
    </row>
    <row r="11" spans="1:3" x14ac:dyDescent="0.25">
      <c r="A11" t="s">
        <v>52</v>
      </c>
      <c r="B11" t="str">
        <f>VLOOKUP(A11,'P&amp;L_Standalone'!A11:C40,2,0)</f>
        <v>Profit/(Loss) From Ordinary Activities before Tax</v>
      </c>
      <c r="C11">
        <f>VLOOKUP(A11,'P&amp;L_Standalone'!A11:C40,3,0)</f>
        <v>296</v>
      </c>
    </row>
    <row r="12" spans="1:3" x14ac:dyDescent="0.25">
      <c r="A12" s="4" t="s">
        <v>53</v>
      </c>
      <c r="B12" s="4" t="str">
        <f>VLOOKUP(A12,'P&amp;L_Standalone'!A12:C41,2,0)</f>
        <v>Tax Expense</v>
      </c>
      <c r="C12" s="4">
        <f>VLOOKUP(A12,'P&amp;L_Standalone'!A12:C41,3,0)</f>
        <v>318</v>
      </c>
    </row>
    <row r="13" spans="1:3" x14ac:dyDescent="0.25">
      <c r="A13" s="4" t="s">
        <v>54</v>
      </c>
      <c r="B13" s="4" t="str">
        <f>VLOOKUP(A13,'P&amp;L_Standalone'!A13:C42,2,0)</f>
        <v>Tax Expense</v>
      </c>
      <c r="C13" s="4">
        <f>VLOOKUP(A13,'P&amp;L_Standalone'!A13:C42,3,0)</f>
        <v>318</v>
      </c>
    </row>
    <row r="14" spans="1:3" x14ac:dyDescent="0.25">
      <c r="A14" t="s">
        <v>55</v>
      </c>
      <c r="B14" t="str">
        <f>VLOOKUP(A14,'P&amp;L_Standalone'!A14:C43,2,0)</f>
        <v>Deferred Tax</v>
      </c>
      <c r="C14">
        <f>VLOOKUP(A14,'P&amp;L_Standalone'!A14:C43,3,0)</f>
        <v>231</v>
      </c>
    </row>
    <row r="15" spans="1:3" x14ac:dyDescent="0.25">
      <c r="A15" t="s">
        <v>56</v>
      </c>
    </row>
    <row r="16" spans="1:3" x14ac:dyDescent="0.25">
      <c r="A16" t="s">
        <v>57</v>
      </c>
      <c r="B16" t="str">
        <f>VLOOKUP(A16,'P&amp;L_Standalone'!A16:C45,2,0)</f>
        <v>Net Profit/(Loss) for the Period</v>
      </c>
      <c r="C16">
        <f>VLOOKUP(A16,'P&amp;L_Standalone'!A16:C45,3,0)</f>
        <v>269</v>
      </c>
    </row>
    <row r="17" spans="1:3" x14ac:dyDescent="0.25">
      <c r="A17" t="s">
        <v>58</v>
      </c>
    </row>
    <row r="18" spans="1:3" x14ac:dyDescent="0.25">
      <c r="A18" t="s">
        <v>59</v>
      </c>
    </row>
    <row r="19" spans="1:3" x14ac:dyDescent="0.25">
      <c r="A19" t="s">
        <v>60</v>
      </c>
      <c r="B19" t="str">
        <f>VLOOKUP(A19,'P&amp;L_Standalone'!A19:C48,2,0)</f>
        <v>Items that will not be reclassified to Profit or Loss</v>
      </c>
      <c r="C19">
        <f>VLOOKUP(A19,'P&amp;L_Standalone'!A19:C48,3,0)</f>
        <v>22293</v>
      </c>
    </row>
    <row r="20" spans="1:3" x14ac:dyDescent="0.25">
      <c r="A20" t="s">
        <v>61</v>
      </c>
      <c r="B20" t="str">
        <f>VLOOKUP(A20,'P&amp;L_Standalone'!A20:C49,2,0)</f>
        <v>Income Tax related to items that will not be reclassified to Profit or Loss</v>
      </c>
      <c r="C20">
        <f>VLOOKUP(A20,'P&amp;L_Standalone'!A20:C49,3,0)</f>
        <v>22295</v>
      </c>
    </row>
    <row r="21" spans="1:3" x14ac:dyDescent="0.25">
      <c r="A21" t="s">
        <v>62</v>
      </c>
    </row>
    <row r="22" spans="1:3" x14ac:dyDescent="0.25">
      <c r="A22" t="s">
        <v>63</v>
      </c>
      <c r="B22" t="str">
        <f>VLOOKUP(A22,'P&amp;L_Standalone'!A22:C51,2,0)</f>
        <v>Items that will be reclassified to Profit or Loss</v>
      </c>
      <c r="C22">
        <f>VLOOKUP(A22,'P&amp;L_Standalone'!A22:C51,3,0)</f>
        <v>22294</v>
      </c>
    </row>
    <row r="23" spans="1:3" x14ac:dyDescent="0.25">
      <c r="A23" t="s">
        <v>61</v>
      </c>
      <c r="B23" t="str">
        <f>VLOOKUP(A23,'P&amp;L_Standalone'!A23:C52,2,0)</f>
        <v>Income Tax related to items that will be reclassified to Profit or Loss</v>
      </c>
      <c r="C23">
        <f>VLOOKUP(A23,'P&amp;L_Standalone'!A23:C52,3,0)</f>
        <v>22296</v>
      </c>
    </row>
    <row r="24" spans="1:3" x14ac:dyDescent="0.25">
      <c r="A24" t="s">
        <v>64</v>
      </c>
      <c r="B24" t="str">
        <f>VLOOKUP(A24,'P&amp;L_Standalone'!A24:C53,2,0)</f>
        <v>Other Comprehensive Income</v>
      </c>
      <c r="C24">
        <f>VLOOKUP(A24,'P&amp;L_Standalone'!A24:C53,3,0)</f>
        <v>16484</v>
      </c>
    </row>
    <row r="25" spans="1:3" x14ac:dyDescent="0.25">
      <c r="A25" t="s">
        <v>65</v>
      </c>
      <c r="B25" t="str">
        <f>VLOOKUP(A25,'P&amp;L_Standalone'!A25:C54,2,0)</f>
        <v>Total Comprehensive Gain (Loss) For the Year</v>
      </c>
      <c r="C25">
        <f>VLOOKUP(A25,'P&amp;L_Standalone'!A25:C54,3,0)</f>
        <v>20019</v>
      </c>
    </row>
    <row r="26" spans="1:3" x14ac:dyDescent="0.25">
      <c r="A26" t="s">
        <v>66</v>
      </c>
      <c r="B26" t="str">
        <f>VLOOKUP(A26,'P&amp;L_Standalone'!A26:C55,2,0)</f>
        <v>Paid-Up Equity Share Capital</v>
      </c>
      <c r="C26">
        <f>VLOOKUP(A26,'P&amp;L_Standalone'!A26:C55,3,0)</f>
        <v>282</v>
      </c>
    </row>
    <row r="27" spans="1:3" x14ac:dyDescent="0.25">
      <c r="A27" t="s">
        <v>67</v>
      </c>
      <c r="B27" t="str">
        <f>VLOOKUP(A27,'P&amp;L_Standalone'!A27:C56,2,0)</f>
        <v>Reserve excluding Revaluation Reserves (as per Balance Sheet of Previous Accounting Year)</v>
      </c>
      <c r="C27">
        <f>VLOOKUP(A27,'P&amp;L_Standalone'!A27:C56,3,0)</f>
        <v>309</v>
      </c>
    </row>
    <row r="28" spans="1:3" x14ac:dyDescent="0.25">
      <c r="A28" s="1" t="s">
        <v>68</v>
      </c>
    </row>
    <row r="29" spans="1:3" x14ac:dyDescent="0.25">
      <c r="A29" t="s">
        <v>69</v>
      </c>
      <c r="B29" t="str">
        <f>VLOOKUP(A29,'P&amp;L_Standalone'!A29:C58,2,0)</f>
        <v>Basic EPS</v>
      </c>
      <c r="C29">
        <f>VLOOKUP(A29,'P&amp;L_Standalone'!A29:C58,3,0)</f>
        <v>222</v>
      </c>
    </row>
    <row r="30" spans="1:3" x14ac:dyDescent="0.25">
      <c r="A30" t="s">
        <v>70</v>
      </c>
      <c r="B30" t="str">
        <f>VLOOKUP(A30,'P&amp;L_Standalone'!A30:C59,2,0)</f>
        <v>Diluted EPS</v>
      </c>
      <c r="C30">
        <f>VLOOKUP(A30,'P&amp;L_Standalone'!A30:C59,3,0)</f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topLeftCell="A29" zoomScaleNormal="100" workbookViewId="0">
      <selection activeCell="C48" sqref="C1:C1048576"/>
    </sheetView>
  </sheetViews>
  <sheetFormatPr defaultColWidth="8.5703125" defaultRowHeight="15" x14ac:dyDescent="0.25"/>
  <cols>
    <col min="1" max="1" width="55.7109375" customWidth="1"/>
    <col min="2" max="2" width="29.42578125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115</v>
      </c>
      <c r="B4" t="s">
        <v>151</v>
      </c>
      <c r="C4">
        <v>20222</v>
      </c>
    </row>
    <row r="5" spans="1:3" x14ac:dyDescent="0.25">
      <c r="A5" t="s">
        <v>3</v>
      </c>
      <c r="B5" t="s">
        <v>167</v>
      </c>
      <c r="C5">
        <v>30342</v>
      </c>
    </row>
    <row r="6" spans="1:3" x14ac:dyDescent="0.25">
      <c r="A6" t="s">
        <v>116</v>
      </c>
      <c r="B6" t="s">
        <v>116</v>
      </c>
      <c r="C6">
        <v>20221</v>
      </c>
    </row>
    <row r="7" spans="1:3" x14ac:dyDescent="0.25">
      <c r="A7" t="s">
        <v>117</v>
      </c>
      <c r="B7" t="s">
        <v>6</v>
      </c>
      <c r="C7">
        <v>13736</v>
      </c>
    </row>
    <row r="8" spans="1:3" x14ac:dyDescent="0.25">
      <c r="A8" t="s">
        <v>7</v>
      </c>
    </row>
    <row r="9" spans="1:3" x14ac:dyDescent="0.25">
      <c r="A9" t="s">
        <v>118</v>
      </c>
      <c r="B9" t="s">
        <v>152</v>
      </c>
      <c r="C9">
        <v>13748</v>
      </c>
    </row>
    <row r="10" spans="1:3" x14ac:dyDescent="0.25">
      <c r="A10" t="s">
        <v>8</v>
      </c>
      <c r="B10" t="s">
        <v>153</v>
      </c>
      <c r="C10">
        <v>20216</v>
      </c>
    </row>
    <row r="11" spans="1:3" x14ac:dyDescent="0.25">
      <c r="A11" t="s">
        <v>9</v>
      </c>
      <c r="B11" t="s">
        <v>168</v>
      </c>
      <c r="C11">
        <v>20215</v>
      </c>
    </row>
    <row r="12" spans="1:3" x14ac:dyDescent="0.25">
      <c r="A12" t="s">
        <v>10</v>
      </c>
      <c r="B12" t="s">
        <v>154</v>
      </c>
      <c r="C12">
        <v>13753</v>
      </c>
    </row>
    <row r="13" spans="1:3" x14ac:dyDescent="0.25">
      <c r="A13" t="s">
        <v>11</v>
      </c>
      <c r="B13" t="s">
        <v>155</v>
      </c>
      <c r="C13">
        <v>13777</v>
      </c>
    </row>
    <row r="14" spans="1:3" x14ac:dyDescent="0.25">
      <c r="A14" t="s">
        <v>12</v>
      </c>
    </row>
    <row r="15" spans="1:3" x14ac:dyDescent="0.25">
      <c r="A15" t="s">
        <v>7</v>
      </c>
    </row>
    <row r="16" spans="1:3" x14ac:dyDescent="0.25">
      <c r="A16" t="s">
        <v>119</v>
      </c>
      <c r="B16" t="s">
        <v>169</v>
      </c>
      <c r="C16">
        <v>13780</v>
      </c>
    </row>
    <row r="17" spans="1:3" x14ac:dyDescent="0.25">
      <c r="A17" s="5" t="s">
        <v>14</v>
      </c>
      <c r="B17" s="5" t="s">
        <v>170</v>
      </c>
      <c r="C17" s="5">
        <v>20232</v>
      </c>
    </row>
    <row r="18" spans="1:3" x14ac:dyDescent="0.25">
      <c r="A18" t="s">
        <v>15</v>
      </c>
      <c r="B18" t="s">
        <v>156</v>
      </c>
      <c r="C18">
        <v>13722</v>
      </c>
    </row>
    <row r="19" spans="1:3" x14ac:dyDescent="0.25">
      <c r="A19" t="s">
        <v>16</v>
      </c>
      <c r="B19" t="s">
        <v>171</v>
      </c>
      <c r="C19">
        <v>29788</v>
      </c>
    </row>
    <row r="20" spans="1:3" x14ac:dyDescent="0.25">
      <c r="A20" t="s">
        <v>17</v>
      </c>
      <c r="B20" t="s">
        <v>157</v>
      </c>
      <c r="C20">
        <v>20230</v>
      </c>
    </row>
    <row r="21" spans="1:3" x14ac:dyDescent="0.25">
      <c r="A21" t="s">
        <v>18</v>
      </c>
      <c r="B21" t="s">
        <v>172</v>
      </c>
      <c r="C21">
        <v>13750</v>
      </c>
    </row>
    <row r="22" spans="1:3" x14ac:dyDescent="0.25">
      <c r="A22" t="s">
        <v>19</v>
      </c>
      <c r="B22" t="s">
        <v>173</v>
      </c>
      <c r="C22">
        <v>13774</v>
      </c>
    </row>
    <row r="23" spans="1:3" x14ac:dyDescent="0.25">
      <c r="A23" t="s">
        <v>120</v>
      </c>
      <c r="B23" t="s">
        <v>120</v>
      </c>
      <c r="C23">
        <v>13771</v>
      </c>
    </row>
    <row r="24" spans="1:3" x14ac:dyDescent="0.25">
      <c r="A24" t="s">
        <v>21</v>
      </c>
    </row>
    <row r="25" spans="1:3" x14ac:dyDescent="0.25">
      <c r="A25" t="s">
        <v>22</v>
      </c>
    </row>
    <row r="26" spans="1:3" x14ac:dyDescent="0.25">
      <c r="A26" t="s">
        <v>23</v>
      </c>
      <c r="B26" t="s">
        <v>158</v>
      </c>
      <c r="C26">
        <v>13765</v>
      </c>
    </row>
    <row r="27" spans="1:3" x14ac:dyDescent="0.25">
      <c r="A27" t="s">
        <v>24</v>
      </c>
      <c r="B27" t="s">
        <v>159</v>
      </c>
      <c r="C27">
        <v>13762</v>
      </c>
    </row>
    <row r="28" spans="1:3" x14ac:dyDescent="0.25">
      <c r="A28" t="s">
        <v>25</v>
      </c>
      <c r="B28" t="s">
        <v>160</v>
      </c>
      <c r="C28">
        <v>13773</v>
      </c>
    </row>
    <row r="29" spans="1:3" x14ac:dyDescent="0.25">
      <c r="A29" t="s">
        <v>26</v>
      </c>
    </row>
    <row r="30" spans="1:3" x14ac:dyDescent="0.25">
      <c r="A30" t="s">
        <v>27</v>
      </c>
    </row>
    <row r="31" spans="1:3" x14ac:dyDescent="0.25">
      <c r="A31" t="s">
        <v>28</v>
      </c>
    </row>
    <row r="32" spans="1:3" x14ac:dyDescent="0.25">
      <c r="A32" t="s">
        <v>29</v>
      </c>
      <c r="B32" t="s">
        <v>29</v>
      </c>
      <c r="C32">
        <v>30340</v>
      </c>
    </row>
    <row r="33" spans="1:3" x14ac:dyDescent="0.25">
      <c r="A33" t="s">
        <v>30</v>
      </c>
      <c r="B33" t="s">
        <v>161</v>
      </c>
      <c r="C33">
        <v>13743</v>
      </c>
    </row>
    <row r="34" spans="1:3" x14ac:dyDescent="0.25">
      <c r="A34" t="s">
        <v>31</v>
      </c>
      <c r="B34" t="s">
        <v>162</v>
      </c>
      <c r="C34">
        <v>13727</v>
      </c>
    </row>
    <row r="35" spans="1:3" x14ac:dyDescent="0.25">
      <c r="A35" t="s">
        <v>32</v>
      </c>
      <c r="B35" t="s">
        <v>163</v>
      </c>
      <c r="C35">
        <v>13778</v>
      </c>
    </row>
    <row r="36" spans="1:3" x14ac:dyDescent="0.25">
      <c r="A36" t="s">
        <v>33</v>
      </c>
    </row>
    <row r="37" spans="1:3" x14ac:dyDescent="0.25">
      <c r="A37" t="s">
        <v>28</v>
      </c>
    </row>
    <row r="38" spans="1:3" x14ac:dyDescent="0.25">
      <c r="A38" t="s">
        <v>34</v>
      </c>
      <c r="B38" t="s">
        <v>34</v>
      </c>
      <c r="C38">
        <v>20209</v>
      </c>
    </row>
    <row r="39" spans="1:3" x14ac:dyDescent="0.25">
      <c r="A39" t="s">
        <v>29</v>
      </c>
      <c r="B39" t="s">
        <v>29</v>
      </c>
      <c r="C39">
        <v>25716</v>
      </c>
    </row>
    <row r="40" spans="1:3" x14ac:dyDescent="0.25">
      <c r="A40" s="4" t="s">
        <v>35</v>
      </c>
      <c r="B40" s="4"/>
      <c r="C40" s="4"/>
    </row>
    <row r="41" spans="1:3" x14ac:dyDescent="0.25">
      <c r="A41" s="4" t="s">
        <v>36</v>
      </c>
      <c r="B41" s="4" t="s">
        <v>164</v>
      </c>
      <c r="C41" s="4">
        <v>13779</v>
      </c>
    </row>
    <row r="42" spans="1:3" x14ac:dyDescent="0.25">
      <c r="A42" s="4" t="s">
        <v>37</v>
      </c>
      <c r="B42" s="4" t="s">
        <v>164</v>
      </c>
      <c r="C42" s="4">
        <v>13779</v>
      </c>
    </row>
    <row r="43" spans="1:3" x14ac:dyDescent="0.25">
      <c r="A43" t="s">
        <v>38</v>
      </c>
      <c r="B43" t="s">
        <v>174</v>
      </c>
      <c r="C43">
        <v>26450</v>
      </c>
    </row>
    <row r="44" spans="1:3" x14ac:dyDescent="0.25">
      <c r="A44" t="s">
        <v>30</v>
      </c>
      <c r="B44" t="s">
        <v>175</v>
      </c>
      <c r="C44">
        <v>13767</v>
      </c>
    </row>
    <row r="45" spans="1:3" x14ac:dyDescent="0.25">
      <c r="A45" t="s">
        <v>39</v>
      </c>
      <c r="B45" t="s">
        <v>165</v>
      </c>
      <c r="C45">
        <v>20211</v>
      </c>
    </row>
    <row r="46" spans="1:3" x14ac:dyDescent="0.25">
      <c r="A46" t="s">
        <v>40</v>
      </c>
      <c r="B46" t="s">
        <v>176</v>
      </c>
      <c r="C46">
        <v>13751</v>
      </c>
    </row>
    <row r="47" spans="1:3" x14ac:dyDescent="0.25">
      <c r="A47" t="s">
        <v>41</v>
      </c>
    </row>
    <row r="48" spans="1:3" x14ac:dyDescent="0.25">
      <c r="A48" t="s">
        <v>42</v>
      </c>
      <c r="B48" t="s">
        <v>166</v>
      </c>
      <c r="C48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2" zoomScaleNormal="100" workbookViewId="0">
      <selection activeCell="C49" sqref="C1:C1048576"/>
    </sheetView>
  </sheetViews>
  <sheetFormatPr defaultColWidth="8.5703125" defaultRowHeight="15" x14ac:dyDescent="0.25"/>
  <cols>
    <col min="1" max="1" width="58.85546875" customWidth="1"/>
    <col min="2" max="2" width="39.7109375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151</v>
      </c>
      <c r="C4">
        <v>20222</v>
      </c>
    </row>
    <row r="5" spans="1:3" x14ac:dyDescent="0.25">
      <c r="A5" t="s">
        <v>3</v>
      </c>
      <c r="B5" t="s">
        <v>167</v>
      </c>
      <c r="C5">
        <v>30342</v>
      </c>
    </row>
    <row r="6" spans="1:3" x14ac:dyDescent="0.25">
      <c r="A6" t="s">
        <v>4</v>
      </c>
      <c r="B6" t="s">
        <v>177</v>
      </c>
      <c r="C6">
        <v>13734</v>
      </c>
    </row>
    <row r="7" spans="1:3" x14ac:dyDescent="0.25">
      <c r="A7" t="s">
        <v>5</v>
      </c>
      <c r="B7" t="s">
        <v>116</v>
      </c>
      <c r="C7">
        <v>20221</v>
      </c>
    </row>
    <row r="8" spans="1:3" x14ac:dyDescent="0.25">
      <c r="A8" t="s">
        <v>6</v>
      </c>
      <c r="B8" t="s">
        <v>178</v>
      </c>
      <c r="C8">
        <v>13736</v>
      </c>
    </row>
    <row r="9" spans="1:3" x14ac:dyDescent="0.25">
      <c r="A9" t="s">
        <v>7</v>
      </c>
    </row>
    <row r="10" spans="1:3" x14ac:dyDescent="0.25">
      <c r="A10" t="s">
        <v>8</v>
      </c>
      <c r="B10" t="s">
        <v>153</v>
      </c>
      <c r="C10">
        <v>20216</v>
      </c>
    </row>
    <row r="11" spans="1:3" x14ac:dyDescent="0.25">
      <c r="A11" t="s">
        <v>9</v>
      </c>
      <c r="B11" t="s">
        <v>168</v>
      </c>
      <c r="C11">
        <v>20215</v>
      </c>
    </row>
    <row r="12" spans="1:3" x14ac:dyDescent="0.25">
      <c r="A12" t="s">
        <v>10</v>
      </c>
      <c r="B12" t="s">
        <v>154</v>
      </c>
      <c r="C12">
        <v>13753</v>
      </c>
    </row>
    <row r="13" spans="1:3" x14ac:dyDescent="0.25">
      <c r="A13" t="s">
        <v>11</v>
      </c>
      <c r="B13" t="s">
        <v>155</v>
      </c>
      <c r="C13">
        <v>13777</v>
      </c>
    </row>
    <row r="14" spans="1:3" x14ac:dyDescent="0.25">
      <c r="A14" t="s">
        <v>12</v>
      </c>
    </row>
    <row r="15" spans="1:3" x14ac:dyDescent="0.25">
      <c r="A15" t="s">
        <v>7</v>
      </c>
    </row>
    <row r="16" spans="1:3" x14ac:dyDescent="0.25">
      <c r="A16" t="s">
        <v>13</v>
      </c>
      <c r="B16" t="s">
        <v>169</v>
      </c>
      <c r="C16">
        <v>13780</v>
      </c>
    </row>
    <row r="17" spans="1:3" x14ac:dyDescent="0.25">
      <c r="A17" s="2" t="s">
        <v>14</v>
      </c>
      <c r="B17" s="2" t="s">
        <v>170</v>
      </c>
      <c r="C17" s="2">
        <v>20232</v>
      </c>
    </row>
    <row r="18" spans="1:3" x14ac:dyDescent="0.25">
      <c r="A18" t="s">
        <v>15</v>
      </c>
      <c r="B18" t="s">
        <v>156</v>
      </c>
      <c r="C18">
        <v>13722</v>
      </c>
    </row>
    <row r="19" spans="1:3" x14ac:dyDescent="0.25">
      <c r="A19" t="s">
        <v>16</v>
      </c>
      <c r="B19" t="s">
        <v>171</v>
      </c>
      <c r="C19">
        <v>29788</v>
      </c>
    </row>
    <row r="20" spans="1:3" x14ac:dyDescent="0.25">
      <c r="A20" t="s">
        <v>17</v>
      </c>
      <c r="B20" t="s">
        <v>157</v>
      </c>
      <c r="C20">
        <v>20230</v>
      </c>
    </row>
    <row r="21" spans="1:3" x14ac:dyDescent="0.25">
      <c r="A21" t="s">
        <v>18</v>
      </c>
      <c r="B21" t="s">
        <v>172</v>
      </c>
      <c r="C21">
        <v>13750</v>
      </c>
    </row>
    <row r="22" spans="1:3" x14ac:dyDescent="0.25">
      <c r="A22" t="s">
        <v>19</v>
      </c>
      <c r="B22" t="s">
        <v>173</v>
      </c>
      <c r="C22">
        <v>13774</v>
      </c>
    </row>
    <row r="23" spans="1:3" x14ac:dyDescent="0.25">
      <c r="A23" t="s">
        <v>20</v>
      </c>
      <c r="B23" t="s">
        <v>120</v>
      </c>
      <c r="C23">
        <v>13771</v>
      </c>
    </row>
    <row r="24" spans="1:3" x14ac:dyDescent="0.25">
      <c r="A24" t="s">
        <v>21</v>
      </c>
    </row>
    <row r="25" spans="1:3" x14ac:dyDescent="0.25">
      <c r="A25" t="s">
        <v>22</v>
      </c>
    </row>
    <row r="26" spans="1:3" x14ac:dyDescent="0.25">
      <c r="A26" t="s">
        <v>23</v>
      </c>
      <c r="B26" t="s">
        <v>158</v>
      </c>
      <c r="C26">
        <v>13765</v>
      </c>
    </row>
    <row r="27" spans="1:3" x14ac:dyDescent="0.25">
      <c r="A27" t="s">
        <v>24</v>
      </c>
      <c r="B27" t="s">
        <v>159</v>
      </c>
      <c r="C27">
        <v>13762</v>
      </c>
    </row>
    <row r="28" spans="1:3" x14ac:dyDescent="0.25">
      <c r="A28" t="s">
        <v>25</v>
      </c>
      <c r="B28" t="s">
        <v>160</v>
      </c>
      <c r="C28">
        <v>13773</v>
      </c>
    </row>
    <row r="29" spans="1:3" x14ac:dyDescent="0.25">
      <c r="A29" t="s">
        <v>26</v>
      </c>
    </row>
    <row r="30" spans="1:3" x14ac:dyDescent="0.25">
      <c r="A30" t="s">
        <v>27</v>
      </c>
    </row>
    <row r="31" spans="1:3" x14ac:dyDescent="0.25">
      <c r="A31" t="s">
        <v>28</v>
      </c>
    </row>
    <row r="32" spans="1:3" x14ac:dyDescent="0.25">
      <c r="A32" t="s">
        <v>29</v>
      </c>
      <c r="B32" t="s">
        <v>29</v>
      </c>
      <c r="C32">
        <v>30340</v>
      </c>
    </row>
    <row r="33" spans="1:3" x14ac:dyDescent="0.25">
      <c r="A33" t="s">
        <v>30</v>
      </c>
      <c r="B33" t="s">
        <v>161</v>
      </c>
      <c r="C33">
        <v>13743</v>
      </c>
    </row>
    <row r="34" spans="1:3" x14ac:dyDescent="0.25">
      <c r="A34" t="s">
        <v>31</v>
      </c>
      <c r="B34" t="s">
        <v>162</v>
      </c>
      <c r="C34">
        <v>13727</v>
      </c>
    </row>
    <row r="35" spans="1:3" x14ac:dyDescent="0.25">
      <c r="A35" t="s">
        <v>32</v>
      </c>
      <c r="B35" t="s">
        <v>163</v>
      </c>
      <c r="C35">
        <v>13778</v>
      </c>
    </row>
    <row r="36" spans="1:3" x14ac:dyDescent="0.25">
      <c r="A36" t="s">
        <v>33</v>
      </c>
    </row>
    <row r="37" spans="1:3" x14ac:dyDescent="0.25">
      <c r="A37" t="s">
        <v>28</v>
      </c>
    </row>
    <row r="38" spans="1:3" x14ac:dyDescent="0.25">
      <c r="A38" t="s">
        <v>34</v>
      </c>
      <c r="B38" t="s">
        <v>34</v>
      </c>
      <c r="C38">
        <v>20209</v>
      </c>
    </row>
    <row r="39" spans="1:3" x14ac:dyDescent="0.25">
      <c r="A39" t="s">
        <v>29</v>
      </c>
      <c r="B39" t="s">
        <v>29</v>
      </c>
      <c r="C39">
        <v>25716</v>
      </c>
    </row>
    <row r="40" spans="1:3" x14ac:dyDescent="0.25">
      <c r="A40" s="4" t="s">
        <v>35</v>
      </c>
      <c r="B40" s="4"/>
      <c r="C40" s="4"/>
    </row>
    <row r="41" spans="1:3" x14ac:dyDescent="0.25">
      <c r="A41" s="4" t="s">
        <v>36</v>
      </c>
      <c r="B41" s="4" t="s">
        <v>164</v>
      </c>
      <c r="C41" s="4">
        <v>13779</v>
      </c>
    </row>
    <row r="42" spans="1:3" x14ac:dyDescent="0.25">
      <c r="A42" s="4" t="s">
        <v>37</v>
      </c>
      <c r="B42" s="4" t="s">
        <v>164</v>
      </c>
      <c r="C42" s="4">
        <v>13779</v>
      </c>
    </row>
    <row r="43" spans="1:3" x14ac:dyDescent="0.25">
      <c r="A43" t="s">
        <v>38</v>
      </c>
      <c r="B43" t="s">
        <v>174</v>
      </c>
      <c r="C43">
        <v>26450</v>
      </c>
    </row>
    <row r="44" spans="1:3" x14ac:dyDescent="0.25">
      <c r="A44" t="s">
        <v>30</v>
      </c>
      <c r="B44" t="s">
        <v>175</v>
      </c>
      <c r="C44">
        <v>13767</v>
      </c>
    </row>
    <row r="45" spans="1:3" x14ac:dyDescent="0.25">
      <c r="A45" t="s">
        <v>39</v>
      </c>
      <c r="B45" t="s">
        <v>165</v>
      </c>
      <c r="C45">
        <v>20211</v>
      </c>
    </row>
    <row r="46" spans="1:3" x14ac:dyDescent="0.25">
      <c r="A46" t="s">
        <v>40</v>
      </c>
      <c r="B46" t="s">
        <v>176</v>
      </c>
      <c r="C46">
        <v>13751</v>
      </c>
    </row>
    <row r="47" spans="1:3" x14ac:dyDescent="0.25">
      <c r="A47" t="s">
        <v>41</v>
      </c>
    </row>
    <row r="48" spans="1:3" x14ac:dyDescent="0.25">
      <c r="A48" t="s">
        <v>42</v>
      </c>
      <c r="B48" t="s">
        <v>166</v>
      </c>
      <c r="C48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zoomScaleNormal="100" workbookViewId="0">
      <selection activeCell="C41" sqref="C41"/>
    </sheetView>
  </sheetViews>
  <sheetFormatPr defaultColWidth="10.140625" defaultRowHeight="15" x14ac:dyDescent="0.25"/>
  <cols>
    <col min="1" max="1" width="67.85546875" customWidth="1"/>
    <col min="2" max="2" width="39.140625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s="2" t="s">
        <v>71</v>
      </c>
      <c r="B2" s="2"/>
      <c r="C2" s="2"/>
    </row>
    <row r="3" spans="1:3" x14ac:dyDescent="0.25">
      <c r="A3" s="2" t="s">
        <v>52</v>
      </c>
      <c r="B3" s="2" t="s">
        <v>184</v>
      </c>
      <c r="C3" s="2">
        <v>17539</v>
      </c>
    </row>
    <row r="4" spans="1:3" x14ac:dyDescent="0.25">
      <c r="A4" s="2" t="s">
        <v>72</v>
      </c>
      <c r="B4" s="2"/>
      <c r="C4" s="2"/>
    </row>
    <row r="5" spans="1:3" x14ac:dyDescent="0.25">
      <c r="A5" s="2" t="s">
        <v>73</v>
      </c>
      <c r="B5" s="2" t="s">
        <v>185</v>
      </c>
      <c r="C5" s="2">
        <v>30399</v>
      </c>
    </row>
    <row r="6" spans="1:3" x14ac:dyDescent="0.25">
      <c r="A6" s="2" t="s">
        <v>48</v>
      </c>
      <c r="B6" s="2" t="s">
        <v>179</v>
      </c>
      <c r="C6" s="2">
        <v>30479</v>
      </c>
    </row>
    <row r="7" spans="1:3" x14ac:dyDescent="0.25">
      <c r="A7" s="2" t="s">
        <v>74</v>
      </c>
      <c r="B7" s="2" t="s">
        <v>180</v>
      </c>
      <c r="C7" s="2">
        <v>30481</v>
      </c>
    </row>
    <row r="8" spans="1:3" x14ac:dyDescent="0.25">
      <c r="A8" s="2" t="s">
        <v>75</v>
      </c>
      <c r="B8" s="2" t="s">
        <v>186</v>
      </c>
      <c r="C8" s="2">
        <v>17542</v>
      </c>
    </row>
    <row r="9" spans="1:3" x14ac:dyDescent="0.25">
      <c r="A9" s="2" t="s">
        <v>76</v>
      </c>
      <c r="B9" s="2" t="s">
        <v>190</v>
      </c>
      <c r="C9" s="2">
        <v>30411</v>
      </c>
    </row>
    <row r="10" spans="1:3" x14ac:dyDescent="0.25">
      <c r="A10" s="7" t="s">
        <v>77</v>
      </c>
      <c r="B10" s="7" t="s">
        <v>187</v>
      </c>
      <c r="C10" s="7">
        <v>30632</v>
      </c>
    </row>
    <row r="11" spans="1:3" x14ac:dyDescent="0.25">
      <c r="A11" s="7" t="s">
        <v>78</v>
      </c>
      <c r="B11" s="7" t="s">
        <v>187</v>
      </c>
      <c r="C11" s="7">
        <v>30632</v>
      </c>
    </row>
    <row r="12" spans="1:3" x14ac:dyDescent="0.25">
      <c r="A12" s="2" t="s">
        <v>79</v>
      </c>
      <c r="B12" s="2" t="s">
        <v>188</v>
      </c>
      <c r="C12" s="2">
        <v>30414</v>
      </c>
    </row>
    <row r="13" spans="1:3" x14ac:dyDescent="0.25">
      <c r="A13" s="2" t="s">
        <v>80</v>
      </c>
      <c r="B13" s="2" t="s">
        <v>189</v>
      </c>
      <c r="C13" s="2">
        <v>30576</v>
      </c>
    </row>
    <row r="14" spans="1:3" x14ac:dyDescent="0.25">
      <c r="A14" s="2" t="s">
        <v>81</v>
      </c>
      <c r="B14" s="2" t="s">
        <v>181</v>
      </c>
      <c r="C14" s="2">
        <v>30511</v>
      </c>
    </row>
    <row r="15" spans="1:3" x14ac:dyDescent="0.25">
      <c r="A15" s="2" t="s">
        <v>82</v>
      </c>
      <c r="B15" s="2"/>
      <c r="C15" s="2"/>
    </row>
    <row r="16" spans="1:3" x14ac:dyDescent="0.25">
      <c r="A16" s="2" t="s">
        <v>83</v>
      </c>
      <c r="B16" s="2" t="s">
        <v>191</v>
      </c>
      <c r="C16" s="2">
        <v>30674</v>
      </c>
    </row>
    <row r="17" spans="1:3" x14ac:dyDescent="0.25">
      <c r="A17" s="2" t="s">
        <v>84</v>
      </c>
      <c r="B17" s="2" t="s">
        <v>192</v>
      </c>
      <c r="C17" s="2">
        <v>30452</v>
      </c>
    </row>
    <row r="18" spans="1:3" x14ac:dyDescent="0.25">
      <c r="A18" s="2" t="s">
        <v>123</v>
      </c>
      <c r="B18" s="2" t="s">
        <v>182</v>
      </c>
      <c r="C18" s="2">
        <v>30675</v>
      </c>
    </row>
    <row r="19" spans="1:3" x14ac:dyDescent="0.25">
      <c r="A19" s="2" t="s">
        <v>86</v>
      </c>
      <c r="B19" s="2" t="s">
        <v>193</v>
      </c>
      <c r="C19" s="2">
        <v>30454</v>
      </c>
    </row>
    <row r="20" spans="1:3" x14ac:dyDescent="0.25">
      <c r="A20" s="2" t="s">
        <v>87</v>
      </c>
      <c r="B20" s="2" t="s">
        <v>194</v>
      </c>
      <c r="C20" s="2">
        <v>30422</v>
      </c>
    </row>
    <row r="21" spans="1:3" x14ac:dyDescent="0.25">
      <c r="A21" s="2" t="s">
        <v>88</v>
      </c>
      <c r="B21" s="2" t="s">
        <v>195</v>
      </c>
      <c r="C21" s="2">
        <v>17538</v>
      </c>
    </row>
    <row r="22" spans="1:3" x14ac:dyDescent="0.25">
      <c r="A22" s="2" t="s">
        <v>89</v>
      </c>
      <c r="B22" s="2"/>
      <c r="C22" s="2"/>
    </row>
    <row r="23" spans="1:3" x14ac:dyDescent="0.25">
      <c r="A23" s="7" t="s">
        <v>90</v>
      </c>
      <c r="B23" s="7" t="s">
        <v>196</v>
      </c>
      <c r="C23" s="7">
        <v>17556</v>
      </c>
    </row>
    <row r="24" spans="1:3" x14ac:dyDescent="0.25">
      <c r="A24" s="2" t="s">
        <v>91</v>
      </c>
      <c r="B24" s="2" t="s">
        <v>197</v>
      </c>
      <c r="C24" s="2">
        <v>30662</v>
      </c>
    </row>
    <row r="25" spans="1:3" x14ac:dyDescent="0.25">
      <c r="A25" s="7" t="s">
        <v>124</v>
      </c>
      <c r="B25" s="7" t="s">
        <v>210</v>
      </c>
      <c r="C25" s="7">
        <v>17545</v>
      </c>
    </row>
    <row r="26" spans="1:3" x14ac:dyDescent="0.25">
      <c r="A26" s="2" t="s">
        <v>6</v>
      </c>
      <c r="B26" s="2" t="s">
        <v>198</v>
      </c>
      <c r="C26" s="2">
        <v>30473</v>
      </c>
    </row>
    <row r="27" spans="1:3" x14ac:dyDescent="0.25">
      <c r="A27" s="7" t="s">
        <v>93</v>
      </c>
      <c r="B27" s="7" t="s">
        <v>210</v>
      </c>
      <c r="C27" s="7">
        <v>17545</v>
      </c>
    </row>
    <row r="28" spans="1:3" x14ac:dyDescent="0.25">
      <c r="A28" s="2" t="s">
        <v>125</v>
      </c>
      <c r="B28" s="2" t="s">
        <v>211</v>
      </c>
      <c r="C28" s="2">
        <v>17772</v>
      </c>
    </row>
    <row r="29" spans="1:3" x14ac:dyDescent="0.25">
      <c r="A29" s="7" t="s">
        <v>96</v>
      </c>
      <c r="B29" s="7" t="s">
        <v>196</v>
      </c>
      <c r="C29" s="7">
        <v>17556</v>
      </c>
    </row>
    <row r="30" spans="1:3" x14ac:dyDescent="0.25">
      <c r="A30" s="2" t="s">
        <v>97</v>
      </c>
      <c r="B30" s="2" t="s">
        <v>183</v>
      </c>
      <c r="C30" s="2">
        <v>30485</v>
      </c>
    </row>
    <row r="31" spans="1:3" x14ac:dyDescent="0.25">
      <c r="A31" s="2" t="s">
        <v>98</v>
      </c>
      <c r="B31" s="2" t="s">
        <v>199</v>
      </c>
      <c r="C31" s="2">
        <v>30412</v>
      </c>
    </row>
    <row r="32" spans="1:3" x14ac:dyDescent="0.25">
      <c r="A32" s="2" t="s">
        <v>99</v>
      </c>
      <c r="B32" s="2" t="s">
        <v>200</v>
      </c>
      <c r="C32" s="2">
        <v>17537</v>
      </c>
    </row>
    <row r="33" spans="1:3" x14ac:dyDescent="0.25">
      <c r="A33" s="2" t="s">
        <v>100</v>
      </c>
      <c r="B33" s="2"/>
      <c r="C33" s="2"/>
    </row>
    <row r="34" spans="1:3" x14ac:dyDescent="0.25">
      <c r="A34" s="2" t="s">
        <v>101</v>
      </c>
      <c r="B34" s="2" t="s">
        <v>201</v>
      </c>
      <c r="C34" s="2">
        <v>17554</v>
      </c>
    </row>
    <row r="35" spans="1:3" x14ac:dyDescent="0.25">
      <c r="A35" s="2" t="s">
        <v>102</v>
      </c>
      <c r="B35" s="2" t="s">
        <v>202</v>
      </c>
      <c r="C35" s="2">
        <v>17553</v>
      </c>
    </row>
    <row r="36" spans="1:3" x14ac:dyDescent="0.25">
      <c r="A36" s="2" t="s">
        <v>104</v>
      </c>
      <c r="B36" s="2" t="s">
        <v>203</v>
      </c>
      <c r="C36" s="2">
        <v>30658</v>
      </c>
    </row>
    <row r="37" spans="1:3" x14ac:dyDescent="0.25">
      <c r="A37" s="2" t="s">
        <v>103</v>
      </c>
      <c r="B37" s="2" t="s">
        <v>204</v>
      </c>
      <c r="C37" s="2">
        <v>30467</v>
      </c>
    </row>
    <row r="38" spans="1:3" x14ac:dyDescent="0.25">
      <c r="A38" s="2" t="s">
        <v>105</v>
      </c>
      <c r="B38" s="2" t="s">
        <v>205</v>
      </c>
      <c r="C38" s="2">
        <v>30484</v>
      </c>
    </row>
    <row r="39" spans="1:3" x14ac:dyDescent="0.25">
      <c r="A39" s="2" t="s">
        <v>106</v>
      </c>
      <c r="B39" s="2" t="s">
        <v>206</v>
      </c>
      <c r="C39" s="2">
        <v>17536</v>
      </c>
    </row>
    <row r="40" spans="1:3" x14ac:dyDescent="0.25">
      <c r="A40" s="2" t="s">
        <v>107</v>
      </c>
      <c r="B40" s="2" t="s">
        <v>207</v>
      </c>
      <c r="C40" s="2">
        <v>17541</v>
      </c>
    </row>
    <row r="41" spans="1:3" x14ac:dyDescent="0.25">
      <c r="A41" s="2" t="s">
        <v>108</v>
      </c>
      <c r="B41" s="2" t="s">
        <v>208</v>
      </c>
      <c r="C41" s="2">
        <v>17519</v>
      </c>
    </row>
    <row r="42" spans="1:3" x14ac:dyDescent="0.25">
      <c r="A42" s="2" t="s">
        <v>109</v>
      </c>
      <c r="B42" s="2" t="s">
        <v>209</v>
      </c>
      <c r="C42" s="2">
        <v>30371</v>
      </c>
    </row>
    <row r="43" spans="1:3" x14ac:dyDescent="0.25">
      <c r="A43" s="2" t="s">
        <v>110</v>
      </c>
      <c r="B43" s="2"/>
      <c r="C43" s="2"/>
    </row>
    <row r="44" spans="1:3" x14ac:dyDescent="0.25">
      <c r="A44" s="2" t="s">
        <v>111</v>
      </c>
      <c r="B44" s="2"/>
      <c r="C44" s="2"/>
    </row>
    <row r="45" spans="1:3" x14ac:dyDescent="0.25">
      <c r="A45" s="2" t="s">
        <v>112</v>
      </c>
      <c r="B45" s="2"/>
      <c r="C45" s="2"/>
    </row>
    <row r="46" spans="1:3" x14ac:dyDescent="0.25">
      <c r="A46" s="2" t="s">
        <v>113</v>
      </c>
      <c r="B46" s="2"/>
      <c r="C46" s="2"/>
    </row>
    <row r="47" spans="1:3" x14ac:dyDescent="0.25">
      <c r="A47" s="2" t="s">
        <v>114</v>
      </c>
      <c r="B47" s="2"/>
      <c r="C47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zoomScaleNormal="100" workbookViewId="0">
      <selection activeCell="C2" sqref="C1:C1048576"/>
    </sheetView>
  </sheetViews>
  <sheetFormatPr defaultColWidth="10.140625" defaultRowHeight="15" x14ac:dyDescent="0.25"/>
  <cols>
    <col min="1" max="1" width="55.42578125" customWidth="1"/>
    <col min="2" max="2" width="38.85546875" customWidth="1"/>
  </cols>
  <sheetData>
    <row r="1" spans="1:3" x14ac:dyDescent="0.25">
      <c r="A1" s="3" t="s">
        <v>126</v>
      </c>
      <c r="B1" s="3" t="s">
        <v>127</v>
      </c>
      <c r="C1" s="3" t="s">
        <v>128</v>
      </c>
    </row>
    <row r="2" spans="1:3" x14ac:dyDescent="0.25">
      <c r="A2" s="2" t="s">
        <v>71</v>
      </c>
      <c r="B2" s="2"/>
      <c r="C2" s="2"/>
    </row>
    <row r="3" spans="1:3" x14ac:dyDescent="0.25">
      <c r="A3" s="2" t="s">
        <v>52</v>
      </c>
      <c r="B3" s="2" t="s">
        <v>184</v>
      </c>
      <c r="C3" s="2">
        <v>17539</v>
      </c>
    </row>
    <row r="4" spans="1:3" x14ac:dyDescent="0.25">
      <c r="A4" s="2" t="s">
        <v>72</v>
      </c>
      <c r="B4" s="2"/>
      <c r="C4" s="2"/>
    </row>
    <row r="5" spans="1:3" x14ac:dyDescent="0.25">
      <c r="A5" s="2" t="s">
        <v>73</v>
      </c>
      <c r="B5" s="2" t="s">
        <v>185</v>
      </c>
      <c r="C5" s="2">
        <v>30399</v>
      </c>
    </row>
    <row r="6" spans="1:3" x14ac:dyDescent="0.25">
      <c r="A6" s="2" t="s">
        <v>48</v>
      </c>
      <c r="B6" s="2" t="s">
        <v>179</v>
      </c>
      <c r="C6" s="2">
        <v>30479</v>
      </c>
    </row>
    <row r="7" spans="1:3" x14ac:dyDescent="0.25">
      <c r="A7" s="2" t="s">
        <v>74</v>
      </c>
      <c r="B7" s="2" t="s">
        <v>180</v>
      </c>
      <c r="C7" s="2">
        <v>30481</v>
      </c>
    </row>
    <row r="8" spans="1:3" x14ac:dyDescent="0.25">
      <c r="A8" s="2" t="s">
        <v>75</v>
      </c>
      <c r="B8" s="2" t="s">
        <v>186</v>
      </c>
      <c r="C8" s="2">
        <v>17542</v>
      </c>
    </row>
    <row r="9" spans="1:3" x14ac:dyDescent="0.25">
      <c r="A9" s="2" t="s">
        <v>76</v>
      </c>
      <c r="B9" s="2" t="s">
        <v>190</v>
      </c>
      <c r="C9" s="2">
        <v>30411</v>
      </c>
    </row>
    <row r="10" spans="1:3" x14ac:dyDescent="0.25">
      <c r="A10" s="7" t="s">
        <v>77</v>
      </c>
      <c r="B10" s="7" t="s">
        <v>187</v>
      </c>
      <c r="C10" s="7">
        <v>30632</v>
      </c>
    </row>
    <row r="11" spans="1:3" x14ac:dyDescent="0.25">
      <c r="A11" s="7" t="s">
        <v>78</v>
      </c>
      <c r="B11" s="7" t="s">
        <v>187</v>
      </c>
      <c r="C11" s="7">
        <v>30632</v>
      </c>
    </row>
    <row r="12" spans="1:3" x14ac:dyDescent="0.25">
      <c r="A12" s="2" t="s">
        <v>79</v>
      </c>
      <c r="B12" s="2" t="s">
        <v>188</v>
      </c>
      <c r="C12" s="2">
        <v>30414</v>
      </c>
    </row>
    <row r="13" spans="1:3" x14ac:dyDescent="0.25">
      <c r="A13" s="2" t="s">
        <v>80</v>
      </c>
      <c r="B13" s="2" t="s">
        <v>189</v>
      </c>
      <c r="C13" s="2">
        <v>30576</v>
      </c>
    </row>
    <row r="14" spans="1:3" x14ac:dyDescent="0.25">
      <c r="A14" s="2" t="s">
        <v>81</v>
      </c>
      <c r="B14" s="2" t="s">
        <v>181</v>
      </c>
      <c r="C14" s="2">
        <v>30511</v>
      </c>
    </row>
    <row r="15" spans="1:3" x14ac:dyDescent="0.25">
      <c r="A15" s="2" t="s">
        <v>82</v>
      </c>
      <c r="B15" s="2"/>
      <c r="C15" s="2"/>
    </row>
    <row r="16" spans="1:3" x14ac:dyDescent="0.25">
      <c r="A16" s="2" t="s">
        <v>83</v>
      </c>
      <c r="B16" s="2" t="s">
        <v>191</v>
      </c>
      <c r="C16" s="2">
        <v>30674</v>
      </c>
    </row>
    <row r="17" spans="1:3" x14ac:dyDescent="0.25">
      <c r="A17" s="2" t="s">
        <v>84</v>
      </c>
      <c r="B17" s="2" t="s">
        <v>192</v>
      </c>
      <c r="C17" s="2">
        <v>30452</v>
      </c>
    </row>
    <row r="18" spans="1:3" x14ac:dyDescent="0.25">
      <c r="A18" s="2" t="s">
        <v>85</v>
      </c>
      <c r="B18" s="2" t="s">
        <v>182</v>
      </c>
      <c r="C18" s="2">
        <v>30675</v>
      </c>
    </row>
    <row r="19" spans="1:3" x14ac:dyDescent="0.25">
      <c r="A19" s="2" t="s">
        <v>86</v>
      </c>
      <c r="B19" s="2" t="s">
        <v>193</v>
      </c>
      <c r="C19" s="2">
        <v>30454</v>
      </c>
    </row>
    <row r="20" spans="1:3" x14ac:dyDescent="0.25">
      <c r="A20" s="2" t="s">
        <v>87</v>
      </c>
      <c r="B20" s="2" t="s">
        <v>194</v>
      </c>
      <c r="C20" s="2">
        <v>30422</v>
      </c>
    </row>
    <row r="21" spans="1:3" x14ac:dyDescent="0.25">
      <c r="A21" s="2" t="s">
        <v>88</v>
      </c>
      <c r="B21" s="2" t="s">
        <v>195</v>
      </c>
      <c r="C21" s="2">
        <v>17538</v>
      </c>
    </row>
    <row r="22" spans="1:3" x14ac:dyDescent="0.25">
      <c r="A22" s="2" t="s">
        <v>89</v>
      </c>
      <c r="B22" s="2"/>
      <c r="C22" s="2"/>
    </row>
    <row r="23" spans="1:3" x14ac:dyDescent="0.25">
      <c r="A23" s="7" t="s">
        <v>90</v>
      </c>
      <c r="B23" s="7" t="s">
        <v>196</v>
      </c>
      <c r="C23" s="7">
        <v>17556</v>
      </c>
    </row>
    <row r="24" spans="1:3" x14ac:dyDescent="0.25">
      <c r="A24" s="2" t="s">
        <v>91</v>
      </c>
      <c r="B24" s="2" t="s">
        <v>197</v>
      </c>
      <c r="C24" s="2">
        <v>30662</v>
      </c>
    </row>
    <row r="25" spans="1:3" x14ac:dyDescent="0.25">
      <c r="A25" s="7" t="s">
        <v>92</v>
      </c>
      <c r="B25" s="7" t="s">
        <v>210</v>
      </c>
      <c r="C25" s="7">
        <v>17545</v>
      </c>
    </row>
    <row r="26" spans="1:3" x14ac:dyDescent="0.25">
      <c r="A26" s="2" t="s">
        <v>6</v>
      </c>
      <c r="B26" s="2" t="s">
        <v>198</v>
      </c>
      <c r="C26" s="2">
        <v>30473</v>
      </c>
    </row>
    <row r="27" spans="1:3" x14ac:dyDescent="0.25">
      <c r="A27" s="7" t="s">
        <v>93</v>
      </c>
      <c r="B27" s="7" t="s">
        <v>210</v>
      </c>
      <c r="C27" s="7">
        <v>17545</v>
      </c>
    </row>
    <row r="28" spans="1:3" x14ac:dyDescent="0.25">
      <c r="A28" s="7" t="s">
        <v>94</v>
      </c>
      <c r="B28" s="7" t="s">
        <v>210</v>
      </c>
      <c r="C28" s="7">
        <v>17545</v>
      </c>
    </row>
    <row r="29" spans="1:3" x14ac:dyDescent="0.25">
      <c r="A29" s="2" t="s">
        <v>95</v>
      </c>
      <c r="B29" s="2" t="s">
        <v>211</v>
      </c>
      <c r="C29" s="2">
        <v>17772</v>
      </c>
    </row>
    <row r="30" spans="1:3" x14ac:dyDescent="0.25">
      <c r="A30" s="7" t="s">
        <v>96</v>
      </c>
      <c r="B30" s="7" t="s">
        <v>196</v>
      </c>
      <c r="C30" s="7">
        <v>17556</v>
      </c>
    </row>
    <row r="31" spans="1:3" x14ac:dyDescent="0.25">
      <c r="A31" s="2" t="s">
        <v>97</v>
      </c>
      <c r="B31" s="2" t="s">
        <v>183</v>
      </c>
      <c r="C31" s="2">
        <v>30485</v>
      </c>
    </row>
    <row r="32" spans="1:3" x14ac:dyDescent="0.25">
      <c r="A32" s="2" t="s">
        <v>98</v>
      </c>
      <c r="B32" s="2" t="s">
        <v>199</v>
      </c>
      <c r="C32" s="2">
        <v>30412</v>
      </c>
    </row>
    <row r="33" spans="1:3" x14ac:dyDescent="0.25">
      <c r="A33" s="2" t="s">
        <v>99</v>
      </c>
      <c r="B33" s="2" t="s">
        <v>200</v>
      </c>
      <c r="C33" s="2">
        <v>17537</v>
      </c>
    </row>
    <row r="34" spans="1:3" x14ac:dyDescent="0.25">
      <c r="A34" s="2" t="s">
        <v>100</v>
      </c>
      <c r="B34" s="2"/>
      <c r="C34" s="2"/>
    </row>
    <row r="35" spans="1:3" x14ac:dyDescent="0.25">
      <c r="A35" s="2" t="s">
        <v>101</v>
      </c>
      <c r="B35" s="2" t="s">
        <v>201</v>
      </c>
      <c r="C35" s="2">
        <v>17554</v>
      </c>
    </row>
    <row r="36" spans="1:3" x14ac:dyDescent="0.25">
      <c r="A36" s="2" t="s">
        <v>102</v>
      </c>
      <c r="B36" s="2" t="s">
        <v>202</v>
      </c>
      <c r="C36" s="2">
        <v>17553</v>
      </c>
    </row>
    <row r="37" spans="1:3" x14ac:dyDescent="0.25">
      <c r="A37" s="2" t="s">
        <v>103</v>
      </c>
      <c r="B37" s="2" t="s">
        <v>204</v>
      </c>
      <c r="C37" s="2">
        <v>30467</v>
      </c>
    </row>
    <row r="38" spans="1:3" x14ac:dyDescent="0.25">
      <c r="A38" s="2" t="s">
        <v>104</v>
      </c>
      <c r="B38" s="2" t="s">
        <v>203</v>
      </c>
      <c r="C38" s="2">
        <v>30658</v>
      </c>
    </row>
    <row r="39" spans="1:3" x14ac:dyDescent="0.25">
      <c r="A39" s="2" t="s">
        <v>105</v>
      </c>
      <c r="B39" s="2" t="s">
        <v>205</v>
      </c>
      <c r="C39" s="2">
        <v>30484</v>
      </c>
    </row>
    <row r="40" spans="1:3" x14ac:dyDescent="0.25">
      <c r="A40" s="2" t="s">
        <v>106</v>
      </c>
      <c r="B40" s="2" t="s">
        <v>206</v>
      </c>
      <c r="C40" s="2">
        <v>17536</v>
      </c>
    </row>
    <row r="41" spans="1:3" x14ac:dyDescent="0.25">
      <c r="A41" s="2" t="s">
        <v>107</v>
      </c>
      <c r="B41" s="2" t="s">
        <v>207</v>
      </c>
      <c r="C41" s="2">
        <v>17541</v>
      </c>
    </row>
    <row r="42" spans="1:3" x14ac:dyDescent="0.25">
      <c r="A42" s="2" t="s">
        <v>108</v>
      </c>
      <c r="B42" s="2" t="s">
        <v>208</v>
      </c>
      <c r="C42" s="2">
        <v>17519</v>
      </c>
    </row>
    <row r="43" spans="1:3" x14ac:dyDescent="0.25">
      <c r="A43" s="2" t="s">
        <v>109</v>
      </c>
      <c r="B43" s="2" t="s">
        <v>209</v>
      </c>
      <c r="C43" s="2">
        <v>30371</v>
      </c>
    </row>
    <row r="44" spans="1:3" x14ac:dyDescent="0.25">
      <c r="A44" s="2" t="s">
        <v>110</v>
      </c>
      <c r="B44" s="2"/>
      <c r="C44" s="2"/>
    </row>
    <row r="45" spans="1:3" x14ac:dyDescent="0.25">
      <c r="A45" s="2" t="s">
        <v>111</v>
      </c>
      <c r="B45" s="2"/>
      <c r="C45" s="2"/>
    </row>
    <row r="46" spans="1:3" x14ac:dyDescent="0.25">
      <c r="A46" s="2" t="s">
        <v>112</v>
      </c>
      <c r="B46" s="2"/>
      <c r="C46" s="2"/>
    </row>
    <row r="47" spans="1:3" x14ac:dyDescent="0.25">
      <c r="A47" s="2" t="s">
        <v>113</v>
      </c>
      <c r="B47" s="2"/>
      <c r="C47" s="2"/>
    </row>
    <row r="48" spans="1:3" x14ac:dyDescent="0.25">
      <c r="A48" s="2" t="s">
        <v>114</v>
      </c>
      <c r="B48" s="2"/>
      <c r="C48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DEE2-D315-4B21-8E6F-460924EE8616}">
  <dimension ref="A1:C1"/>
  <sheetViews>
    <sheetView workbookViewId="0"/>
  </sheetViews>
  <sheetFormatPr defaultRowHeight="15" x14ac:dyDescent="0.25"/>
  <sheetData>
    <row r="1" spans="1:3" x14ac:dyDescent="0.25">
      <c r="A1" s="3" t="s">
        <v>126</v>
      </c>
      <c r="B1" s="3" t="s">
        <v>127</v>
      </c>
      <c r="C1" s="3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6E74-2EE9-4368-8F8B-6F9EC576BFF2}">
  <dimension ref="A1:D1"/>
  <sheetViews>
    <sheetView workbookViewId="0"/>
  </sheetViews>
  <sheetFormatPr defaultRowHeight="15" x14ac:dyDescent="0.25"/>
  <cols>
    <col min="1" max="1" width="52.85546875" customWidth="1"/>
  </cols>
  <sheetData>
    <row r="1" spans="1:4" x14ac:dyDescent="0.25">
      <c r="A1" s="3" t="s">
        <v>126</v>
      </c>
      <c r="B1" s="3" t="s">
        <v>127</v>
      </c>
      <c r="C1" s="3" t="s">
        <v>128</v>
      </c>
      <c r="D1" s="6" t="s">
        <v>212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Shirsat</cp:lastModifiedBy>
  <cp:revision>13</cp:revision>
  <dcterms:created xsi:type="dcterms:W3CDTF">2026-01-06T16:05:41Z</dcterms:created>
  <dcterms:modified xsi:type="dcterms:W3CDTF">2026-01-23T11:03:33Z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2026-01-12T06:47:44Z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970b9029-7abe-4a0d-9855-727b78da5f9b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