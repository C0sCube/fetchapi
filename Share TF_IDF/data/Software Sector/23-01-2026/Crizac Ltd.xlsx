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855DDE70-A439-4B1C-8764-63A7F5EFB79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BS_Consolidated!$A$1:$C$43</definedName>
    <definedName name="_xlnm._FilterDatabase" localSheetId="2" hidden="1">BS_Standalone!$A$1:$C$41</definedName>
    <definedName name="_xlnm._FilterDatabase" localSheetId="5" hidden="1">CFS_Consolidated!$A$1:$C$47</definedName>
    <definedName name="_xlnm._FilterDatabase" localSheetId="4" hidden="1">CFS_Standalone!$A$1:$C$44</definedName>
    <definedName name="_xlnm._FilterDatabase" localSheetId="1" hidden="1">'P&amp;L_Consolidated'!$A$1:$C$35</definedName>
    <definedName name="_xlnm._FilterDatabase" localSheetId="0" hidden="1">'P&amp;L_Standalone'!$A$1:$C$33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6" l="1"/>
  <c r="C3" i="6"/>
  <c r="B5" i="6"/>
  <c r="C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32" i="6"/>
  <c r="C32" i="6"/>
  <c r="B33" i="6"/>
  <c r="C33" i="6"/>
  <c r="B34" i="6"/>
  <c r="C34" i="6"/>
  <c r="B43" i="6"/>
  <c r="C43" i="6"/>
  <c r="B44" i="6"/>
  <c r="C44" i="6"/>
  <c r="B45" i="6"/>
  <c r="B46" i="6"/>
  <c r="B47" i="6"/>
</calcChain>
</file>

<file path=xl/sharedStrings.xml><?xml version="1.0" encoding="utf-8"?>
<sst xmlns="http://schemas.openxmlformats.org/spreadsheetml/2006/main" count="429" uniqueCount="202">
  <si>
    <t>INCOME</t>
  </si>
  <si>
    <t>Revenue from Operations</t>
  </si>
  <si>
    <t>Other Income</t>
  </si>
  <si>
    <t>Total Income</t>
  </si>
  <si>
    <t>EXPENSES</t>
  </si>
  <si>
    <t>Cost of Services</t>
  </si>
  <si>
    <t>Employee Benefits Expense</t>
  </si>
  <si>
    <t>Finance Costs</t>
  </si>
  <si>
    <t>Depreciation and Amortisation Expense</t>
  </si>
  <si>
    <t>(Gain)/ loss on Forward Contracts and Exchange rate differences</t>
  </si>
  <si>
    <t>Other Expenses</t>
  </si>
  <si>
    <t>Total Expenses</t>
  </si>
  <si>
    <t>Profit / (Loss) before Exceptional Items and Tax</t>
  </si>
  <si>
    <t>Exceptional Items</t>
  </si>
  <si>
    <t>Profit /(Loss) before Tax</t>
  </si>
  <si>
    <t>Tax Expense:</t>
  </si>
  <si>
    <t>Current Tax</t>
  </si>
  <si>
    <t>Deferred Tax</t>
  </si>
  <si>
    <t>Total Tax Expenses</t>
  </si>
  <si>
    <t>Net Profit / (Loss) after Tax</t>
  </si>
  <si>
    <t>Other Comprehensive Income</t>
  </si>
  <si>
    <t>Items that will not be reclassified to profit or loss</t>
  </si>
  <si>
    <t>Equity Instruments through other comprehensive income</t>
  </si>
  <si>
    <t>Remeasurement loss of defined benefit plan</t>
  </si>
  <si>
    <t>Income tax relating to above items</t>
  </si>
  <si>
    <t>Other Comprehensive Income for the period (Net of Tax)</t>
  </si>
  <si>
    <t xml:space="preserve">Total Comprehensive Income for the period </t>
  </si>
  <si>
    <t>Other Equity (excluding revaluation reserve)</t>
  </si>
  <si>
    <t>Earnings per Equity Shares of par value of Rs. 2 each</t>
  </si>
  <si>
    <t>Basic Earnings Per Share (Rs.)</t>
  </si>
  <si>
    <t>Diluted Earnings Per Share (Rs.)</t>
  </si>
  <si>
    <t>ASSETS</t>
  </si>
  <si>
    <t>Property Plant and Equipment</t>
  </si>
  <si>
    <t>Investment Property</t>
  </si>
  <si>
    <t>Other Intangible Asset</t>
  </si>
  <si>
    <t>Right of Use Asset</t>
  </si>
  <si>
    <t>Financial Assets</t>
  </si>
  <si>
    <t>Investments in Subsidiaries</t>
  </si>
  <si>
    <t>Other Investments</t>
  </si>
  <si>
    <t>Other Financial Assets</t>
  </si>
  <si>
    <t>Income Tax Assets (Net)</t>
  </si>
  <si>
    <t>Other Non-Current Assets</t>
  </si>
  <si>
    <t>CURRENT ASSETS</t>
  </si>
  <si>
    <t>Trade Receivables</t>
  </si>
  <si>
    <t>Cash and Cash Equivalents</t>
  </si>
  <si>
    <t>Bank Balances other than above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</si>
  <si>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</si>
  <si>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</si>
  <si>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</si>
  <si>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</si>
  <si>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</si>
  <si>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</si>
  <si>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</si>
  <si>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</si>
  <si>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</si>
  <si>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Lease Liabilities</t>
  </si>
  <si>
    <t>Provisions</t>
  </si>
  <si>
    <t>Deferred Tax Liabilities (Net)</t>
  </si>
  <si>
    <t>Other Non Current Liabilities</t>
  </si>
  <si>
    <t>CURRENT LIABILITIES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</si>
  <si>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</si>
  <si>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</si>
  <si>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</si>
  <si>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</si>
  <si>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 Current Liabilities</t>
  </si>
  <si>
    <t>Total Equity and Liabilities</t>
  </si>
  <si>
    <t>Cash Flow from Operating Activities</t>
  </si>
  <si>
    <t>Profit/ (Loss) Before Tax</t>
  </si>
  <si>
    <t>Adjustments for:</t>
  </si>
  <si>
    <t>Employee Stock option expenses</t>
  </si>
  <si>
    <t>Finance Cost</t>
  </si>
  <si>
    <t>Interest Income</t>
  </si>
  <si>
    <t>Dividend Income</t>
  </si>
  <si>
    <t>(Profit)/ Loss on Sale of Investments measured at fair value through profit or loss</t>
  </si>
  <si>
    <t>(Profit)/ Loss on disposal of Bullion (net)</t>
  </si>
  <si>
    <t>(Profit)/ Loss on disposal of Property, Plant &amp; Equipment (net)</t>
  </si>
  <si>
    <t>Other Assets</t>
  </si>
  <si>
    <t>Provision</t>
  </si>
  <si>
    <t>Other Liabilities</t>
  </si>
  <si>
    <t>Cash Generated from Operations</t>
  </si>
  <si>
    <t>Income Tax Paid (Net of Refund)</t>
  </si>
  <si>
    <t>Net Cash Flow generated from Operating Activities</t>
  </si>
  <si>
    <t>Cash Flow from Investing Activities</t>
  </si>
  <si>
    <t>Payment for acquisition of property, plant &amp; equipment, CWIP &amp; Intangible Assets</t>
  </si>
  <si>
    <t>Sale of property plant &amp; equipment</t>
  </si>
  <si>
    <t>Sale / redemption of Current Investments</t>
  </si>
  <si>
    <t>Sale of Bullion</t>
  </si>
  <si>
    <t>Investment in bank deposits</t>
  </si>
  <si>
    <t>Redemption / maturity of bank deposits</t>
  </si>
  <si>
    <t>Net Cash Flow used in Investing Activities</t>
  </si>
  <si>
    <t>Cash Flow from Financing Activities</t>
  </si>
  <si>
    <t>Payment of lease liabilities</t>
  </si>
  <si>
    <t>Interest paid</t>
  </si>
  <si>
    <t>Net Cash Flow used in Financing Activities</t>
  </si>
  <si>
    <t>Net increase/(decrease) in Cash and Cash equivalent</t>
  </si>
  <si>
    <t>Cash &amp; Cash equivalent at the beginning of the period</t>
  </si>
  <si>
    <t>Cash &amp; Cash equivalent at the end of the period</t>
  </si>
  <si>
    <t xml:space="preserve">CASH AND CASH EQUIVALENTS </t>
  </si>
  <si>
    <t>Balances with banks in Current Account</t>
  </si>
  <si>
    <t>Cash on hand</t>
  </si>
  <si>
    <t>Cash &amp; Cash Equivalents Total</t>
  </si>
  <si>
    <t>(Gain) / loss on Forward Contracts and Exchange rate differences</t>
  </si>
  <si>
    <t>Profit / (Loss) before Tax &amp; Exceptional Items</t>
  </si>
  <si>
    <t>Profit / (Loss) before Tax</t>
  </si>
  <si>
    <t>Items that will be reclassified to profit or toss</t>
  </si>
  <si>
    <t>Exchange difference in translating Financial Statements of Foreign Operation</t>
  </si>
  <si>
    <t>Total Comprehensive Income for the period</t>
  </si>
  <si>
    <t>Diluted Earnings Per Share (Rs )</t>
  </si>
  <si>
    <t>NON-CURRENT ASSETS</t>
  </si>
  <si>
    <t>Goodwill</t>
  </si>
  <si>
    <t>Investments</t>
  </si>
  <si>
    <t>Current Tax Liabilities (Net)</t>
  </si>
  <si>
    <t>(Profit)/Loss on disposal of Bullion(net)</t>
  </si>
  <si>
    <t>(Profit)/Loss on disposal of Property, Plant &amp; Equipment(net)</t>
  </si>
  <si>
    <t>(Profit)/Loss on Sale of Investments measured at fair value through profit or loss</t>
  </si>
  <si>
    <t>Operating Profit before Changes in Non-Current / Current Assets and Liabilities</t>
  </si>
  <si>
    <t>Net Cash Flow generated from / (used In) Operating Activities</t>
  </si>
  <si>
    <t>Payment for acquisition of property, plant &amp; equipment CWIP &amp; Intangible Assets</t>
  </si>
  <si>
    <t>Payment for purchase of Contract Assets</t>
  </si>
  <si>
    <t>Proceed from sale of property, plant &amp; equipment</t>
  </si>
  <si>
    <t>Payment on Business Acquisition</t>
  </si>
  <si>
    <t>Sale of Current Investments</t>
  </si>
  <si>
    <t>Net Cash Flow used In Investing Activties</t>
  </si>
  <si>
    <t>Repayment of lease liabilities</t>
  </si>
  <si>
    <t>Net Cash Flow used In Financing Activities</t>
  </si>
  <si>
    <t>Net Increase/(decrease) in Cash and Cash equivalent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</si>
  <si>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</si>
  <si>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</si>
  <si>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</si>
  <si>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</si>
  <si>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</si>
  <si>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</si>
  <si>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</si>
  <si>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</si>
  <si>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</si>
  <si>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</si>
  <si>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</si>
  <si>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</si>
  <si>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Net Profit/(Loss) for the Period</t>
  </si>
  <si>
    <t>Items that will not be reclassified to Profit or Loss</t>
  </si>
  <si>
    <t>Total Comprehensive Gain (Loss) For the Year</t>
  </si>
  <si>
    <t>Reserve excluding Revaluation Reserves (as per Balance Sheet of Previous Accounting Year)</t>
  </si>
  <si>
    <t>Paid-Up Equity Share Capital</t>
  </si>
  <si>
    <t>Basic EPS</t>
  </si>
  <si>
    <t>Diluted EPS</t>
  </si>
  <si>
    <t>Profit/(Loss) from ordinary activities after finance costs but before exceptional items</t>
  </si>
  <si>
    <t>Items that will be reclassified to Profit or Loss</t>
  </si>
  <si>
    <t>Other Current Financial Assets</t>
  </si>
  <si>
    <t>Lease liabilities</t>
  </si>
  <si>
    <t>Long-Term Provisions</t>
  </si>
  <si>
    <t>Deferred Tax Liability (Net)</t>
  </si>
  <si>
    <t>Other Current Financial Liabilities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</si>
  <si>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</si>
  <si>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</si>
  <si>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</si>
  <si>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</si>
  <si>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</si>
  <si>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Right-of-use asset</t>
  </si>
  <si>
    <t>Non-Current Investments</t>
  </si>
  <si>
    <t>Other Non-Current Financial Assets</t>
  </si>
  <si>
    <t>Income tax assets (net)</t>
  </si>
  <si>
    <t>Cash And Cash Equivalents</t>
  </si>
  <si>
    <t>Bank balance other than cash and cash equivalents</t>
  </si>
  <si>
    <t>Share Capital</t>
  </si>
  <si>
    <t>Reserves And Surplus/Other Equity</t>
  </si>
  <si>
    <t>Other Non-Current Liabilities</t>
  </si>
  <si>
    <t>Goodwill On Consolidation</t>
  </si>
  <si>
    <t>Employees Stock Options Grants</t>
  </si>
  <si>
    <t>Interest Paid</t>
  </si>
  <si>
    <t>Dividend Received</t>
  </si>
  <si>
    <t>Adjustments for other financial assets, non-current</t>
  </si>
  <si>
    <t>Other Current and Non Current Assets</t>
  </si>
  <si>
    <t>Trade And Other Receivables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</si>
  <si>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</si>
  <si>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</si>
  <si>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</si>
  <si>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</si>
  <si>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</si>
  <si>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Sale Of Fixed Assets (Tangible / Intangible)</t>
  </si>
  <si>
    <t>Fixed Deposits</t>
  </si>
  <si>
    <t>Net Cash Flow From Investing Activities</t>
  </si>
  <si>
    <t>Payments of lease liabilities</t>
  </si>
  <si>
    <t>Net Cash Flow From Financing Activities</t>
  </si>
  <si>
    <t>Cash and Cash Equivalents at the Beginning of the Year</t>
  </si>
  <si>
    <t>Cash and Cash Equivalents at the End of the Year</t>
  </si>
  <si>
    <t>Net Profit Before Tax And Exceptional Item</t>
  </si>
  <si>
    <t>Interest Expense</t>
  </si>
  <si>
    <t>Profit On Sale Of Investments</t>
  </si>
  <si>
    <t>Profit On Sale Of Fixed Assets</t>
  </si>
  <si>
    <t>Purchase Of Fixed Assets (Tangible / Intangible)</t>
  </si>
  <si>
    <t>Sale Of Investments</t>
  </si>
  <si>
    <t>Interest Received</t>
  </si>
  <si>
    <t>Ignore this field</t>
  </si>
  <si>
    <t>Foreign Exchange Gain / Loss</t>
  </si>
  <si>
    <t>Operating Profit Before Working Capital Changes</t>
  </si>
  <si>
    <t>Acquisition Of Companies</t>
  </si>
  <si>
    <t>Paid-up equity share capital (Face value per share Rs. 2 each)</t>
  </si>
  <si>
    <t>Paid-up equity share capital (Face value per share Rs 2 each)</t>
  </si>
  <si>
    <t>Exchange (Gain)/Loss</t>
  </si>
  <si>
    <t>Income Tax related to items that will not be reclassified to Profit or Loss</t>
  </si>
  <si>
    <t>Adjustments for other financial liabilities, non-current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</si>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</sst>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33"/>
  <sheetViews>
    <sheetView tabSelected="1" zoomScaleNormal="100" workbookViewId="0"/>
  </sheetViews>
  <sheetFormatPr defaultColWidth="8.5703125" defaultRowHeight="15" x14ac:dyDescent="0.25"/>
  <cols>
    <col min="1" max="2" width="42.2851562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129</v>
      </c>
      <c r="C3" s="3">
        <v>256</v>
      </c>
    </row>
    <row r="4" spans="1:3" x14ac:dyDescent="0.25">
      <c r="A4" s="3" t="s">
        <v>2</v>
      </c>
      <c r="B4" s="3" t="s">
        <v>130</v>
      </c>
      <c r="C4" s="3">
        <v>265</v>
      </c>
    </row>
    <row r="5" spans="1:3" x14ac:dyDescent="0.25">
      <c r="A5" s="3" t="s">
        <v>3</v>
      </c>
      <c r="B5" s="3" t="s">
        <v>3</v>
      </c>
      <c r="C5" s="3">
        <v>25238</v>
      </c>
    </row>
    <row r="6" spans="1:3" x14ac:dyDescent="0.25">
      <c r="A6" s="3" t="s">
        <v>4</v>
      </c>
      <c r="B6" s="3"/>
      <c r="C6" s="3"/>
    </row>
    <row r="7" spans="1:3" x14ac:dyDescent="0.25">
      <c r="A7" s="3" t="s">
        <v>5</v>
      </c>
      <c r="B7" s="3" t="s">
        <v>131</v>
      </c>
      <c r="C7" s="3">
        <v>230</v>
      </c>
    </row>
    <row r="8" spans="1:3" x14ac:dyDescent="0.25">
      <c r="A8" s="3" t="s">
        <v>6</v>
      </c>
      <c r="B8" s="3" t="s">
        <v>132</v>
      </c>
      <c r="C8" s="3">
        <v>238</v>
      </c>
    </row>
    <row r="9" spans="1:3" x14ac:dyDescent="0.25">
      <c r="A9" s="3" t="s">
        <v>7</v>
      </c>
      <c r="B9" s="3" t="s">
        <v>7</v>
      </c>
      <c r="C9" s="3">
        <v>246</v>
      </c>
    </row>
    <row r="10" spans="1:3" x14ac:dyDescent="0.25">
      <c r="A10" s="3" t="s">
        <v>8</v>
      </c>
      <c r="B10" s="3" t="s">
        <v>133</v>
      </c>
      <c r="C10" s="3">
        <v>232</v>
      </c>
    </row>
    <row r="11" spans="1:3" x14ac:dyDescent="0.25">
      <c r="A11" s="3" t="s">
        <v>9</v>
      </c>
      <c r="B11" s="3" t="s">
        <v>198</v>
      </c>
      <c r="C11" s="3">
        <v>240</v>
      </c>
    </row>
    <row r="12" spans="1:3" x14ac:dyDescent="0.25">
      <c r="A12" s="3" t="s">
        <v>10</v>
      </c>
      <c r="B12" s="3" t="s">
        <v>10</v>
      </c>
      <c r="C12" s="3">
        <v>279</v>
      </c>
    </row>
    <row r="13" spans="1:3" x14ac:dyDescent="0.25">
      <c r="A13" s="3" t="s">
        <v>11</v>
      </c>
      <c r="B13" s="3" t="s">
        <v>11</v>
      </c>
      <c r="C13" s="3">
        <v>320</v>
      </c>
    </row>
    <row r="14" spans="1:3" x14ac:dyDescent="0.25">
      <c r="A14" s="3" t="s">
        <v>12</v>
      </c>
      <c r="B14" s="3" t="s">
        <v>134</v>
      </c>
      <c r="C14" s="3">
        <v>294</v>
      </c>
    </row>
    <row r="15" spans="1:3" x14ac:dyDescent="0.25">
      <c r="A15" s="3" t="s">
        <v>13</v>
      </c>
      <c r="B15" s="3" t="s">
        <v>135</v>
      </c>
      <c r="C15" s="3">
        <v>278</v>
      </c>
    </row>
    <row r="16" spans="1:3" x14ac:dyDescent="0.25">
      <c r="A16" s="3" t="s">
        <v>14</v>
      </c>
      <c r="B16" s="3" t="s">
        <v>136</v>
      </c>
      <c r="C16" s="3">
        <v>296</v>
      </c>
    </row>
    <row r="17" spans="1:3" x14ac:dyDescent="0.25">
      <c r="A17" s="3" t="s">
        <v>15</v>
      </c>
      <c r="B17" s="3"/>
      <c r="C17" s="3"/>
    </row>
    <row r="18" spans="1:3" x14ac:dyDescent="0.25">
      <c r="A18" s="3" t="s">
        <v>16</v>
      </c>
      <c r="B18" s="3" t="s">
        <v>137</v>
      </c>
      <c r="C18" s="3">
        <v>318</v>
      </c>
    </row>
    <row r="19" spans="1:3" x14ac:dyDescent="0.25">
      <c r="A19" s="3" t="s">
        <v>17</v>
      </c>
      <c r="B19" s="3" t="s">
        <v>17</v>
      </c>
      <c r="C19" s="3">
        <v>231</v>
      </c>
    </row>
    <row r="20" spans="1:3" x14ac:dyDescent="0.25">
      <c r="A20" s="3" t="s">
        <v>18</v>
      </c>
      <c r="B20" s="3"/>
      <c r="C20" s="3"/>
    </row>
    <row r="21" spans="1:3" x14ac:dyDescent="0.25">
      <c r="A21" s="3" t="s">
        <v>19</v>
      </c>
      <c r="B21" s="6" t="s">
        <v>138</v>
      </c>
      <c r="C21" s="7">
        <v>269</v>
      </c>
    </row>
    <row r="22" spans="1:3" x14ac:dyDescent="0.25">
      <c r="A22" s="3" t="s">
        <v>20</v>
      </c>
      <c r="B22" s="3"/>
      <c r="C22" s="3"/>
    </row>
    <row r="23" spans="1:3" x14ac:dyDescent="0.25">
      <c r="A23" s="9" t="s">
        <v>21</v>
      </c>
      <c r="B23" s="9"/>
      <c r="C23" s="9"/>
    </row>
    <row r="24" spans="1:3" x14ac:dyDescent="0.25">
      <c r="A24" s="8" t="s">
        <v>22</v>
      </c>
      <c r="B24" s="8" t="s">
        <v>139</v>
      </c>
      <c r="C24" s="8">
        <v>22293</v>
      </c>
    </row>
    <row r="25" spans="1:3" x14ac:dyDescent="0.25">
      <c r="A25" s="8" t="s">
        <v>23</v>
      </c>
      <c r="B25" s="8" t="s">
        <v>139</v>
      </c>
      <c r="C25" s="8">
        <v>22293</v>
      </c>
    </row>
    <row r="26" spans="1:3" x14ac:dyDescent="0.25">
      <c r="A26" s="3" t="s">
        <v>24</v>
      </c>
      <c r="B26" s="3" t="s">
        <v>199</v>
      </c>
      <c r="C26" s="3">
        <v>22295</v>
      </c>
    </row>
    <row r="27" spans="1:3" x14ac:dyDescent="0.25">
      <c r="A27" s="3" t="s">
        <v>25</v>
      </c>
      <c r="B27" s="6" t="s">
        <v>20</v>
      </c>
      <c r="C27" s="7">
        <v>16484</v>
      </c>
    </row>
    <row r="28" spans="1:3" x14ac:dyDescent="0.25">
      <c r="A28" s="3" t="s">
        <v>26</v>
      </c>
      <c r="B28" s="6" t="s">
        <v>140</v>
      </c>
      <c r="C28" s="7">
        <v>20019</v>
      </c>
    </row>
    <row r="29" spans="1:3" x14ac:dyDescent="0.25">
      <c r="A29" s="3" t="s">
        <v>196</v>
      </c>
      <c r="B29" s="3" t="s">
        <v>142</v>
      </c>
      <c r="C29" s="9">
        <v>282</v>
      </c>
    </row>
    <row r="30" spans="1:3" x14ac:dyDescent="0.25">
      <c r="A30" s="3" t="s">
        <v>27</v>
      </c>
      <c r="B30" s="3" t="s">
        <v>141</v>
      </c>
      <c r="C30" s="3">
        <v>309</v>
      </c>
    </row>
    <row r="31" spans="1:3" x14ac:dyDescent="0.25">
      <c r="A31" s="3" t="s">
        <v>28</v>
      </c>
      <c r="B31" s="3"/>
      <c r="C31" s="3"/>
    </row>
    <row r="32" spans="1:3" x14ac:dyDescent="0.25">
      <c r="A32" s="3" t="s">
        <v>29</v>
      </c>
      <c r="B32" s="3" t="s">
        <v>143</v>
      </c>
      <c r="C32" s="9">
        <v>222</v>
      </c>
    </row>
    <row r="33" spans="1:3" x14ac:dyDescent="0.25">
      <c r="A33" s="3" t="s">
        <v>30</v>
      </c>
      <c r="B33" s="3" t="s">
        <v>144</v>
      </c>
      <c r="C33" s="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C35"/>
  <sheetViews>
    <sheetView zoomScaleNormal="100" workbookViewId="0"/>
  </sheetViews>
  <sheetFormatPr defaultColWidth="8.5703125" defaultRowHeight="15" x14ac:dyDescent="0.25"/>
  <cols>
    <col min="1" max="2" width="49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129</v>
      </c>
      <c r="C3" s="3">
        <v>256</v>
      </c>
    </row>
    <row r="4" spans="1:3" x14ac:dyDescent="0.25">
      <c r="A4" s="3" t="s">
        <v>2</v>
      </c>
      <c r="B4" s="3" t="s">
        <v>130</v>
      </c>
      <c r="C4" s="3">
        <v>265</v>
      </c>
    </row>
    <row r="5" spans="1:3" x14ac:dyDescent="0.25">
      <c r="A5" s="3" t="s">
        <v>3</v>
      </c>
      <c r="B5" s="3" t="s">
        <v>3</v>
      </c>
      <c r="C5" s="3">
        <v>25238</v>
      </c>
    </row>
    <row r="6" spans="1:3" x14ac:dyDescent="0.25">
      <c r="A6" s="3" t="s">
        <v>4</v>
      </c>
      <c r="B6" s="3"/>
      <c r="C6" s="3"/>
    </row>
    <row r="7" spans="1:3" x14ac:dyDescent="0.25">
      <c r="A7" s="3" t="s">
        <v>5</v>
      </c>
      <c r="B7" s="3" t="s">
        <v>131</v>
      </c>
      <c r="C7" s="3">
        <v>230</v>
      </c>
    </row>
    <row r="8" spans="1:3" x14ac:dyDescent="0.25">
      <c r="A8" s="3" t="s">
        <v>6</v>
      </c>
      <c r="B8" s="3" t="s">
        <v>132</v>
      </c>
      <c r="C8" s="3">
        <v>238</v>
      </c>
    </row>
    <row r="9" spans="1:3" x14ac:dyDescent="0.25">
      <c r="A9" s="3" t="s">
        <v>7</v>
      </c>
      <c r="B9" s="3" t="s">
        <v>7</v>
      </c>
      <c r="C9" s="3">
        <v>246</v>
      </c>
    </row>
    <row r="10" spans="1:3" x14ac:dyDescent="0.25">
      <c r="A10" s="3" t="s">
        <v>8</v>
      </c>
      <c r="B10" s="3" t="s">
        <v>133</v>
      </c>
      <c r="C10" s="3">
        <v>232</v>
      </c>
    </row>
    <row r="11" spans="1:3" x14ac:dyDescent="0.25">
      <c r="A11" s="3" t="s">
        <v>101</v>
      </c>
      <c r="B11" s="3" t="s">
        <v>198</v>
      </c>
      <c r="C11" s="3">
        <v>240</v>
      </c>
    </row>
    <row r="12" spans="1:3" x14ac:dyDescent="0.25">
      <c r="A12" s="3" t="s">
        <v>10</v>
      </c>
      <c r="B12" s="3" t="s">
        <v>10</v>
      </c>
      <c r="C12" s="3">
        <v>279</v>
      </c>
    </row>
    <row r="13" spans="1:3" x14ac:dyDescent="0.25">
      <c r="A13" s="3" t="s">
        <v>11</v>
      </c>
      <c r="B13" s="3" t="s">
        <v>11</v>
      </c>
      <c r="C13" s="3">
        <v>320</v>
      </c>
    </row>
    <row r="14" spans="1:3" x14ac:dyDescent="0.25">
      <c r="A14" s="3" t="s">
        <v>102</v>
      </c>
      <c r="B14" s="3" t="s">
        <v>145</v>
      </c>
      <c r="C14" s="3">
        <v>294</v>
      </c>
    </row>
    <row r="15" spans="1:3" x14ac:dyDescent="0.25">
      <c r="A15" s="3" t="s">
        <v>13</v>
      </c>
      <c r="B15" s="3" t="s">
        <v>135</v>
      </c>
      <c r="C15" s="3">
        <v>278</v>
      </c>
    </row>
    <row r="16" spans="1:3" x14ac:dyDescent="0.25">
      <c r="A16" s="3" t="s">
        <v>103</v>
      </c>
      <c r="B16" s="3" t="s">
        <v>136</v>
      </c>
      <c r="C16" s="3">
        <v>296</v>
      </c>
    </row>
    <row r="17" spans="1:3" x14ac:dyDescent="0.25">
      <c r="A17" s="3" t="s">
        <v>15</v>
      </c>
      <c r="B17" s="3"/>
      <c r="C17" s="3"/>
    </row>
    <row r="18" spans="1:3" x14ac:dyDescent="0.25">
      <c r="A18" s="3" t="s">
        <v>16</v>
      </c>
      <c r="B18" s="3" t="s">
        <v>137</v>
      </c>
      <c r="C18" s="3">
        <v>318</v>
      </c>
    </row>
    <row r="19" spans="1:3" x14ac:dyDescent="0.25">
      <c r="A19" s="3" t="s">
        <v>17</v>
      </c>
      <c r="B19" s="3" t="s">
        <v>17</v>
      </c>
      <c r="C19" s="3">
        <v>231</v>
      </c>
    </row>
    <row r="20" spans="1:3" x14ac:dyDescent="0.25">
      <c r="A20" s="3" t="s">
        <v>18</v>
      </c>
      <c r="B20" s="3"/>
      <c r="C20" s="3"/>
    </row>
    <row r="21" spans="1:3" x14ac:dyDescent="0.25">
      <c r="A21" s="3" t="s">
        <v>19</v>
      </c>
      <c r="B21" s="6" t="s">
        <v>138</v>
      </c>
      <c r="C21" s="7">
        <v>269</v>
      </c>
    </row>
    <row r="22" spans="1:3" x14ac:dyDescent="0.25">
      <c r="A22" s="3" t="s">
        <v>20</v>
      </c>
      <c r="B22" s="3"/>
      <c r="C22" s="3"/>
    </row>
    <row r="23" spans="1:3" x14ac:dyDescent="0.25">
      <c r="A23" s="9" t="s">
        <v>21</v>
      </c>
      <c r="B23" s="9"/>
      <c r="C23" s="9"/>
    </row>
    <row r="24" spans="1:3" x14ac:dyDescent="0.25">
      <c r="A24" s="8" t="s">
        <v>22</v>
      </c>
      <c r="B24" s="8" t="s">
        <v>139</v>
      </c>
      <c r="C24" s="8">
        <v>22293</v>
      </c>
    </row>
    <row r="25" spans="1:3" x14ac:dyDescent="0.25">
      <c r="A25" s="8" t="s">
        <v>23</v>
      </c>
      <c r="B25" s="8" t="s">
        <v>139</v>
      </c>
      <c r="C25" s="8">
        <v>22293</v>
      </c>
    </row>
    <row r="26" spans="1:3" x14ac:dyDescent="0.25">
      <c r="A26" s="3" t="s">
        <v>24</v>
      </c>
      <c r="B26" s="3" t="s">
        <v>199</v>
      </c>
      <c r="C26" s="3">
        <v>22295</v>
      </c>
    </row>
    <row r="27" spans="1:3" x14ac:dyDescent="0.25">
      <c r="A27" s="9" t="s">
        <v>104</v>
      </c>
      <c r="B27" s="9"/>
      <c r="C27" s="9"/>
    </row>
    <row r="28" spans="1:3" x14ac:dyDescent="0.25">
      <c r="A28" s="9" t="s">
        <v>105</v>
      </c>
      <c r="B28" s="9" t="s">
        <v>146</v>
      </c>
      <c r="C28" s="9">
        <v>22294</v>
      </c>
    </row>
    <row r="29" spans="1:3" x14ac:dyDescent="0.25">
      <c r="A29" s="3" t="s">
        <v>25</v>
      </c>
      <c r="B29" s="6" t="s">
        <v>20</v>
      </c>
      <c r="C29" s="7">
        <v>16484</v>
      </c>
    </row>
    <row r="30" spans="1:3" x14ac:dyDescent="0.25">
      <c r="A30" s="3" t="s">
        <v>106</v>
      </c>
      <c r="B30" s="6" t="s">
        <v>140</v>
      </c>
      <c r="C30" s="7">
        <v>20019</v>
      </c>
    </row>
    <row r="31" spans="1:3" x14ac:dyDescent="0.25">
      <c r="A31" s="3" t="s">
        <v>197</v>
      </c>
      <c r="B31" s="3" t="s">
        <v>142</v>
      </c>
      <c r="C31" s="9">
        <v>282</v>
      </c>
    </row>
    <row r="32" spans="1:3" x14ac:dyDescent="0.25">
      <c r="A32" s="3" t="s">
        <v>27</v>
      </c>
      <c r="B32" s="3" t="s">
        <v>141</v>
      </c>
      <c r="C32" s="9">
        <v>309</v>
      </c>
    </row>
    <row r="33" spans="1:3" x14ac:dyDescent="0.25">
      <c r="A33" s="3" t="s">
        <v>28</v>
      </c>
      <c r="B33" s="3"/>
      <c r="C33" s="3"/>
    </row>
    <row r="34" spans="1:3" x14ac:dyDescent="0.25">
      <c r="A34" s="3" t="s">
        <v>29</v>
      </c>
      <c r="B34" s="3" t="s">
        <v>143</v>
      </c>
      <c r="C34" s="3">
        <v>222</v>
      </c>
    </row>
    <row r="35" spans="1:3" x14ac:dyDescent="0.25">
      <c r="A35" s="3" t="s">
        <v>107</v>
      </c>
      <c r="B35" s="3" t="s">
        <v>144</v>
      </c>
      <c r="C35" s="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41"/>
  <sheetViews>
    <sheetView zoomScaleNormal="100" workbookViewId="0"/>
  </sheetViews>
  <sheetFormatPr defaultColWidth="8.5703125" defaultRowHeight="15" x14ac:dyDescent="0.25"/>
  <cols>
    <col min="1" max="1" width="53.85546875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31</v>
      </c>
      <c r="B2" s="2"/>
      <c r="C2" s="2"/>
    </row>
    <row r="3" spans="1:3" x14ac:dyDescent="0.25">
      <c r="A3" s="2" t="s">
        <v>32</v>
      </c>
      <c r="B3" s="2" t="s">
        <v>155</v>
      </c>
      <c r="C3" s="2">
        <v>20222</v>
      </c>
    </row>
    <row r="4" spans="1:3" x14ac:dyDescent="0.25">
      <c r="A4" s="2" t="s">
        <v>33</v>
      </c>
      <c r="B4" s="2" t="s">
        <v>33</v>
      </c>
      <c r="C4" s="2">
        <v>25736</v>
      </c>
    </row>
    <row r="5" spans="1:3" x14ac:dyDescent="0.25">
      <c r="A5" s="2" t="s">
        <v>34</v>
      </c>
      <c r="B5" s="2" t="s">
        <v>156</v>
      </c>
      <c r="C5" s="2">
        <v>20221</v>
      </c>
    </row>
    <row r="6" spans="1:3" x14ac:dyDescent="0.25">
      <c r="A6" s="2" t="s">
        <v>35</v>
      </c>
      <c r="B6" s="2" t="s">
        <v>157</v>
      </c>
      <c r="C6" s="2">
        <v>30342</v>
      </c>
    </row>
    <row r="7" spans="1:3" x14ac:dyDescent="0.25">
      <c r="A7" s="2" t="s">
        <v>36</v>
      </c>
      <c r="B7" s="2"/>
      <c r="C7" s="2"/>
    </row>
    <row r="8" spans="1:3" x14ac:dyDescent="0.25">
      <c r="A8" s="5" t="s">
        <v>37</v>
      </c>
      <c r="B8" s="5" t="s">
        <v>158</v>
      </c>
      <c r="C8" s="5">
        <v>13748</v>
      </c>
    </row>
    <row r="9" spans="1:3" x14ac:dyDescent="0.25">
      <c r="A9" s="5" t="s">
        <v>38</v>
      </c>
      <c r="B9" s="5" t="s">
        <v>158</v>
      </c>
      <c r="C9" s="5">
        <v>13748</v>
      </c>
    </row>
    <row r="10" spans="1:3" x14ac:dyDescent="0.25">
      <c r="A10" s="2" t="s">
        <v>39</v>
      </c>
      <c r="B10" s="2" t="s">
        <v>159</v>
      </c>
      <c r="C10" s="2">
        <v>20216</v>
      </c>
    </row>
    <row r="11" spans="1:3" x14ac:dyDescent="0.25">
      <c r="A11" s="2" t="s">
        <v>40</v>
      </c>
      <c r="B11" s="2" t="s">
        <v>160</v>
      </c>
      <c r="C11" s="2">
        <v>20215</v>
      </c>
    </row>
    <row r="12" spans="1:3" x14ac:dyDescent="0.25">
      <c r="A12" s="2" t="s">
        <v>41</v>
      </c>
      <c r="B12" s="2" t="s">
        <v>41</v>
      </c>
      <c r="C12" s="2">
        <v>13753</v>
      </c>
    </row>
    <row r="13" spans="1:3" x14ac:dyDescent="0.25">
      <c r="A13" s="2" t="s">
        <v>42</v>
      </c>
      <c r="B13" s="2"/>
      <c r="C13" s="2"/>
    </row>
    <row r="14" spans="1:3" x14ac:dyDescent="0.25">
      <c r="A14" s="2" t="s">
        <v>36</v>
      </c>
      <c r="B14" s="2"/>
      <c r="C14" s="2"/>
    </row>
    <row r="15" spans="1:3" x14ac:dyDescent="0.25">
      <c r="A15" s="2" t="s">
        <v>43</v>
      </c>
      <c r="B15" s="2" t="s">
        <v>43</v>
      </c>
      <c r="C15" s="2">
        <v>13780</v>
      </c>
    </row>
    <row r="16" spans="1:3" x14ac:dyDescent="0.25">
      <c r="A16" s="2" t="s">
        <v>44</v>
      </c>
      <c r="B16" s="2" t="s">
        <v>161</v>
      </c>
      <c r="C16" s="2">
        <v>13722</v>
      </c>
    </row>
    <row r="17" spans="1:3" x14ac:dyDescent="0.25">
      <c r="A17" s="2" t="s">
        <v>45</v>
      </c>
      <c r="B17" s="2" t="s">
        <v>162</v>
      </c>
      <c r="C17" s="2">
        <v>29788</v>
      </c>
    </row>
    <row r="18" spans="1:3" x14ac:dyDescent="0.25">
      <c r="A18" s="2" t="s">
        <v>39</v>
      </c>
      <c r="B18" s="2" t="s">
        <v>147</v>
      </c>
      <c r="C18" s="4">
        <v>20231</v>
      </c>
    </row>
    <row r="19" spans="1:3" x14ac:dyDescent="0.25">
      <c r="A19" s="2" t="s">
        <v>46</v>
      </c>
      <c r="B19" s="2" t="s">
        <v>46</v>
      </c>
      <c r="C19" s="2">
        <v>13750</v>
      </c>
    </row>
    <row r="20" spans="1:3" x14ac:dyDescent="0.25">
      <c r="A20" s="2" t="s">
        <v>47</v>
      </c>
      <c r="B20" s="2" t="s">
        <v>47</v>
      </c>
      <c r="C20" s="2">
        <v>13771</v>
      </c>
    </row>
    <row r="21" spans="1:3" x14ac:dyDescent="0.25">
      <c r="A21" s="2" t="s">
        <v>48</v>
      </c>
      <c r="B21" s="2"/>
      <c r="C21" s="2"/>
    </row>
    <row r="22" spans="1:3" x14ac:dyDescent="0.25">
      <c r="A22" s="2" t="s">
        <v>49</v>
      </c>
      <c r="B22" s="2"/>
      <c r="C22" s="2"/>
    </row>
    <row r="23" spans="1:3" x14ac:dyDescent="0.25">
      <c r="A23" s="2" t="s">
        <v>50</v>
      </c>
      <c r="B23" s="2" t="s">
        <v>163</v>
      </c>
      <c r="C23" s="2">
        <v>13765</v>
      </c>
    </row>
    <row r="24" spans="1:3" x14ac:dyDescent="0.25">
      <c r="A24" s="2" t="s">
        <v>51</v>
      </c>
      <c r="B24" s="2" t="s">
        <v>164</v>
      </c>
      <c r="C24" s="2">
        <v>13762</v>
      </c>
    </row>
    <row r="25" spans="1:3" x14ac:dyDescent="0.25">
      <c r="A25" s="2" t="s">
        <v>52</v>
      </c>
      <c r="B25" s="2"/>
      <c r="C25" s="2"/>
    </row>
    <row r="26" spans="1:3" x14ac:dyDescent="0.25">
      <c r="A26" s="2" t="s">
        <v>53</v>
      </c>
      <c r="B26" s="2"/>
      <c r="C26" s="2"/>
    </row>
    <row r="27" spans="1:3" x14ac:dyDescent="0.25">
      <c r="A27" s="2" t="s">
        <v>54</v>
      </c>
      <c r="B27" s="2"/>
      <c r="C27" s="2"/>
    </row>
    <row r="28" spans="1:3" x14ac:dyDescent="0.25">
      <c r="A28" s="2" t="s">
        <v>55</v>
      </c>
      <c r="B28" s="2" t="s">
        <v>148</v>
      </c>
      <c r="C28" s="4">
        <v>30340</v>
      </c>
    </row>
    <row r="29" spans="1:3" x14ac:dyDescent="0.25">
      <c r="A29" s="2" t="s">
        <v>56</v>
      </c>
      <c r="B29" s="2" t="s">
        <v>149</v>
      </c>
      <c r="C29" s="4">
        <v>13743</v>
      </c>
    </row>
    <row r="30" spans="1:3" x14ac:dyDescent="0.25">
      <c r="A30" s="2" t="s">
        <v>57</v>
      </c>
      <c r="B30" s="2" t="s">
        <v>150</v>
      </c>
      <c r="C30" s="4">
        <v>13727</v>
      </c>
    </row>
    <row r="31" spans="1:3" x14ac:dyDescent="0.25">
      <c r="A31" s="2" t="s">
        <v>58</v>
      </c>
      <c r="B31" s="2" t="s">
        <v>165</v>
      </c>
      <c r="C31" s="2">
        <v>26449</v>
      </c>
    </row>
    <row r="32" spans="1:3" x14ac:dyDescent="0.25">
      <c r="A32" s="2" t="s">
        <v>59</v>
      </c>
      <c r="B32" s="2"/>
      <c r="C32" s="2"/>
    </row>
    <row r="33" spans="1:3" x14ac:dyDescent="0.25">
      <c r="A33" s="2" t="s">
        <v>54</v>
      </c>
      <c r="B33" s="2"/>
      <c r="C33" s="2"/>
    </row>
    <row r="34" spans="1:3" x14ac:dyDescent="0.25">
      <c r="A34" s="2" t="s">
        <v>55</v>
      </c>
      <c r="B34" s="2" t="s">
        <v>148</v>
      </c>
      <c r="C34" s="4">
        <v>25716</v>
      </c>
    </row>
    <row r="35" spans="1:3" x14ac:dyDescent="0.25">
      <c r="A35" s="5" t="s">
        <v>60</v>
      </c>
      <c r="B35" s="5"/>
      <c r="C35" s="5"/>
    </row>
    <row r="36" spans="1:3" x14ac:dyDescent="0.25">
      <c r="A36" s="5" t="s">
        <v>61</v>
      </c>
      <c r="B36" s="5" t="s">
        <v>60</v>
      </c>
      <c r="C36" s="5">
        <v>13779</v>
      </c>
    </row>
    <row r="37" spans="1:3" x14ac:dyDescent="0.25">
      <c r="A37" s="5" t="s">
        <v>62</v>
      </c>
      <c r="B37" s="5" t="s">
        <v>60</v>
      </c>
      <c r="C37" s="5">
        <v>13779</v>
      </c>
    </row>
    <row r="38" spans="1:3" x14ac:dyDescent="0.25">
      <c r="A38" s="2" t="s">
        <v>63</v>
      </c>
      <c r="B38" s="2" t="s">
        <v>151</v>
      </c>
      <c r="C38" s="4">
        <v>20214</v>
      </c>
    </row>
    <row r="39" spans="1:3" x14ac:dyDescent="0.25">
      <c r="A39" s="2" t="s">
        <v>64</v>
      </c>
      <c r="B39" s="2" t="s">
        <v>152</v>
      </c>
      <c r="C39" s="4">
        <v>26450</v>
      </c>
    </row>
    <row r="40" spans="1:3" x14ac:dyDescent="0.25">
      <c r="A40" s="2" t="s">
        <v>56</v>
      </c>
      <c r="B40" s="2" t="s">
        <v>153</v>
      </c>
      <c r="C40" s="4">
        <v>13767</v>
      </c>
    </row>
    <row r="41" spans="1:3" x14ac:dyDescent="0.25">
      <c r="A41" s="2" t="s">
        <v>65</v>
      </c>
      <c r="B41" s="2" t="s">
        <v>154</v>
      </c>
      <c r="C41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43"/>
  <sheetViews>
    <sheetView zoomScaleNormal="100" workbookViewId="0"/>
  </sheetViews>
  <sheetFormatPr defaultColWidth="8.5703125" defaultRowHeight="15" x14ac:dyDescent="0.25"/>
  <cols>
    <col min="1" max="2" width="45.2851562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31</v>
      </c>
      <c r="B2" s="2"/>
      <c r="C2" s="2"/>
    </row>
    <row r="3" spans="1:3" x14ac:dyDescent="0.25">
      <c r="A3" s="3" t="s">
        <v>108</v>
      </c>
      <c r="B3" s="2"/>
      <c r="C3" s="2"/>
    </row>
    <row r="4" spans="1:3" x14ac:dyDescent="0.25">
      <c r="A4" s="2" t="s">
        <v>32</v>
      </c>
      <c r="B4" s="2" t="s">
        <v>155</v>
      </c>
      <c r="C4" s="2">
        <v>20222</v>
      </c>
    </row>
    <row r="5" spans="1:3" x14ac:dyDescent="0.25">
      <c r="A5" s="2" t="s">
        <v>33</v>
      </c>
      <c r="B5" s="2" t="s">
        <v>33</v>
      </c>
      <c r="C5" s="2">
        <v>25736</v>
      </c>
    </row>
    <row r="6" spans="1:3" x14ac:dyDescent="0.25">
      <c r="A6" s="2" t="s">
        <v>109</v>
      </c>
      <c r="B6" s="2" t="s">
        <v>166</v>
      </c>
      <c r="C6" s="4">
        <v>13734</v>
      </c>
    </row>
    <row r="7" spans="1:3" x14ac:dyDescent="0.25">
      <c r="A7" s="2" t="s">
        <v>34</v>
      </c>
      <c r="B7" s="2" t="s">
        <v>156</v>
      </c>
      <c r="C7" s="2">
        <v>20221</v>
      </c>
    </row>
    <row r="8" spans="1:3" x14ac:dyDescent="0.25">
      <c r="A8" s="2" t="s">
        <v>35</v>
      </c>
      <c r="B8" s="2" t="s">
        <v>157</v>
      </c>
      <c r="C8" s="2">
        <v>30342</v>
      </c>
    </row>
    <row r="9" spans="1:3" x14ac:dyDescent="0.25">
      <c r="A9" s="2" t="s">
        <v>36</v>
      </c>
      <c r="B9" s="2"/>
      <c r="C9" s="2"/>
    </row>
    <row r="10" spans="1:3" x14ac:dyDescent="0.25">
      <c r="A10" s="2" t="s">
        <v>110</v>
      </c>
      <c r="B10" s="2" t="s">
        <v>158</v>
      </c>
      <c r="C10" s="4">
        <v>13748</v>
      </c>
    </row>
    <row r="11" spans="1:3" x14ac:dyDescent="0.25">
      <c r="A11" s="2" t="s">
        <v>39</v>
      </c>
      <c r="B11" s="2" t="s">
        <v>159</v>
      </c>
      <c r="C11" s="2">
        <v>20216</v>
      </c>
    </row>
    <row r="12" spans="1:3" x14ac:dyDescent="0.25">
      <c r="A12" s="2" t="s">
        <v>40</v>
      </c>
      <c r="B12" s="2" t="s">
        <v>160</v>
      </c>
      <c r="C12" s="2">
        <v>20215</v>
      </c>
    </row>
    <row r="13" spans="1:3" x14ac:dyDescent="0.25">
      <c r="A13" s="2" t="s">
        <v>41</v>
      </c>
      <c r="B13" s="2" t="s">
        <v>41</v>
      </c>
      <c r="C13" s="4">
        <v>13753</v>
      </c>
    </row>
    <row r="14" spans="1:3" x14ac:dyDescent="0.25">
      <c r="A14" s="2" t="s">
        <v>42</v>
      </c>
      <c r="B14" s="2"/>
      <c r="C14" s="2"/>
    </row>
    <row r="15" spans="1:3" x14ac:dyDescent="0.25">
      <c r="A15" s="2" t="s">
        <v>36</v>
      </c>
      <c r="B15" s="2"/>
      <c r="C15" s="2"/>
    </row>
    <row r="16" spans="1:3" x14ac:dyDescent="0.25">
      <c r="A16" s="2" t="s">
        <v>43</v>
      </c>
      <c r="B16" s="2" t="s">
        <v>43</v>
      </c>
      <c r="C16" s="4">
        <v>13780</v>
      </c>
    </row>
    <row r="17" spans="1:3" x14ac:dyDescent="0.25">
      <c r="A17" s="2" t="s">
        <v>44</v>
      </c>
      <c r="B17" s="2" t="s">
        <v>161</v>
      </c>
      <c r="C17" s="2">
        <v>13722</v>
      </c>
    </row>
    <row r="18" spans="1:3" x14ac:dyDescent="0.25">
      <c r="A18" s="2" t="s">
        <v>45</v>
      </c>
      <c r="B18" s="2" t="s">
        <v>162</v>
      </c>
      <c r="C18" s="2">
        <v>29788</v>
      </c>
    </row>
    <row r="19" spans="1:3" x14ac:dyDescent="0.25">
      <c r="A19" s="2" t="s">
        <v>39</v>
      </c>
      <c r="B19" s="2" t="s">
        <v>147</v>
      </c>
      <c r="C19" s="4">
        <v>20231</v>
      </c>
    </row>
    <row r="20" spans="1:3" x14ac:dyDescent="0.25">
      <c r="A20" s="2" t="s">
        <v>46</v>
      </c>
      <c r="B20" s="2" t="s">
        <v>46</v>
      </c>
      <c r="C20" s="4">
        <v>13750</v>
      </c>
    </row>
    <row r="21" spans="1:3" x14ac:dyDescent="0.25">
      <c r="A21" s="2" t="s">
        <v>47</v>
      </c>
      <c r="B21" s="2" t="s">
        <v>47</v>
      </c>
      <c r="C21" s="2">
        <v>13771</v>
      </c>
    </row>
    <row r="22" spans="1:3" x14ac:dyDescent="0.25">
      <c r="A22" s="2" t="s">
        <v>48</v>
      </c>
      <c r="B22" s="2"/>
      <c r="C22" s="2"/>
    </row>
    <row r="23" spans="1:3" x14ac:dyDescent="0.25">
      <c r="A23" s="2" t="s">
        <v>49</v>
      </c>
      <c r="B23" s="2"/>
      <c r="C23" s="2"/>
    </row>
    <row r="24" spans="1:3" x14ac:dyDescent="0.25">
      <c r="A24" s="2" t="s">
        <v>50</v>
      </c>
      <c r="B24" s="2" t="s">
        <v>163</v>
      </c>
      <c r="C24" s="2">
        <v>13765</v>
      </c>
    </row>
    <row r="25" spans="1:3" x14ac:dyDescent="0.25">
      <c r="A25" s="2" t="s">
        <v>51</v>
      </c>
      <c r="B25" s="2" t="s">
        <v>164</v>
      </c>
      <c r="C25" s="2">
        <v>13762</v>
      </c>
    </row>
    <row r="26" spans="1:3" x14ac:dyDescent="0.25">
      <c r="A26" s="2" t="s">
        <v>52</v>
      </c>
      <c r="B26" s="2"/>
      <c r="C26" s="2"/>
    </row>
    <row r="27" spans="1:3" x14ac:dyDescent="0.25">
      <c r="A27" s="2" t="s">
        <v>53</v>
      </c>
      <c r="B27" s="2"/>
      <c r="C27" s="2"/>
    </row>
    <row r="28" spans="1:3" x14ac:dyDescent="0.25">
      <c r="A28" s="2" t="s">
        <v>54</v>
      </c>
      <c r="B28" s="2"/>
      <c r="C28" s="2"/>
    </row>
    <row r="29" spans="1:3" x14ac:dyDescent="0.25">
      <c r="A29" s="2" t="s">
        <v>55</v>
      </c>
      <c r="B29" s="2" t="s">
        <v>148</v>
      </c>
      <c r="C29" s="2">
        <v>30340</v>
      </c>
    </row>
    <row r="30" spans="1:3" x14ac:dyDescent="0.25">
      <c r="A30" s="2" t="s">
        <v>56</v>
      </c>
      <c r="B30" s="2" t="s">
        <v>149</v>
      </c>
      <c r="C30" s="4">
        <v>13743</v>
      </c>
    </row>
    <row r="31" spans="1:3" x14ac:dyDescent="0.25">
      <c r="A31" s="2" t="s">
        <v>57</v>
      </c>
      <c r="B31" s="2" t="s">
        <v>150</v>
      </c>
      <c r="C31" s="4">
        <v>13727</v>
      </c>
    </row>
    <row r="32" spans="1:3" x14ac:dyDescent="0.25">
      <c r="A32" s="2" t="s">
        <v>58</v>
      </c>
      <c r="B32" s="2" t="s">
        <v>165</v>
      </c>
      <c r="C32" s="2">
        <v>26449</v>
      </c>
    </row>
    <row r="33" spans="1:3" x14ac:dyDescent="0.25">
      <c r="A33" s="2" t="s">
        <v>59</v>
      </c>
      <c r="B33" s="2"/>
      <c r="C33" s="2"/>
    </row>
    <row r="34" spans="1:3" x14ac:dyDescent="0.25">
      <c r="A34" s="2" t="s">
        <v>54</v>
      </c>
      <c r="B34" s="2"/>
      <c r="C34" s="2"/>
    </row>
    <row r="35" spans="1:3" x14ac:dyDescent="0.25">
      <c r="A35" s="2" t="s">
        <v>55</v>
      </c>
      <c r="B35" s="2" t="s">
        <v>148</v>
      </c>
      <c r="C35" s="4">
        <v>25716</v>
      </c>
    </row>
    <row r="36" spans="1:3" x14ac:dyDescent="0.25">
      <c r="A36" s="5" t="s">
        <v>60</v>
      </c>
      <c r="B36" s="5"/>
      <c r="C36" s="5"/>
    </row>
    <row r="37" spans="1:3" x14ac:dyDescent="0.25">
      <c r="A37" s="5" t="s">
        <v>61</v>
      </c>
      <c r="B37" s="5" t="s">
        <v>60</v>
      </c>
      <c r="C37" s="5">
        <v>13779</v>
      </c>
    </row>
    <row r="38" spans="1:3" x14ac:dyDescent="0.25">
      <c r="A38" s="5" t="s">
        <v>62</v>
      </c>
      <c r="B38" s="5" t="s">
        <v>60</v>
      </c>
      <c r="C38" s="5">
        <v>13779</v>
      </c>
    </row>
    <row r="39" spans="1:3" x14ac:dyDescent="0.25">
      <c r="A39" s="2" t="s">
        <v>63</v>
      </c>
      <c r="B39" s="2" t="s">
        <v>151</v>
      </c>
      <c r="C39" s="4">
        <v>20214</v>
      </c>
    </row>
    <row r="40" spans="1:3" x14ac:dyDescent="0.25">
      <c r="A40" s="2" t="s">
        <v>64</v>
      </c>
      <c r="B40" s="2" t="s">
        <v>152</v>
      </c>
      <c r="C40" s="4">
        <v>26450</v>
      </c>
    </row>
    <row r="41" spans="1:3" x14ac:dyDescent="0.25">
      <c r="A41" s="2" t="s">
        <v>56</v>
      </c>
      <c r="B41" s="2" t="s">
        <v>153</v>
      </c>
      <c r="C41" s="4">
        <v>13767</v>
      </c>
    </row>
    <row r="42" spans="1:3" x14ac:dyDescent="0.25">
      <c r="A42" s="2" t="s">
        <v>111</v>
      </c>
      <c r="B42" s="2" t="s">
        <v>111</v>
      </c>
      <c r="C42" s="4">
        <v>20211</v>
      </c>
    </row>
    <row r="43" spans="1:3" x14ac:dyDescent="0.25">
      <c r="A43" s="2" t="s">
        <v>65</v>
      </c>
      <c r="B43" s="2" t="s">
        <v>154</v>
      </c>
      <c r="C43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44"/>
  <sheetViews>
    <sheetView zoomScaleNormal="100" workbookViewId="0"/>
  </sheetViews>
  <sheetFormatPr defaultColWidth="8.5703125" defaultRowHeight="15" x14ac:dyDescent="0.25"/>
  <cols>
    <col min="1" max="2" width="53.2851562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3" t="s">
        <v>66</v>
      </c>
      <c r="B2" s="3"/>
      <c r="C2" s="3"/>
    </row>
    <row r="3" spans="1:3" x14ac:dyDescent="0.25">
      <c r="A3" s="3" t="s">
        <v>67</v>
      </c>
      <c r="B3" s="6" t="s">
        <v>185</v>
      </c>
      <c r="C3" s="7">
        <v>17539</v>
      </c>
    </row>
    <row r="4" spans="1:3" x14ac:dyDescent="0.25">
      <c r="A4" s="3" t="s">
        <v>68</v>
      </c>
      <c r="B4" s="3"/>
      <c r="C4" s="3"/>
    </row>
    <row r="5" spans="1:3" x14ac:dyDescent="0.25">
      <c r="A5" s="3" t="s">
        <v>8</v>
      </c>
      <c r="B5" s="3" t="s">
        <v>8</v>
      </c>
      <c r="C5" s="3">
        <v>30399</v>
      </c>
    </row>
    <row r="6" spans="1:3" x14ac:dyDescent="0.25">
      <c r="A6" s="3" t="s">
        <v>69</v>
      </c>
      <c r="B6" s="3" t="s">
        <v>167</v>
      </c>
      <c r="C6" s="3">
        <v>0</v>
      </c>
    </row>
    <row r="7" spans="1:3" x14ac:dyDescent="0.25">
      <c r="A7" s="3" t="s">
        <v>70</v>
      </c>
      <c r="B7" s="3" t="s">
        <v>186</v>
      </c>
      <c r="C7" s="9">
        <v>30479</v>
      </c>
    </row>
    <row r="8" spans="1:3" x14ac:dyDescent="0.25">
      <c r="A8" s="3" t="s">
        <v>71</v>
      </c>
      <c r="B8" s="3" t="s">
        <v>71</v>
      </c>
      <c r="C8" s="9">
        <v>30481</v>
      </c>
    </row>
    <row r="9" spans="1:3" x14ac:dyDescent="0.25">
      <c r="A9" s="3" t="s">
        <v>72</v>
      </c>
      <c r="B9" s="3" t="s">
        <v>169</v>
      </c>
      <c r="C9" s="9">
        <v>30404</v>
      </c>
    </row>
    <row r="10" spans="1:3" x14ac:dyDescent="0.25">
      <c r="A10" s="8" t="s">
        <v>73</v>
      </c>
      <c r="B10" s="8" t="s">
        <v>187</v>
      </c>
      <c r="C10" s="8">
        <v>30577</v>
      </c>
    </row>
    <row r="11" spans="1:3" x14ac:dyDescent="0.25">
      <c r="A11" s="8" t="s">
        <v>74</v>
      </c>
      <c r="B11" s="8" t="s">
        <v>187</v>
      </c>
      <c r="C11" s="8">
        <v>30577</v>
      </c>
    </row>
    <row r="12" spans="1:3" x14ac:dyDescent="0.25">
      <c r="A12" s="3" t="s">
        <v>75</v>
      </c>
      <c r="B12" s="3" t="s">
        <v>188</v>
      </c>
      <c r="C12" s="9">
        <v>30576</v>
      </c>
    </row>
    <row r="13" spans="1:3" x14ac:dyDescent="0.25">
      <c r="A13" s="3" t="s">
        <v>68</v>
      </c>
      <c r="B13" s="3"/>
      <c r="C13" s="3"/>
    </row>
    <row r="14" spans="1:3" x14ac:dyDescent="0.25">
      <c r="A14" s="9" t="s">
        <v>39</v>
      </c>
      <c r="B14" s="9" t="s">
        <v>170</v>
      </c>
      <c r="C14" s="9">
        <v>30452</v>
      </c>
    </row>
    <row r="15" spans="1:3" x14ac:dyDescent="0.25">
      <c r="A15" s="3" t="s">
        <v>76</v>
      </c>
      <c r="B15" s="3" t="s">
        <v>171</v>
      </c>
      <c r="C15" s="3">
        <v>30518</v>
      </c>
    </row>
    <row r="16" spans="1:3" x14ac:dyDescent="0.25">
      <c r="A16" s="3" t="s">
        <v>43</v>
      </c>
      <c r="B16" s="3" t="s">
        <v>172</v>
      </c>
      <c r="C16" s="3">
        <v>30674</v>
      </c>
    </row>
    <row r="17" spans="1:3" x14ac:dyDescent="0.25">
      <c r="A17" s="3" t="s">
        <v>60</v>
      </c>
      <c r="B17" s="3" t="s">
        <v>173</v>
      </c>
      <c r="C17" s="3">
        <v>30675</v>
      </c>
    </row>
    <row r="18" spans="1:3" x14ac:dyDescent="0.25">
      <c r="A18" s="9" t="s">
        <v>63</v>
      </c>
      <c r="B18" s="9" t="s">
        <v>200</v>
      </c>
      <c r="C18" s="9">
        <v>30454</v>
      </c>
    </row>
    <row r="19" spans="1:3" x14ac:dyDescent="0.25">
      <c r="A19" s="3" t="s">
        <v>77</v>
      </c>
      <c r="B19" s="3" t="s">
        <v>56</v>
      </c>
      <c r="C19" s="3">
        <v>30627</v>
      </c>
    </row>
    <row r="20" spans="1:3" x14ac:dyDescent="0.25">
      <c r="A20" s="3" t="s">
        <v>78</v>
      </c>
      <c r="B20" s="3" t="s">
        <v>174</v>
      </c>
      <c r="C20" s="9">
        <v>30519</v>
      </c>
    </row>
    <row r="21" spans="1:3" x14ac:dyDescent="0.25">
      <c r="A21" s="3" t="s">
        <v>79</v>
      </c>
      <c r="B21" s="3" t="s">
        <v>175</v>
      </c>
      <c r="C21" s="3">
        <v>30372</v>
      </c>
    </row>
    <row r="22" spans="1:3" x14ac:dyDescent="0.25">
      <c r="A22" s="3" t="s">
        <v>80</v>
      </c>
      <c r="B22" s="3" t="s">
        <v>176</v>
      </c>
      <c r="C22" s="3">
        <v>30422</v>
      </c>
    </row>
    <row r="23" spans="1:3" x14ac:dyDescent="0.25">
      <c r="A23" s="3" t="s">
        <v>81</v>
      </c>
      <c r="B23" s="3" t="s">
        <v>177</v>
      </c>
      <c r="C23" s="3">
        <v>17538</v>
      </c>
    </row>
    <row r="24" spans="1:3" x14ac:dyDescent="0.25">
      <c r="A24" s="3" t="s">
        <v>82</v>
      </c>
      <c r="B24" s="3"/>
      <c r="C24" s="3"/>
    </row>
    <row r="25" spans="1:3" x14ac:dyDescent="0.25">
      <c r="A25" s="3" t="s">
        <v>83</v>
      </c>
      <c r="B25" s="3" t="s">
        <v>189</v>
      </c>
      <c r="C25" s="9">
        <v>17556</v>
      </c>
    </row>
    <row r="26" spans="1:3" x14ac:dyDescent="0.25">
      <c r="A26" s="3" t="s">
        <v>84</v>
      </c>
      <c r="B26" s="3" t="s">
        <v>178</v>
      </c>
      <c r="C26" s="9">
        <v>30662</v>
      </c>
    </row>
    <row r="27" spans="1:3" x14ac:dyDescent="0.25">
      <c r="A27" s="8" t="s">
        <v>85</v>
      </c>
      <c r="B27" s="8" t="s">
        <v>190</v>
      </c>
      <c r="C27" s="8">
        <v>17563</v>
      </c>
    </row>
    <row r="28" spans="1:3" x14ac:dyDescent="0.25">
      <c r="A28" s="8" t="s">
        <v>86</v>
      </c>
      <c r="B28" s="8" t="s">
        <v>190</v>
      </c>
      <c r="C28" s="8">
        <v>17563</v>
      </c>
    </row>
    <row r="29" spans="1:3" x14ac:dyDescent="0.25">
      <c r="A29" s="8" t="s">
        <v>87</v>
      </c>
      <c r="B29" s="8" t="s">
        <v>179</v>
      </c>
      <c r="C29" s="8">
        <v>30412</v>
      </c>
    </row>
    <row r="30" spans="1:3" x14ac:dyDescent="0.25">
      <c r="A30" s="8" t="s">
        <v>88</v>
      </c>
      <c r="B30" s="8" t="s">
        <v>179</v>
      </c>
      <c r="C30" s="8">
        <v>30412</v>
      </c>
    </row>
    <row r="31" spans="1:3" x14ac:dyDescent="0.25">
      <c r="A31" s="3" t="s">
        <v>71</v>
      </c>
      <c r="B31" s="3" t="s">
        <v>191</v>
      </c>
      <c r="C31" s="9">
        <v>30485</v>
      </c>
    </row>
    <row r="32" spans="1:3" x14ac:dyDescent="0.25">
      <c r="A32" s="3" t="s">
        <v>72</v>
      </c>
      <c r="B32" s="3" t="s">
        <v>169</v>
      </c>
      <c r="C32" s="9">
        <v>30402</v>
      </c>
    </row>
    <row r="33" spans="1:3" x14ac:dyDescent="0.25">
      <c r="A33" s="3" t="s">
        <v>89</v>
      </c>
      <c r="B33" s="3" t="s">
        <v>180</v>
      </c>
      <c r="C33" s="3">
        <v>17537</v>
      </c>
    </row>
    <row r="34" spans="1:3" x14ac:dyDescent="0.25">
      <c r="A34" s="3" t="s">
        <v>90</v>
      </c>
      <c r="B34" s="3"/>
      <c r="C34" s="3"/>
    </row>
    <row r="35" spans="1:3" x14ac:dyDescent="0.25">
      <c r="A35" s="3" t="s">
        <v>91</v>
      </c>
      <c r="B35" s="3" t="s">
        <v>181</v>
      </c>
      <c r="C35" s="3">
        <v>30467</v>
      </c>
    </row>
    <row r="36" spans="1:3" x14ac:dyDescent="0.25">
      <c r="A36" s="3" t="s">
        <v>92</v>
      </c>
      <c r="B36" s="3" t="s">
        <v>168</v>
      </c>
      <c r="C36" s="9">
        <v>30484</v>
      </c>
    </row>
    <row r="37" spans="1:3" x14ac:dyDescent="0.25">
      <c r="A37" s="3" t="s">
        <v>93</v>
      </c>
      <c r="B37" s="6" t="s">
        <v>182</v>
      </c>
      <c r="C37" s="7">
        <v>17536</v>
      </c>
    </row>
    <row r="38" spans="1:3" x14ac:dyDescent="0.25">
      <c r="A38" s="3" t="s">
        <v>94</v>
      </c>
      <c r="B38" s="10" t="s">
        <v>201</v>
      </c>
      <c r="C38" s="7">
        <v>17541</v>
      </c>
    </row>
    <row r="39" spans="1:3" x14ac:dyDescent="0.25">
      <c r="A39" s="3" t="s">
        <v>95</v>
      </c>
      <c r="B39" s="3" t="s">
        <v>183</v>
      </c>
      <c r="C39" s="3">
        <v>17519</v>
      </c>
    </row>
    <row r="40" spans="1:3" x14ac:dyDescent="0.25">
      <c r="A40" s="3" t="s">
        <v>96</v>
      </c>
      <c r="B40" s="3" t="s">
        <v>184</v>
      </c>
      <c r="C40" s="3">
        <v>30371</v>
      </c>
    </row>
    <row r="41" spans="1:3" x14ac:dyDescent="0.25">
      <c r="A41" s="3" t="s">
        <v>97</v>
      </c>
      <c r="B41" s="3" t="s">
        <v>192</v>
      </c>
      <c r="C41" s="3"/>
    </row>
    <row r="42" spans="1:3" x14ac:dyDescent="0.25">
      <c r="A42" s="3" t="s">
        <v>98</v>
      </c>
      <c r="B42" s="3" t="s">
        <v>192</v>
      </c>
      <c r="C42" s="3"/>
    </row>
    <row r="43" spans="1:3" x14ac:dyDescent="0.25">
      <c r="A43" s="3" t="s">
        <v>99</v>
      </c>
      <c r="B43" s="3" t="s">
        <v>192</v>
      </c>
      <c r="C43" s="3"/>
    </row>
    <row r="44" spans="1:3" x14ac:dyDescent="0.25">
      <c r="A44" s="3" t="s">
        <v>100</v>
      </c>
      <c r="B44" s="3" t="s">
        <v>192</v>
      </c>
      <c r="C44" s="3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47"/>
  <sheetViews>
    <sheetView zoomScaleNormal="100" workbookViewId="0"/>
  </sheetViews>
  <sheetFormatPr defaultColWidth="8.5703125" defaultRowHeight="15" x14ac:dyDescent="0.25"/>
  <cols>
    <col min="1" max="2" width="49.570312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3" t="s">
        <v>66</v>
      </c>
      <c r="B2" s="3"/>
      <c r="C2" s="3"/>
    </row>
    <row r="3" spans="1:3" x14ac:dyDescent="0.25">
      <c r="A3" s="3" t="s">
        <v>67</v>
      </c>
      <c r="B3" s="3" t="str">
        <f>_xlfn.XLOOKUP(A3,CFS_Standalone!A:A,CFS_Standalone!B:B)</f>
        <v>Net Profit Before Tax And Exceptional Item</v>
      </c>
      <c r="C3" s="3">
        <f>_xlfn.XLOOKUP(A3,CFS_Standalone!A:A,CFS_Standalone!C:C)</f>
        <v>17539</v>
      </c>
    </row>
    <row r="4" spans="1:3" x14ac:dyDescent="0.25">
      <c r="A4" s="3" t="s">
        <v>68</v>
      </c>
      <c r="B4" s="3"/>
      <c r="C4" s="3"/>
    </row>
    <row r="5" spans="1:3" x14ac:dyDescent="0.25">
      <c r="A5" s="3" t="s">
        <v>8</v>
      </c>
      <c r="B5" s="3" t="str">
        <f>_xlfn.XLOOKUP(A5,CFS_Standalone!A:A,CFS_Standalone!B:B)</f>
        <v>Depreciation and Amortisation Expense</v>
      </c>
      <c r="C5" s="3">
        <f>_xlfn.XLOOKUP(A5,CFS_Standalone!A:A,CFS_Standalone!C:C)</f>
        <v>30399</v>
      </c>
    </row>
    <row r="6" spans="1:3" x14ac:dyDescent="0.25">
      <c r="A6" s="3" t="s">
        <v>69</v>
      </c>
      <c r="B6" s="3" t="s">
        <v>167</v>
      </c>
      <c r="C6" s="9">
        <v>30407</v>
      </c>
    </row>
    <row r="7" spans="1:3" x14ac:dyDescent="0.25">
      <c r="A7" s="3" t="s">
        <v>70</v>
      </c>
      <c r="B7" s="3" t="s">
        <v>186</v>
      </c>
      <c r="C7" s="9">
        <v>30479</v>
      </c>
    </row>
    <row r="8" spans="1:3" x14ac:dyDescent="0.25">
      <c r="A8" s="3" t="s">
        <v>71</v>
      </c>
      <c r="B8" s="3" t="s">
        <v>71</v>
      </c>
      <c r="C8" s="9">
        <v>30481</v>
      </c>
    </row>
    <row r="9" spans="1:3" x14ac:dyDescent="0.25">
      <c r="A9" s="3" t="s">
        <v>72</v>
      </c>
      <c r="B9" s="3" t="s">
        <v>169</v>
      </c>
      <c r="C9" s="9">
        <v>30404</v>
      </c>
    </row>
    <row r="10" spans="1:3" x14ac:dyDescent="0.25">
      <c r="A10" s="8" t="s">
        <v>112</v>
      </c>
      <c r="B10" s="8" t="s">
        <v>187</v>
      </c>
      <c r="C10" s="8">
        <v>30577</v>
      </c>
    </row>
    <row r="11" spans="1:3" x14ac:dyDescent="0.25">
      <c r="A11" s="3" t="s">
        <v>113</v>
      </c>
      <c r="B11" s="3" t="s">
        <v>188</v>
      </c>
      <c r="C11" s="9">
        <v>30576</v>
      </c>
    </row>
    <row r="12" spans="1:3" x14ac:dyDescent="0.25">
      <c r="A12" s="8" t="s">
        <v>114</v>
      </c>
      <c r="B12" s="8" t="s">
        <v>187</v>
      </c>
      <c r="C12" s="8">
        <v>30577</v>
      </c>
    </row>
    <row r="13" spans="1:3" x14ac:dyDescent="0.25">
      <c r="A13" s="3" t="s">
        <v>105</v>
      </c>
      <c r="B13" s="3" t="s">
        <v>193</v>
      </c>
      <c r="C13" s="9">
        <v>30414</v>
      </c>
    </row>
    <row r="14" spans="1:3" x14ac:dyDescent="0.25">
      <c r="A14" s="3" t="s">
        <v>115</v>
      </c>
      <c r="B14" s="6" t="s">
        <v>194</v>
      </c>
      <c r="C14" s="7">
        <v>30511</v>
      </c>
    </row>
    <row r="15" spans="1:3" x14ac:dyDescent="0.25">
      <c r="A15" s="3" t="s">
        <v>68</v>
      </c>
      <c r="B15" s="3"/>
      <c r="C15" s="3"/>
    </row>
    <row r="16" spans="1:3" x14ac:dyDescent="0.25">
      <c r="A16" s="9" t="s">
        <v>39</v>
      </c>
      <c r="B16" s="9" t="str">
        <f>_xlfn.XLOOKUP(A16,CFS_Standalone!A:A,CFS_Standalone!B:B)</f>
        <v>Adjustments for other financial assets, non-current</v>
      </c>
      <c r="C16" s="9">
        <f>_xlfn.XLOOKUP(A16,CFS_Standalone!A:A,CFS_Standalone!C:C)</f>
        <v>30452</v>
      </c>
    </row>
    <row r="17" spans="1:3" x14ac:dyDescent="0.25">
      <c r="A17" s="9" t="s">
        <v>76</v>
      </c>
      <c r="B17" s="9" t="str">
        <f>_xlfn.XLOOKUP(A17,CFS_Standalone!A:A,CFS_Standalone!B:B)</f>
        <v>Other Current and Non Current Assets</v>
      </c>
      <c r="C17" s="9">
        <f>_xlfn.XLOOKUP(A17,CFS_Standalone!A:A,CFS_Standalone!C:C)</f>
        <v>30518</v>
      </c>
    </row>
    <row r="18" spans="1:3" x14ac:dyDescent="0.25">
      <c r="A18" s="9" t="s">
        <v>43</v>
      </c>
      <c r="B18" s="9" t="str">
        <f>_xlfn.XLOOKUP(A18,CFS_Standalone!A:A,CFS_Standalone!B:B)</f>
        <v>Trade And Other Receivables</v>
      </c>
      <c r="C18" s="9">
        <f>_xlfn.XLOOKUP(A18,CFS_Standalone!A:A,CFS_Standalone!C:C)</f>
        <v>30674</v>
      </c>
    </row>
    <row r="19" spans="1:3" x14ac:dyDescent="0.25">
      <c r="A19" s="9" t="s">
        <v>60</v>
      </c>
      <c r="B19" s="9" t="str">
        <f>_xlfn.XLOOKUP(A19,CFS_Standalone!A:A,CFS_Standalone!B:B)</f>
        <v>Trade Payables And Others</v>
      </c>
      <c r="C19" s="9">
        <f>_xlfn.XLOOKUP(A19,CFS_Standalone!A:A,CFS_Standalone!C:C)</f>
        <v>30675</v>
      </c>
    </row>
    <row r="20" spans="1:3" x14ac:dyDescent="0.25">
      <c r="A20" s="9" t="s">
        <v>63</v>
      </c>
      <c r="B20" s="9" t="str">
        <f>_xlfn.XLOOKUP(A20,CFS_Standalone!A:A,CFS_Standalone!B:B)</f>
        <v>Adjustments for other financial liabilities, non-current</v>
      </c>
      <c r="C20" s="9">
        <f>_xlfn.XLOOKUP(A20,CFS_Standalone!A:A,CFS_Standalone!C:C)</f>
        <v>30454</v>
      </c>
    </row>
    <row r="21" spans="1:3" x14ac:dyDescent="0.25">
      <c r="A21" s="3" t="s">
        <v>77</v>
      </c>
      <c r="B21" s="3" t="str">
        <f>_xlfn.XLOOKUP(A21,CFS_Standalone!A:A,CFS_Standalone!B:B)</f>
        <v>Provisions</v>
      </c>
      <c r="C21" s="3">
        <f>_xlfn.XLOOKUP(A21,CFS_Standalone!A:A,CFS_Standalone!C:C)</f>
        <v>30627</v>
      </c>
    </row>
    <row r="22" spans="1:3" x14ac:dyDescent="0.25">
      <c r="A22" s="3" t="s">
        <v>78</v>
      </c>
      <c r="B22" s="3" t="str">
        <f>_xlfn.XLOOKUP(A22,CFS_Standalone!A:A,CFS_Standalone!B:B)</f>
        <v>Other Current and Non Current Liabilities</v>
      </c>
      <c r="C22" s="3">
        <f>_xlfn.XLOOKUP(A22,CFS_Standalone!A:A,CFS_Standalone!C:C)</f>
        <v>30519</v>
      </c>
    </row>
    <row r="23" spans="1:3" x14ac:dyDescent="0.25">
      <c r="A23" s="3" t="s">
        <v>79</v>
      </c>
      <c r="B23" s="3" t="str">
        <f>_xlfn.XLOOKUP(A23,CFS_Standalone!A:A,CFS_Standalone!B:B)</f>
        <v>Cash Generated From Operations</v>
      </c>
      <c r="C23" s="3">
        <f>_xlfn.XLOOKUP(A23,CFS_Standalone!A:A,CFS_Standalone!C:C)</f>
        <v>30372</v>
      </c>
    </row>
    <row r="24" spans="1:3" x14ac:dyDescent="0.25">
      <c r="A24" s="3" t="s">
        <v>80</v>
      </c>
      <c r="B24" s="3" t="str">
        <f>_xlfn.XLOOKUP(A24,CFS_Standalone!A:A,CFS_Standalone!B:B)</f>
        <v>Income Tax Paid</v>
      </c>
      <c r="C24" s="3">
        <f>_xlfn.XLOOKUP(A24,CFS_Standalone!A:A,CFS_Standalone!C:C)</f>
        <v>30422</v>
      </c>
    </row>
    <row r="25" spans="1:3" x14ac:dyDescent="0.25">
      <c r="A25" s="3" t="s">
        <v>116</v>
      </c>
      <c r="B25" s="6" t="s">
        <v>177</v>
      </c>
      <c r="C25" s="7">
        <v>17538</v>
      </c>
    </row>
    <row r="26" spans="1:3" x14ac:dyDescent="0.25">
      <c r="A26" s="3" t="s">
        <v>82</v>
      </c>
      <c r="B26" s="3"/>
      <c r="C26" s="3"/>
    </row>
    <row r="27" spans="1:3" x14ac:dyDescent="0.25">
      <c r="A27" s="8" t="s">
        <v>117</v>
      </c>
      <c r="B27" s="8" t="s">
        <v>189</v>
      </c>
      <c r="C27" s="8">
        <v>17556</v>
      </c>
    </row>
    <row r="28" spans="1:3" x14ac:dyDescent="0.25">
      <c r="A28" s="8" t="s">
        <v>118</v>
      </c>
      <c r="B28" s="8" t="s">
        <v>189</v>
      </c>
      <c r="C28" s="8">
        <v>17556</v>
      </c>
    </row>
    <row r="29" spans="1:3" x14ac:dyDescent="0.25">
      <c r="A29" s="3" t="s">
        <v>119</v>
      </c>
      <c r="B29" s="3" t="s">
        <v>178</v>
      </c>
      <c r="C29" s="9">
        <v>30662</v>
      </c>
    </row>
    <row r="30" spans="1:3" x14ac:dyDescent="0.25">
      <c r="A30" s="3" t="s">
        <v>120</v>
      </c>
      <c r="B30" s="3" t="s">
        <v>195</v>
      </c>
      <c r="C30" s="9">
        <v>17772</v>
      </c>
    </row>
    <row r="31" spans="1:3" x14ac:dyDescent="0.25">
      <c r="A31" s="8" t="s">
        <v>121</v>
      </c>
      <c r="B31" s="8" t="s">
        <v>190</v>
      </c>
      <c r="C31" s="8">
        <v>17563</v>
      </c>
    </row>
    <row r="32" spans="1:3" x14ac:dyDescent="0.25">
      <c r="A32" s="8" t="s">
        <v>86</v>
      </c>
      <c r="B32" s="8" t="str">
        <f>_xlfn.XLOOKUP(A32,CFS_Standalone!A:A,CFS_Standalone!B:B)</f>
        <v>Sale Of Investments</v>
      </c>
      <c r="C32" s="8">
        <f>_xlfn.XLOOKUP(A32,CFS_Standalone!A:A,CFS_Standalone!C:C)</f>
        <v>17563</v>
      </c>
    </row>
    <row r="33" spans="1:3" x14ac:dyDescent="0.25">
      <c r="A33" s="8" t="s">
        <v>87</v>
      </c>
      <c r="B33" s="8" t="str">
        <f>_xlfn.XLOOKUP(A33,CFS_Standalone!A:A,CFS_Standalone!B:B)</f>
        <v>Fixed Deposits</v>
      </c>
      <c r="C33" s="8">
        <f>_xlfn.XLOOKUP(A33,CFS_Standalone!A:A,CFS_Standalone!C:C)</f>
        <v>30412</v>
      </c>
    </row>
    <row r="34" spans="1:3" x14ac:dyDescent="0.25">
      <c r="A34" s="8" t="s">
        <v>88</v>
      </c>
      <c r="B34" s="8" t="str">
        <f>_xlfn.XLOOKUP(A34,CFS_Standalone!A:A,CFS_Standalone!B:B)</f>
        <v>Fixed Deposits</v>
      </c>
      <c r="C34" s="8">
        <f>_xlfn.XLOOKUP(A34,CFS_Standalone!A:A,CFS_Standalone!C:C)</f>
        <v>30412</v>
      </c>
    </row>
    <row r="35" spans="1:3" x14ac:dyDescent="0.25">
      <c r="A35" s="3" t="s">
        <v>71</v>
      </c>
      <c r="B35" s="3" t="s">
        <v>191</v>
      </c>
      <c r="C35" s="9">
        <v>30485</v>
      </c>
    </row>
    <row r="36" spans="1:3" x14ac:dyDescent="0.25">
      <c r="A36" s="3" t="s">
        <v>72</v>
      </c>
      <c r="B36" s="3" t="s">
        <v>169</v>
      </c>
      <c r="C36" s="9">
        <v>30402</v>
      </c>
    </row>
    <row r="37" spans="1:3" x14ac:dyDescent="0.25">
      <c r="A37" s="3" t="s">
        <v>122</v>
      </c>
      <c r="B37" s="6" t="s">
        <v>180</v>
      </c>
      <c r="C37" s="7">
        <v>17537</v>
      </c>
    </row>
    <row r="38" spans="1:3" x14ac:dyDescent="0.25">
      <c r="A38" s="3" t="s">
        <v>90</v>
      </c>
      <c r="B38" s="3"/>
      <c r="C38" s="3"/>
    </row>
    <row r="39" spans="1:3" x14ac:dyDescent="0.25">
      <c r="A39" s="3" t="s">
        <v>123</v>
      </c>
      <c r="B39" s="3" t="s">
        <v>181</v>
      </c>
      <c r="C39" s="9">
        <v>30467</v>
      </c>
    </row>
    <row r="40" spans="1:3" x14ac:dyDescent="0.25">
      <c r="A40" s="3" t="s">
        <v>92</v>
      </c>
      <c r="B40" s="3" t="s">
        <v>168</v>
      </c>
      <c r="C40" s="9">
        <v>30484</v>
      </c>
    </row>
    <row r="41" spans="1:3" x14ac:dyDescent="0.25">
      <c r="A41" s="3" t="s">
        <v>124</v>
      </c>
      <c r="B41" s="6" t="s">
        <v>182</v>
      </c>
      <c r="C41" s="7">
        <v>17536</v>
      </c>
    </row>
    <row r="42" spans="1:3" x14ac:dyDescent="0.25">
      <c r="A42" s="3" t="s">
        <v>125</v>
      </c>
      <c r="B42" s="6" t="s">
        <v>201</v>
      </c>
      <c r="C42" s="7">
        <v>17541</v>
      </c>
    </row>
    <row r="43" spans="1:3" x14ac:dyDescent="0.25">
      <c r="A43" s="3" t="s">
        <v>95</v>
      </c>
      <c r="B43" s="3" t="str">
        <f>_xlfn.XLOOKUP(A43,CFS_Standalone!A:A,CFS_Standalone!B:B)</f>
        <v>Cash and Cash Equivalents at the Beginning of the Year</v>
      </c>
      <c r="C43" s="3">
        <f>_xlfn.XLOOKUP(A43,CFS_Standalone!A:A,CFS_Standalone!C:C)</f>
        <v>17519</v>
      </c>
    </row>
    <row r="44" spans="1:3" x14ac:dyDescent="0.25">
      <c r="A44" s="3" t="s">
        <v>96</v>
      </c>
      <c r="B44" s="3" t="str">
        <f>_xlfn.XLOOKUP(A44,CFS_Standalone!A:A,CFS_Standalone!B:B)</f>
        <v>Cash and Cash Equivalents at the End of the Year</v>
      </c>
      <c r="C44" s="3">
        <f>_xlfn.XLOOKUP(A44,CFS_Standalone!A:A,CFS_Standalone!C:C)</f>
        <v>30371</v>
      </c>
    </row>
    <row r="45" spans="1:3" x14ac:dyDescent="0.25">
      <c r="A45" s="3" t="s">
        <v>98</v>
      </c>
      <c r="B45" s="3" t="str">
        <f>_xlfn.XLOOKUP(A45,CFS_Standalone!A:A,CFS_Standalone!B:B)</f>
        <v>Ignore this field</v>
      </c>
      <c r="C45" s="3"/>
    </row>
    <row r="46" spans="1:3" x14ac:dyDescent="0.25">
      <c r="A46" s="3" t="s">
        <v>99</v>
      </c>
      <c r="B46" s="3" t="str">
        <f>_xlfn.XLOOKUP(A46,CFS_Standalone!A:A,CFS_Standalone!B:B)</f>
        <v>Ignore this field</v>
      </c>
      <c r="C46" s="3"/>
    </row>
    <row r="47" spans="1:3" x14ac:dyDescent="0.25">
      <c r="A47" s="3" t="s">
        <v>100</v>
      </c>
      <c r="B47" s="3" t="str">
        <f>_xlfn.XLOOKUP(A47,CFS_Standalone!A:A,CFS_Standalone!B:B)</f>
        <v>Ignore this field</v>
      </c>
      <c r="C47" s="3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18BC-8DAE-4695-BCB3-218AD9FB9D08}">
  <sheetPr codeName="Sheet7"/>
  <dimension ref="A1:C1"/>
  <sheetViews>
    <sheetView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B600-9FED-4AC0-884A-FECD44A252F7}">
  <sheetPr codeName="Sheet8"/>
  <dimension ref="A1:C1"/>
  <sheetViews>
    <sheetView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15</cp:revision>
  <dcterms:created xsi:type="dcterms:W3CDTF">2026-01-06T16:17:38Z</dcterms:created>
  <dcterms:modified xsi:type="dcterms:W3CDTF">2026-01-23T10:09:34Z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2026-01-13T05:42:18Z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41c230a0-53b6-43ec-84a1-f565e4a87663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