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AE122925-27A2-4401-B158-0170658D8AE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7" r:id="rId4"/>
    <sheet name="CFS_Standalone" sheetId="4" r:id="rId5"/>
    <sheet name="CFS_Consolidated" sheetId="8" r:id="rId6"/>
    <sheet name="SR_Standalone" sheetId="2" r:id="rId7"/>
    <sheet name="SR_Consolidated" sheetId="6" r:id="rId8"/>
  </sheets>
  <definedNames>
    <definedName name="_xlnm._FilterDatabase" localSheetId="3" hidden="1">BS_Consolidated!$A$1:$C$58</definedName>
    <definedName name="_xlnm._FilterDatabase" localSheetId="2" hidden="1">BS_Standalone!$A$1:$C$57</definedName>
    <definedName name="_xlnm._FilterDatabase" localSheetId="5" hidden="1">CFS_Consolidated!$A$1:$C$42</definedName>
    <definedName name="_xlnm._FilterDatabase" localSheetId="4" hidden="1">CFS_Standalone!$A$1:$C$41</definedName>
    <definedName name="_xlnm._FilterDatabase" localSheetId="1" hidden="1">'P&amp;L_Consolidated'!$A$1:$C$38</definedName>
    <definedName name="_xlnm._FilterDatabase" localSheetId="0" hidden="1">'P&amp;L_Standalone'!$A$1:$C$38</definedName>
    <definedName name="_xlnm._FilterDatabase" localSheetId="7" hidden="1">SR_Consolidated!$A$1:$C$40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5" l="1"/>
  <c r="C3" i="5"/>
  <c r="B4" i="5"/>
  <c r="C4" i="5"/>
  <c r="B5" i="5"/>
  <c r="C5" i="5"/>
  <c r="B7" i="5"/>
  <c r="C7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8" i="5"/>
  <c r="C18" i="5"/>
  <c r="B20" i="5"/>
  <c r="C20" i="5"/>
  <c r="B21" i="5"/>
  <c r="C21" i="5"/>
  <c r="B22" i="5"/>
  <c r="C22" i="5"/>
  <c r="B26" i="5"/>
  <c r="C26" i="5"/>
  <c r="B27" i="5"/>
  <c r="C27" i="5"/>
  <c r="B28" i="5"/>
  <c r="C28" i="5"/>
  <c r="B29" i="5"/>
  <c r="C29" i="5"/>
  <c r="B31" i="5"/>
  <c r="C31" i="5"/>
  <c r="B34" i="5"/>
  <c r="C34" i="5"/>
  <c r="B35" i="5"/>
  <c r="C35" i="5"/>
</calcChain>
</file>

<file path=xl/sharedStrings.xml><?xml version="1.0" encoding="utf-8"?>
<sst xmlns="http://schemas.openxmlformats.org/spreadsheetml/2006/main" count="614" uniqueCount="251">
  <si>
    <t>INCOMES</t>
  </si>
  <si>
    <t>Revenue from Operations (Net of Taxes)</t>
  </si>
  <si>
    <t>Other Income</t>
  </si>
  <si>
    <t>Total Income</t>
  </si>
  <si>
    <t>EXPENSES</t>
  </si>
  <si>
    <t>Cost of Materials consumed</t>
  </si>
  <si>
    <t>Purchase of Stock in Trade</t>
  </si>
  <si>
    <r>
      <rPr>
        <sz val="11"/>
        <color theme="1"/>
        <rFont val="Calibri"/>
        <family val="2"/>
        <charset val="1"/>
      </rPr>
      <t xml:space="preserve">Changes of Inventories of Finished Goods, Work in </t>
    </r>
    <r>
      <rPr>
        <sz val="11"/>
        <color theme="1"/>
        <rFont val="Calibri"/>
        <family val="2"/>
      </rPr>
      <t>Progress Work in Trade</t>
    </r>
  </si>
  <si>
    <t>Employees Cost</t>
  </si>
  <si>
    <t>Finance Cost</t>
  </si>
  <si>
    <t>Depreciation and Amortisation Expenses</t>
  </si>
  <si>
    <t>Other Expenses</t>
  </si>
  <si>
    <t>TOTAL EXPENSES</t>
  </si>
  <si>
    <t>Profit/(Loss) before Exceptional Items and Tax</t>
  </si>
  <si>
    <t>Exceptional Items&amp; Extraordinary Item</t>
  </si>
  <si>
    <t>Profit/ (Loss) Before Tax</t>
  </si>
  <si>
    <t>TAX EXPENSES</t>
  </si>
  <si>
    <t>Current Tax</t>
  </si>
  <si>
    <t>Deferred Tax</t>
  </si>
  <si>
    <t>Short/(excess) provision of income tax</t>
  </si>
  <si>
    <t>Total Tax Expenses</t>
  </si>
  <si>
    <t>NET PROFIT AFTER TAX FROM BUSINESS</t>
  </si>
  <si>
    <t>OPERATIONS</t>
  </si>
  <si>
    <t>Other Comprehensive Income</t>
  </si>
  <si>
    <t>Items That will not be reclassified to profit or loss</t>
  </si>
  <si>
    <t>Items That will be reclassified to profit or loss</t>
  </si>
  <si>
    <t>Total Comprehensive Income</t>
  </si>
  <si>
    <t>Paid up Equity Share Capital (Amount in lacs)</t>
  </si>
  <si>
    <t>Face Value per share</t>
  </si>
  <si>
    <t>Other Equity Capital (Reserve &amp; Surplus)</t>
  </si>
  <si>
    <t>Earning Per Share (In Rupees) from</t>
  </si>
  <si>
    <t>Continuing Operations (Not Annualized).</t>
  </si>
  <si>
    <t>Basic</t>
  </si>
  <si>
    <t>Diluted</t>
  </si>
  <si>
    <t>Income from Discontinuing Operations</t>
  </si>
  <si>
    <t>Profit /(Loss) from Discontinuing Operations</t>
  </si>
  <si>
    <t>Profit/(loss) for the period After Adjustment of discontinuing Operations with Current Operations</t>
  </si>
  <si>
    <t>Segment Revenue</t>
  </si>
  <si>
    <t>Trading of Commodities including FMCG</t>
  </si>
  <si>
    <r>
      <rPr>
        <sz val="11"/>
        <color theme="1"/>
        <rFont val="Calibri"/>
        <family val="2"/>
        <charset val="1"/>
      </rPr>
      <t xml:space="preserve">Supply of Technical Services for Software </t>
    </r>
    <r>
      <rPr>
        <sz val="11"/>
        <color theme="1"/>
        <rFont val="Calibri"/>
        <family val="2"/>
      </rPr>
      <t>Systems</t>
    </r>
  </si>
  <si>
    <t>Solar</t>
  </si>
  <si>
    <t>Construction Chemicals</t>
  </si>
  <si>
    <t>Other Unallocable Segment</t>
  </si>
  <si>
    <t>Total Segment Revenue</t>
  </si>
  <si>
    <t>Less : Inter-Segment Revenue</t>
  </si>
  <si>
    <t>Net Segment Revenue</t>
  </si>
  <si>
    <r>
      <rPr>
        <sz val="11"/>
        <color theme="1"/>
        <rFont val="Calibri"/>
        <family val="2"/>
        <charset val="1"/>
      </rPr>
      <t xml:space="preserve">Segment Results Profit / (Loss) before Tax, </t>
    </r>
    <r>
      <rPr>
        <sz val="11"/>
        <color theme="1"/>
        <rFont val="Calibri"/>
        <family val="2"/>
      </rPr>
      <t>Interest Depreciation and Amortization Expenses</t>
    </r>
  </si>
  <si>
    <t>Supply of Technical Services for Software Systems</t>
  </si>
  <si>
    <t>Other Unallocable Activities</t>
  </si>
  <si>
    <t>Total Segment Profit / (Loss)</t>
  </si>
  <si>
    <t>Less :</t>
  </si>
  <si>
    <t>Depreciation</t>
  </si>
  <si>
    <t>Other Unallocable Expenses</t>
  </si>
  <si>
    <t>Total</t>
  </si>
  <si>
    <t>Add : Unallocable Income</t>
  </si>
  <si>
    <t>Total Profit before Tax</t>
  </si>
  <si>
    <t>Segment Assets</t>
  </si>
  <si>
    <t>Total Allocable Segment Assets</t>
  </si>
  <si>
    <t>Add : Un-allocable Assets</t>
  </si>
  <si>
    <t>Total Assets</t>
  </si>
  <si>
    <t>Segment Liabilities</t>
  </si>
  <si>
    <t>Total Allocable Segment Liabilities</t>
  </si>
  <si>
    <t>Add : Un-allocable Liabilities</t>
  </si>
  <si>
    <t>Total Liabilities</t>
  </si>
  <si>
    <t>ASSETS</t>
  </si>
  <si>
    <t>Non-current assets</t>
  </si>
  <si>
    <t>Property,Plant and Equipment</t>
  </si>
  <si>
    <t>Capital work-in-progress</t>
  </si>
  <si>
    <t>Investment property</t>
  </si>
  <si>
    <t>Goodwill</t>
  </si>
  <si>
    <t>Other intangible assets</t>
  </si>
  <si>
    <t>Intangible assets under development</t>
  </si>
  <si>
    <t>Biological Assets other than bearer plants</t>
  </si>
  <si>
    <t>Financial assets</t>
  </si>
  <si>
    <t>Investments</t>
  </si>
  <si>
    <t>Trade receivables</t>
  </si>
  <si>
    <t>Loans</t>
  </si>
  <si>
    <t>Other financial assets</t>
  </si>
  <si>
    <t>Deferred tax assets (net)</t>
  </si>
  <si>
    <t>Other non-current assets</t>
  </si>
  <si>
    <t>Current assets</t>
  </si>
  <si>
    <t>Inventories</t>
  </si>
  <si>
    <t>Financial Assets</t>
  </si>
  <si>
    <t>Cash and cash equivalents</t>
  </si>
  <si>
    <t>Other Bank balances</t>
  </si>
  <si>
    <t>Current tax assets (Net)</t>
  </si>
  <si>
    <t>Other current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</si>
  <si>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</si>
  <si>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</si>
  <si>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</si>
  <si>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</si>
  <si>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</si>
  <si>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</si>
  <si>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</si>
  <si>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</si>
  <si>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Trade payables</t>
  </si>
  <si>
    <t>Total outstanding due of</t>
  </si>
  <si>
    <t>Micro enterprises and small enterprises</t>
  </si>
  <si>
    <t>Creditors other than micro enterprises and small enterprises</t>
  </si>
  <si>
    <t>Other financial liabilities</t>
  </si>
  <si>
    <t>Provisions</t>
  </si>
  <si>
    <t>Deferred tax liabilities (Net)</t>
  </si>
  <si>
    <t>Other non-current liabilities</t>
  </si>
  <si>
    <t>Current liabilities</t>
  </si>
  <si>
    <t>Other current liabilities</t>
  </si>
  <si>
    <t>Current tax liabilities (Net)</t>
  </si>
  <si>
    <t>Total Equity and Liabilities</t>
  </si>
  <si>
    <t>CASH FLOW FROM OPERATING ACTIVITIES</t>
  </si>
  <si>
    <t>Net Profit/(Loss) After Tax</t>
  </si>
  <si>
    <t>Add/(Less) : Adjustments for non cash items</t>
  </si>
  <si>
    <t>Provision for tax</t>
  </si>
  <si>
    <t>Add/(Less) : Other adjustments</t>
  </si>
  <si>
    <t>Interest Income</t>
  </si>
  <si>
    <t>Operating Profit before Working Capital Changes</t>
  </si>
  <si>
    <t>Add/(Less) : Adjustments for working capital changes</t>
  </si>
  <si>
    <t>Changes in Current Assets</t>
  </si>
  <si>
    <t>Decrease / (Increase) in Inventory</t>
  </si>
  <si>
    <t>Decrease / (Increase) in Trade Receivables</t>
  </si>
  <si>
    <t>Decrease / (Increase) in Other bank balances</t>
  </si>
  <si>
    <t>Decrease / (Increase) in loans and other financial assets</t>
  </si>
  <si>
    <t>Decrease / (Increase) in Current tax assets</t>
  </si>
  <si>
    <t>Decrease / (Increase) in Other current assets</t>
  </si>
  <si>
    <t>Changes in Current Liabilities</t>
  </si>
  <si>
    <t>(Decrease) / Increase in Trade Payables</t>
  </si>
  <si>
    <t>(Decrease) / Increase in Other Current Liabilities</t>
  </si>
  <si>
    <t>(Decrease) / Increase in Other Financial Liabilities</t>
  </si>
  <si>
    <t>(Decrease) / Increase in Provisions</t>
  </si>
  <si>
    <t>Cash Generated from Operation</t>
  </si>
  <si>
    <t>Less: Income Tax Paid</t>
  </si>
  <si>
    <t>Net cash generated from operations :</t>
  </si>
  <si>
    <t>NET CASH FLOW FROM INVESTING ACTIVITIES</t>
  </si>
  <si>
    <t>Purchase of property, plant &amp; equipment/intangible assets</t>
  </si>
  <si>
    <t>Sale of property, plant &amp; equipment</t>
  </si>
  <si>
    <t>Change in other non current assets</t>
  </si>
  <si>
    <t>Investment in Shares of Subisdiary</t>
  </si>
  <si>
    <t>Investment in Shares (Net)</t>
  </si>
  <si>
    <t>Net cash used in investing activities :</t>
  </si>
  <si>
    <t>CASH FLOW FROM FINANCING ACTIVITIES</t>
  </si>
  <si>
    <t>Proceeds from issue of shares</t>
  </si>
  <si>
    <t>Changes in non current borrowings</t>
  </si>
  <si>
    <t>Interest and Other Borrowing Cost Paid</t>
  </si>
  <si>
    <t>Net cash generated from financing activities :</t>
  </si>
  <si>
    <t>NET INCREASE/(DECREASE) IN CASH AND CASH EQUIVALENTS</t>
  </si>
  <si>
    <t>CASH AND CASH EQUIVALENTS AS AT BEGINNING OF THE YEAR</t>
  </si>
  <si>
    <t>CASH AND CASH EQUIVALENTS AS AT END OF THE YEAR</t>
  </si>
  <si>
    <t>Purchase of Stock in Trade.</t>
  </si>
  <si>
    <t>Share of Net Profit/Loss in Associate</t>
  </si>
  <si>
    <r>
      <rPr>
        <sz val="11"/>
        <color theme="1"/>
        <rFont val="Calibri"/>
        <family val="2"/>
        <charset val="1"/>
      </rPr>
      <t xml:space="preserve">NET PROFIT AFTER TAX FROM BUSINESS </t>
    </r>
    <r>
      <rPr>
        <sz val="11"/>
        <color theme="1"/>
        <rFont val="Calibri"/>
        <family val="2"/>
      </rPr>
      <t>OPERATIONS</t>
    </r>
  </si>
  <si>
    <t xml:space="preserve">Net Segment Revenue </t>
  </si>
  <si>
    <t>Segment Results Profit / (Loss) before Tax Interest Depreciation and Amortization Expenses</t>
  </si>
  <si>
    <t>Property, Plant and Equipment</t>
  </si>
  <si>
    <t>Non-Controlling Interest</t>
  </si>
  <si>
    <t>Net Profit/(Loss) before Tax</t>
  </si>
  <si>
    <t>Changes in Non-Controlling interest</t>
  </si>
  <si>
    <t>Changes in Non Current borrowings</t>
  </si>
  <si>
    <t>Particulars</t>
  </si>
  <si>
    <t>Cogencis Field</t>
  </si>
  <si>
    <t>Field id</t>
  </si>
  <si>
    <t>Miscellaneous Income</t>
  </si>
  <si>
    <t>Cost of Materials Consumed</t>
  </si>
  <si>
    <t>Purchase of Stock-in-Trade</t>
  </si>
  <si>
    <t>Finance Costs</t>
  </si>
  <si>
    <t>Depreciation, Depletion and Amortisation Expense</t>
  </si>
  <si>
    <t>Total Expenses</t>
  </si>
  <si>
    <t>Profit/(Loss) from Ordinary Activities after Finance Costs but before Exceptional Items</t>
  </si>
  <si>
    <t>Profit/(Loss) From Ordinary Activities before Tax</t>
  </si>
  <si>
    <t>Tax Expense</t>
  </si>
  <si>
    <t>Items that will not be reclassified to Profit or Loss</t>
  </si>
  <si>
    <t>Items that will be reclassified to Profit or Loss</t>
  </si>
  <si>
    <t>Total Comprehensive Gain (Loss) For the Year</t>
  </si>
  <si>
    <t>Basic EPS</t>
  </si>
  <si>
    <t>Diluted EPS</t>
  </si>
  <si>
    <t>Gross Sales/Income from Operations</t>
  </si>
  <si>
    <t>Changes in Inventories of Finished Goods, Work-In-Progress and Stock-In-Trade</t>
  </si>
  <si>
    <t>Employee Benefit Expense</t>
  </si>
  <si>
    <t>Other Exceptional Items</t>
  </si>
  <si>
    <t>Net Profit/(Loss) from Ordinary Activities after Tax</t>
  </si>
  <si>
    <t>Paid-Up Equity Share Capital</t>
  </si>
  <si>
    <t>Reserve excluding Revaluation Reserves (as per Balance Sheet of Previous Accounting Year)</t>
  </si>
  <si>
    <t>Share of Profit/(loss) of associates and Joint Ventures before ebt</t>
  </si>
  <si>
    <t>Net Profit/(Loss) for the Period</t>
  </si>
  <si>
    <t>Property, Plant &amp; Equipment</t>
  </si>
  <si>
    <t>Capital Work-In-Progress</t>
  </si>
  <si>
    <t>Investment Property</t>
  </si>
  <si>
    <t>Other Intangible Assets</t>
  </si>
  <si>
    <t>Non-Current Investments</t>
  </si>
  <si>
    <t>Trade Receivables</t>
  </si>
  <si>
    <t>Loans Non-Current</t>
  </si>
  <si>
    <t>Other Non-Current Financial Assets</t>
  </si>
  <si>
    <t>Deferred Tax Assets (Net)</t>
  </si>
  <si>
    <t>Other Non-Current Assets</t>
  </si>
  <si>
    <t>Cash And Cash Equivalents</t>
  </si>
  <si>
    <t>Bank balance other than cash and cash equivalents</t>
  </si>
  <si>
    <t>Current Tax Assets (Net)</t>
  </si>
  <si>
    <t>Other Current Assets</t>
  </si>
  <si>
    <t>Share Capital</t>
  </si>
  <si>
    <t>Reserves And Surplus/Other Equity</t>
  </si>
  <si>
    <t>Trade Payables</t>
  </si>
  <si>
    <t>Other Non Current Financial Liabilities</t>
  </si>
  <si>
    <t>Long-Term Provisions</t>
  </si>
  <si>
    <t>Deferred Tax Liability (Net)</t>
  </si>
  <si>
    <t>Other Non-Current Liabilities</t>
  </si>
  <si>
    <t>Other liabilities</t>
  </si>
  <si>
    <t>Current Tax Liabilities (Net)</t>
  </si>
  <si>
    <t>Total Equity And Liabilities</t>
  </si>
  <si>
    <t>Current Investments</t>
  </si>
  <si>
    <t>Loans, Current</t>
  </si>
  <si>
    <t>Other Current Financial Assets</t>
  </si>
  <si>
    <t>Other Current Financial Liabilities</t>
  </si>
  <si>
    <t>Short-Term Provisions</t>
  </si>
  <si>
    <t>Minority Interest</t>
  </si>
  <si>
    <t>Depreciation and Amortisation Expense</t>
  </si>
  <si>
    <t>Operating Profit Before Working Capital Changes</t>
  </si>
  <si>
    <t>Trade And Other Receivables</t>
  </si>
  <si>
    <t>Loans And Advances</t>
  </si>
  <si>
    <t>Other Current and Non Current Assets</t>
  </si>
  <si>
    <t>Trade Payables And Others</t>
  </si>
  <si>
    <t>Other Current and Non Current Liabilities</t>
  </si>
  <si>
    <t>Income Tax Paid</t>
  </si>
  <si>
    <t>Cash Generated From Operations</t>
  </si>
  <si>
    <t>Net Cash Flow From Investing Activities</t>
  </si>
  <si>
    <t>Purchase Of Fixed Assets (Tangible / Intangible)</t>
  </si>
  <si>
    <t>Sale Of Fixed Assets (Tangible / Intangible)</t>
  </si>
  <si>
    <t>Others-Investing Activities</t>
  </si>
  <si>
    <t>Proceeds From Issue Of Equity Shares (Inclu Share Premium)</t>
  </si>
  <si>
    <t>Proceeds From Long Term Borrowings</t>
  </si>
  <si>
    <t>Net Increase in Cash and Cash Equivalents</t>
  </si>
  <si>
    <t>Cash and Cash Equivalents at the End of the Year</t>
  </si>
  <si>
    <t>Net Profit Before Tax And Exceptional Item</t>
  </si>
  <si>
    <t>Adjustments for other financial liabilities, non-current</t>
  </si>
  <si>
    <t>Net Cash Flow From Operating Activities</t>
  </si>
  <si>
    <t>Investment In Subsidiaries</t>
  </si>
  <si>
    <t>Purchase Of Investments</t>
  </si>
  <si>
    <t>Net Cash Flow From Financing Activities</t>
  </si>
  <si>
    <t>Cash and Cash Equivalents at the Beginning of the Year</t>
  </si>
  <si>
    <t>Others-Financing Activities</t>
  </si>
  <si>
    <t>Product</t>
  </si>
  <si>
    <t>Unallocated Income (Expenses)</t>
  </si>
  <si>
    <t>Less: Inter Segment Revenue</t>
  </si>
  <si>
    <t>Interest Expenses</t>
  </si>
  <si>
    <t>Profit/(Loss) from ordinary activities before tax</t>
  </si>
  <si>
    <t>Unallocable Corporate Assets</t>
  </si>
  <si>
    <t>Total Segment Assets</t>
  </si>
  <si>
    <t>Unallocable Corporate Liabilities</t>
  </si>
  <si>
    <t>Total Segment Liabilities</t>
  </si>
  <si>
    <t>Face Value</t>
  </si>
  <si>
    <t>Interest Paid</t>
  </si>
  <si>
    <t>Interest Received</t>
  </si>
  <si>
    <t>Ignore this field</t>
  </si>
  <si>
    <t>Goodwill On Consolidation</t>
  </si>
  <si>
    <t>Others-Before Working Capital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</si>
</sst>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/>
  </sheetViews>
  <sheetFormatPr defaultColWidth="8.5703125" defaultRowHeight="15" x14ac:dyDescent="0.25"/>
  <cols>
    <col min="1" max="2" width="42.7109375" customWidth="1"/>
    <col min="3" max="3" width="7.5703125" bestFit="1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 t="s">
        <v>172</v>
      </c>
      <c r="C3" s="2">
        <v>256</v>
      </c>
    </row>
    <row r="4" spans="1:3" x14ac:dyDescent="0.25">
      <c r="A4" s="2" t="s">
        <v>2</v>
      </c>
      <c r="B4" s="2" t="s">
        <v>158</v>
      </c>
      <c r="C4" s="2">
        <v>265</v>
      </c>
    </row>
    <row r="5" spans="1:3" x14ac:dyDescent="0.25">
      <c r="A5" s="2" t="s">
        <v>3</v>
      </c>
      <c r="B5" s="2" t="s">
        <v>3</v>
      </c>
      <c r="C5" s="2">
        <v>25238</v>
      </c>
    </row>
    <row r="6" spans="1:3" x14ac:dyDescent="0.25">
      <c r="A6" s="2" t="s">
        <v>4</v>
      </c>
      <c r="B6" s="2"/>
      <c r="C6" s="2"/>
    </row>
    <row r="7" spans="1:3" x14ac:dyDescent="0.25">
      <c r="A7" s="2" t="s">
        <v>5</v>
      </c>
      <c r="B7" s="2" t="s">
        <v>159</v>
      </c>
      <c r="C7" s="2">
        <v>230</v>
      </c>
    </row>
    <row r="8" spans="1:3" x14ac:dyDescent="0.25">
      <c r="A8" s="2" t="s">
        <v>6</v>
      </c>
      <c r="B8" s="2" t="s">
        <v>160</v>
      </c>
      <c r="C8" s="2">
        <v>307</v>
      </c>
    </row>
    <row r="9" spans="1:3" x14ac:dyDescent="0.25">
      <c r="A9" s="2" t="s">
        <v>7</v>
      </c>
      <c r="B9" s="2" t="s">
        <v>173</v>
      </c>
      <c r="C9" s="2">
        <v>227</v>
      </c>
    </row>
    <row r="10" spans="1:3" x14ac:dyDescent="0.25">
      <c r="A10" s="2" t="s">
        <v>8</v>
      </c>
      <c r="B10" s="2" t="s">
        <v>174</v>
      </c>
      <c r="C10" s="2">
        <v>238</v>
      </c>
    </row>
    <row r="11" spans="1:3" x14ac:dyDescent="0.25">
      <c r="A11" s="2" t="s">
        <v>9</v>
      </c>
      <c r="B11" s="2" t="s">
        <v>161</v>
      </c>
      <c r="C11" s="2">
        <v>246</v>
      </c>
    </row>
    <row r="12" spans="1:3" x14ac:dyDescent="0.25">
      <c r="A12" s="2" t="s">
        <v>10</v>
      </c>
      <c r="B12" s="2" t="s">
        <v>162</v>
      </c>
      <c r="C12" s="2">
        <v>232</v>
      </c>
    </row>
    <row r="13" spans="1:3" x14ac:dyDescent="0.25">
      <c r="A13" s="2" t="s">
        <v>11</v>
      </c>
      <c r="B13" s="2" t="s">
        <v>11</v>
      </c>
      <c r="C13" s="2">
        <v>279</v>
      </c>
    </row>
    <row r="14" spans="1:3" x14ac:dyDescent="0.25">
      <c r="A14" s="2" t="s">
        <v>12</v>
      </c>
      <c r="B14" s="2" t="s">
        <v>163</v>
      </c>
      <c r="C14" s="2">
        <v>320</v>
      </c>
    </row>
    <row r="15" spans="1:3" x14ac:dyDescent="0.25">
      <c r="A15" s="2" t="s">
        <v>13</v>
      </c>
      <c r="B15" s="2" t="s">
        <v>164</v>
      </c>
      <c r="C15" s="2">
        <v>294</v>
      </c>
    </row>
    <row r="16" spans="1:3" x14ac:dyDescent="0.25">
      <c r="A16" s="2" t="s">
        <v>14</v>
      </c>
      <c r="B16" s="2" t="s">
        <v>175</v>
      </c>
      <c r="C16" s="2">
        <v>278</v>
      </c>
    </row>
    <row r="17" spans="1:3" x14ac:dyDescent="0.25">
      <c r="A17" s="2" t="s">
        <v>15</v>
      </c>
      <c r="B17" s="2" t="s">
        <v>165</v>
      </c>
      <c r="C17" s="2">
        <v>296</v>
      </c>
    </row>
    <row r="18" spans="1:3" x14ac:dyDescent="0.25">
      <c r="A18" s="2" t="s">
        <v>16</v>
      </c>
      <c r="B18" s="2"/>
      <c r="C18" s="2"/>
    </row>
    <row r="19" spans="1:3" x14ac:dyDescent="0.25">
      <c r="A19" s="3" t="s">
        <v>17</v>
      </c>
      <c r="B19" s="3" t="s">
        <v>166</v>
      </c>
      <c r="C19" s="3">
        <v>318</v>
      </c>
    </row>
    <row r="20" spans="1:3" x14ac:dyDescent="0.25">
      <c r="A20" s="2" t="s">
        <v>18</v>
      </c>
      <c r="B20" s="2" t="s">
        <v>18</v>
      </c>
      <c r="C20" s="2">
        <v>231</v>
      </c>
    </row>
    <row r="21" spans="1:3" x14ac:dyDescent="0.25">
      <c r="A21" s="3" t="s">
        <v>19</v>
      </c>
      <c r="B21" s="3" t="s">
        <v>166</v>
      </c>
      <c r="C21" s="3">
        <v>318</v>
      </c>
    </row>
    <row r="22" spans="1:3" x14ac:dyDescent="0.25">
      <c r="A22" s="2" t="s">
        <v>20</v>
      </c>
      <c r="B22" s="2"/>
      <c r="C22" s="2"/>
    </row>
    <row r="23" spans="1:3" x14ac:dyDescent="0.25">
      <c r="A23" s="2" t="s">
        <v>21</v>
      </c>
      <c r="B23" s="2" t="s">
        <v>176</v>
      </c>
      <c r="C23" s="2">
        <v>270</v>
      </c>
    </row>
    <row r="24" spans="1:3" x14ac:dyDescent="0.25">
      <c r="A24" s="2" t="s">
        <v>22</v>
      </c>
      <c r="B24" s="2"/>
      <c r="C24" s="2"/>
    </row>
    <row r="25" spans="1:3" x14ac:dyDescent="0.25">
      <c r="A25" s="2" t="s">
        <v>23</v>
      </c>
      <c r="B25" s="2"/>
      <c r="C25" s="2"/>
    </row>
    <row r="26" spans="1:3" x14ac:dyDescent="0.25">
      <c r="A26" s="2" t="s">
        <v>24</v>
      </c>
      <c r="B26" s="2" t="s">
        <v>167</v>
      </c>
      <c r="C26" s="2">
        <v>22293</v>
      </c>
    </row>
    <row r="27" spans="1:3" x14ac:dyDescent="0.25">
      <c r="A27" s="2" t="s">
        <v>25</v>
      </c>
      <c r="B27" s="2" t="s">
        <v>168</v>
      </c>
      <c r="C27" s="2">
        <v>22294</v>
      </c>
    </row>
    <row r="28" spans="1:3" x14ac:dyDescent="0.25">
      <c r="A28" s="2" t="s">
        <v>26</v>
      </c>
      <c r="B28" s="2" t="s">
        <v>169</v>
      </c>
      <c r="C28" s="2">
        <v>20019</v>
      </c>
    </row>
    <row r="29" spans="1:3" x14ac:dyDescent="0.25">
      <c r="A29" s="2" t="s">
        <v>27</v>
      </c>
      <c r="B29" s="2" t="s">
        <v>177</v>
      </c>
      <c r="C29" s="2">
        <v>282</v>
      </c>
    </row>
    <row r="30" spans="1:3" x14ac:dyDescent="0.25">
      <c r="A30" s="2" t="s">
        <v>28</v>
      </c>
      <c r="B30" s="2" t="s">
        <v>245</v>
      </c>
      <c r="C30" s="2">
        <v>245</v>
      </c>
    </row>
    <row r="31" spans="1:3" x14ac:dyDescent="0.25">
      <c r="A31" s="2" t="s">
        <v>29</v>
      </c>
      <c r="B31" s="2" t="s">
        <v>178</v>
      </c>
      <c r="C31" s="2">
        <v>309</v>
      </c>
    </row>
    <row r="32" spans="1:3" x14ac:dyDescent="0.25">
      <c r="A32" s="2" t="s">
        <v>30</v>
      </c>
      <c r="B32" s="2"/>
      <c r="C32" s="2"/>
    </row>
    <row r="33" spans="1:4" x14ac:dyDescent="0.25">
      <c r="A33" s="2" t="s">
        <v>31</v>
      </c>
      <c r="B33" s="2"/>
      <c r="C33" s="2"/>
    </row>
    <row r="34" spans="1:4" x14ac:dyDescent="0.25">
      <c r="A34" s="2" t="s">
        <v>32</v>
      </c>
      <c r="B34" s="2" t="s">
        <v>170</v>
      </c>
      <c r="C34" s="2">
        <v>222</v>
      </c>
    </row>
    <row r="35" spans="1:4" x14ac:dyDescent="0.25">
      <c r="A35" s="2" t="s">
        <v>33</v>
      </c>
      <c r="B35" s="2" t="s">
        <v>171</v>
      </c>
      <c r="C35" s="2">
        <v>234</v>
      </c>
    </row>
    <row r="36" spans="1:4" x14ac:dyDescent="0.25">
      <c r="A36" s="2" t="s">
        <v>34</v>
      </c>
      <c r="B36" s="2"/>
      <c r="C36" s="2"/>
      <c r="D36" t="s">
        <v>248</v>
      </c>
    </row>
    <row r="37" spans="1:4" x14ac:dyDescent="0.25">
      <c r="A37" s="2" t="s">
        <v>35</v>
      </c>
      <c r="B37" s="2"/>
      <c r="C37" s="2"/>
      <c r="D37" t="s">
        <v>248</v>
      </c>
    </row>
    <row r="38" spans="1:4" x14ac:dyDescent="0.25">
      <c r="A38" s="2" t="s">
        <v>36</v>
      </c>
      <c r="B38" s="2"/>
      <c r="C38" s="2"/>
      <c r="D38" t="s">
        <v>248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zoomScaleNormal="100" workbookViewId="0"/>
  </sheetViews>
  <sheetFormatPr defaultColWidth="8.5703125" defaultRowHeight="15" x14ac:dyDescent="0.25"/>
  <cols>
    <col min="1" max="2" width="45.28515625" customWidth="1"/>
    <col min="3" max="3" width="6" bestFit="1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 t="str">
        <f>VLOOKUP(A3,'P&amp;L_Standalone'!A:C,2,0)</f>
        <v>Gross Sales/Income from Operations</v>
      </c>
      <c r="C3" s="2">
        <f>VLOOKUP(A3,'P&amp;L_Standalone'!A:C,3,0)</f>
        <v>256</v>
      </c>
    </row>
    <row r="4" spans="1:3" x14ac:dyDescent="0.25">
      <c r="A4" s="2" t="s">
        <v>2</v>
      </c>
      <c r="B4" s="2" t="str">
        <f>VLOOKUP(A4,'P&amp;L_Standalone'!A:C,2,0)</f>
        <v>Miscellaneous Income</v>
      </c>
      <c r="C4" s="2">
        <f>VLOOKUP(A4,'P&amp;L_Standalone'!A:C,3,0)</f>
        <v>265</v>
      </c>
    </row>
    <row r="5" spans="1:3" x14ac:dyDescent="0.25">
      <c r="A5" s="2" t="s">
        <v>3</v>
      </c>
      <c r="B5" s="2" t="str">
        <f>VLOOKUP(A5,'P&amp;L_Standalone'!A:C,2,0)</f>
        <v>Total Income</v>
      </c>
      <c r="C5" s="2">
        <f>VLOOKUP(A5,'P&amp;L_Standalone'!A:C,3,0)</f>
        <v>25238</v>
      </c>
    </row>
    <row r="6" spans="1:3" x14ac:dyDescent="0.25">
      <c r="A6" s="2" t="s">
        <v>4</v>
      </c>
      <c r="B6" s="2"/>
      <c r="C6" s="2"/>
    </row>
    <row r="7" spans="1:3" x14ac:dyDescent="0.25">
      <c r="A7" s="2" t="s">
        <v>5</v>
      </c>
      <c r="B7" s="2" t="str">
        <f>VLOOKUP(A7,'P&amp;L_Standalone'!A:C,2,0)</f>
        <v>Cost of Materials Consumed</v>
      </c>
      <c r="C7" s="2">
        <f>VLOOKUP(A7,'P&amp;L_Standalone'!A:C,3,0)</f>
        <v>230</v>
      </c>
    </row>
    <row r="8" spans="1:3" x14ac:dyDescent="0.25">
      <c r="A8" s="2" t="s">
        <v>145</v>
      </c>
      <c r="B8" s="2" t="s">
        <v>160</v>
      </c>
      <c r="C8" s="2">
        <v>307</v>
      </c>
    </row>
    <row r="9" spans="1:3" x14ac:dyDescent="0.25">
      <c r="A9" s="2" t="s">
        <v>7</v>
      </c>
      <c r="B9" s="2" t="str">
        <f>VLOOKUP(A9,'P&amp;L_Standalone'!A:C,2,0)</f>
        <v>Changes in Inventories of Finished Goods, Work-In-Progress and Stock-In-Trade</v>
      </c>
      <c r="C9" s="2">
        <f>VLOOKUP(A9,'P&amp;L_Standalone'!A:C,3,0)</f>
        <v>227</v>
      </c>
    </row>
    <row r="10" spans="1:3" x14ac:dyDescent="0.25">
      <c r="A10" s="2" t="s">
        <v>8</v>
      </c>
      <c r="B10" s="2" t="str">
        <f>VLOOKUP(A10,'P&amp;L_Standalone'!A:C,2,0)</f>
        <v>Employee Benefit Expense</v>
      </c>
      <c r="C10" s="2">
        <f>VLOOKUP(A10,'P&amp;L_Standalone'!A:C,3,0)</f>
        <v>238</v>
      </c>
    </row>
    <row r="11" spans="1:3" x14ac:dyDescent="0.25">
      <c r="A11" s="2" t="s">
        <v>9</v>
      </c>
      <c r="B11" s="2" t="str">
        <f>VLOOKUP(A11,'P&amp;L_Standalone'!A:C,2,0)</f>
        <v>Finance Costs</v>
      </c>
      <c r="C11" s="2">
        <f>VLOOKUP(A11,'P&amp;L_Standalone'!A:C,3,0)</f>
        <v>246</v>
      </c>
    </row>
    <row r="12" spans="1:3" x14ac:dyDescent="0.25">
      <c r="A12" s="2" t="s">
        <v>10</v>
      </c>
      <c r="B12" s="2" t="str">
        <f>VLOOKUP(A12,'P&amp;L_Standalone'!A:C,2,0)</f>
        <v>Depreciation, Depletion and Amortisation Expense</v>
      </c>
      <c r="C12" s="2">
        <f>VLOOKUP(A12,'P&amp;L_Standalone'!A:C,3,0)</f>
        <v>232</v>
      </c>
    </row>
    <row r="13" spans="1:3" x14ac:dyDescent="0.25">
      <c r="A13" s="2" t="s">
        <v>11</v>
      </c>
      <c r="B13" s="2" t="str">
        <f>VLOOKUP(A13,'P&amp;L_Standalone'!A:C,2,0)</f>
        <v>Other Expenses</v>
      </c>
      <c r="C13" s="2">
        <f>VLOOKUP(A13,'P&amp;L_Standalone'!A:C,3,0)</f>
        <v>279</v>
      </c>
    </row>
    <row r="14" spans="1:3" x14ac:dyDescent="0.25">
      <c r="A14" s="2" t="s">
        <v>12</v>
      </c>
      <c r="B14" s="2" t="str">
        <f>VLOOKUP(A14,'P&amp;L_Standalone'!A:C,2,0)</f>
        <v>Total Expenses</v>
      </c>
      <c r="C14" s="2">
        <f>VLOOKUP(A14,'P&amp;L_Standalone'!A:C,3,0)</f>
        <v>320</v>
      </c>
    </row>
    <row r="15" spans="1:3" x14ac:dyDescent="0.25">
      <c r="A15" s="2" t="s">
        <v>13</v>
      </c>
      <c r="B15" s="2" t="str">
        <f>VLOOKUP(A15,'P&amp;L_Standalone'!A:C,2,0)</f>
        <v>Profit/(Loss) from Ordinary Activities after Finance Costs but before Exceptional Items</v>
      </c>
      <c r="C15" s="2">
        <f>VLOOKUP(A15,'P&amp;L_Standalone'!A:C,3,0)</f>
        <v>294</v>
      </c>
    </row>
    <row r="16" spans="1:3" x14ac:dyDescent="0.25">
      <c r="A16" s="2" t="s">
        <v>14</v>
      </c>
      <c r="B16" s="2" t="str">
        <f>VLOOKUP(A16,'P&amp;L_Standalone'!A:C,2,0)</f>
        <v>Other Exceptional Items</v>
      </c>
      <c r="C16" s="2">
        <f>VLOOKUP(A16,'P&amp;L_Standalone'!A:C,3,0)</f>
        <v>278</v>
      </c>
    </row>
    <row r="17" spans="1:3" x14ac:dyDescent="0.25">
      <c r="A17" s="2" t="s">
        <v>146</v>
      </c>
      <c r="B17" s="2" t="s">
        <v>179</v>
      </c>
      <c r="C17" s="2">
        <v>25236</v>
      </c>
    </row>
    <row r="18" spans="1:3" x14ac:dyDescent="0.25">
      <c r="A18" s="2" t="s">
        <v>15</v>
      </c>
      <c r="B18" s="2" t="str">
        <f>VLOOKUP(A18,'P&amp;L_Standalone'!A:C,2,0)</f>
        <v>Profit/(Loss) From Ordinary Activities before Tax</v>
      </c>
      <c r="C18" s="2">
        <f>VLOOKUP(A18,'P&amp;L_Standalone'!A:C,3,0)</f>
        <v>296</v>
      </c>
    </row>
    <row r="19" spans="1:3" x14ac:dyDescent="0.25">
      <c r="A19" s="2" t="s">
        <v>16</v>
      </c>
      <c r="B19" s="2"/>
      <c r="C19" s="2"/>
    </row>
    <row r="20" spans="1:3" x14ac:dyDescent="0.25">
      <c r="A20" s="3" t="s">
        <v>17</v>
      </c>
      <c r="B20" s="3" t="str">
        <f>VLOOKUP(A20,'P&amp;L_Standalone'!A:C,2,0)</f>
        <v>Tax Expense</v>
      </c>
      <c r="C20" s="3">
        <f>VLOOKUP(A20,'P&amp;L_Standalone'!A:C,3,0)</f>
        <v>318</v>
      </c>
    </row>
    <row r="21" spans="1:3" x14ac:dyDescent="0.25">
      <c r="A21" s="2" t="s">
        <v>18</v>
      </c>
      <c r="B21" s="2" t="str">
        <f>VLOOKUP(A21,'P&amp;L_Standalone'!A:C,2,0)</f>
        <v>Deferred Tax</v>
      </c>
      <c r="C21" s="2">
        <f>VLOOKUP(A21,'P&amp;L_Standalone'!A:C,3,0)</f>
        <v>231</v>
      </c>
    </row>
    <row r="22" spans="1:3" x14ac:dyDescent="0.25">
      <c r="A22" s="3" t="s">
        <v>19</v>
      </c>
      <c r="B22" s="3" t="str">
        <f>VLOOKUP(A22,'P&amp;L_Standalone'!A:C,2,0)</f>
        <v>Tax Expense</v>
      </c>
      <c r="C22" s="3">
        <f>VLOOKUP(A22,'P&amp;L_Standalone'!A:C,3,0)</f>
        <v>318</v>
      </c>
    </row>
    <row r="23" spans="1:3" x14ac:dyDescent="0.25">
      <c r="A23" s="2" t="s">
        <v>20</v>
      </c>
      <c r="B23" s="2"/>
      <c r="C23" s="2"/>
    </row>
    <row r="24" spans="1:3" x14ac:dyDescent="0.25">
      <c r="A24" s="2" t="s">
        <v>147</v>
      </c>
      <c r="B24" s="2" t="s">
        <v>180</v>
      </c>
      <c r="C24" s="2">
        <v>269</v>
      </c>
    </row>
    <row r="25" spans="1:3" x14ac:dyDescent="0.25">
      <c r="A25" s="2" t="s">
        <v>23</v>
      </c>
      <c r="B25" s="2"/>
      <c r="C25" s="2"/>
    </row>
    <row r="26" spans="1:3" x14ac:dyDescent="0.25">
      <c r="A26" s="2" t="s">
        <v>24</v>
      </c>
      <c r="B26" s="2" t="str">
        <f>VLOOKUP(A26,'P&amp;L_Standalone'!A:C,2,0)</f>
        <v>Items that will not be reclassified to Profit or Loss</v>
      </c>
      <c r="C26" s="2">
        <f>VLOOKUP(A26,'P&amp;L_Standalone'!A:C,3,0)</f>
        <v>22293</v>
      </c>
    </row>
    <row r="27" spans="1:3" x14ac:dyDescent="0.25">
      <c r="A27" s="2" t="s">
        <v>25</v>
      </c>
      <c r="B27" s="2" t="str">
        <f>VLOOKUP(A27,'P&amp;L_Standalone'!A:C,2,0)</f>
        <v>Items that will be reclassified to Profit or Loss</v>
      </c>
      <c r="C27" s="2">
        <f>VLOOKUP(A27,'P&amp;L_Standalone'!A:C,3,0)</f>
        <v>22294</v>
      </c>
    </row>
    <row r="28" spans="1:3" x14ac:dyDescent="0.25">
      <c r="A28" s="2" t="s">
        <v>26</v>
      </c>
      <c r="B28" s="2" t="str">
        <f>VLOOKUP(A28,'P&amp;L_Standalone'!A:C,2,0)</f>
        <v>Total Comprehensive Gain (Loss) For the Year</v>
      </c>
      <c r="C28" s="2">
        <f>VLOOKUP(A28,'P&amp;L_Standalone'!A:C,3,0)</f>
        <v>20019</v>
      </c>
    </row>
    <row r="29" spans="1:3" x14ac:dyDescent="0.25">
      <c r="A29" s="2" t="s">
        <v>27</v>
      </c>
      <c r="B29" s="2" t="str">
        <f>VLOOKUP(A29,'P&amp;L_Standalone'!A:C,2,0)</f>
        <v>Paid-Up Equity Share Capital</v>
      </c>
      <c r="C29" s="2">
        <f>VLOOKUP(A29,'P&amp;L_Standalone'!A:C,3,0)</f>
        <v>282</v>
      </c>
    </row>
    <row r="30" spans="1:3" x14ac:dyDescent="0.25">
      <c r="A30" s="2" t="s">
        <v>28</v>
      </c>
      <c r="B30" s="2" t="s">
        <v>245</v>
      </c>
      <c r="C30" s="2">
        <v>245</v>
      </c>
    </row>
    <row r="31" spans="1:3" x14ac:dyDescent="0.25">
      <c r="A31" s="2" t="s">
        <v>29</v>
      </c>
      <c r="B31" s="2" t="str">
        <f>VLOOKUP(A31,'P&amp;L_Standalone'!A:C,2,0)</f>
        <v>Reserve excluding Revaluation Reserves (as per Balance Sheet of Previous Accounting Year)</v>
      </c>
      <c r="C31" s="2">
        <f>VLOOKUP(A31,'P&amp;L_Standalone'!A:C,3,0)</f>
        <v>309</v>
      </c>
    </row>
    <row r="32" spans="1:3" x14ac:dyDescent="0.25">
      <c r="A32" s="2" t="s">
        <v>30</v>
      </c>
      <c r="B32" s="2"/>
      <c r="C32" s="2"/>
    </row>
    <row r="33" spans="1:4" x14ac:dyDescent="0.25">
      <c r="A33" s="2" t="s">
        <v>31</v>
      </c>
      <c r="B33" s="2"/>
      <c r="C33" s="2"/>
    </row>
    <row r="34" spans="1:4" x14ac:dyDescent="0.25">
      <c r="A34" s="2" t="s">
        <v>32</v>
      </c>
      <c r="B34" s="2" t="str">
        <f>VLOOKUP(A34,'P&amp;L_Standalone'!A:C,2,0)</f>
        <v>Basic EPS</v>
      </c>
      <c r="C34" s="2">
        <f>VLOOKUP(A34,'P&amp;L_Standalone'!A:C,3,0)</f>
        <v>222</v>
      </c>
    </row>
    <row r="35" spans="1:4" x14ac:dyDescent="0.25">
      <c r="A35" s="2" t="s">
        <v>33</v>
      </c>
      <c r="B35" s="2" t="str">
        <f>VLOOKUP(A35,'P&amp;L_Standalone'!A:C,2,0)</f>
        <v>Diluted EPS</v>
      </c>
      <c r="C35" s="2">
        <f>VLOOKUP(A35,'P&amp;L_Standalone'!A:C,3,0)</f>
        <v>234</v>
      </c>
    </row>
    <row r="36" spans="1:4" x14ac:dyDescent="0.25">
      <c r="A36" s="2" t="s">
        <v>34</v>
      </c>
      <c r="B36" s="2"/>
      <c r="C36" s="2"/>
      <c r="D36" t="s">
        <v>248</v>
      </c>
    </row>
    <row r="37" spans="1:4" x14ac:dyDescent="0.25">
      <c r="A37" s="2" t="s">
        <v>35</v>
      </c>
      <c r="B37" s="2"/>
      <c r="C37" s="2"/>
      <c r="D37" t="s">
        <v>248</v>
      </c>
    </row>
    <row r="38" spans="1:4" x14ac:dyDescent="0.25">
      <c r="A38" s="2" t="s">
        <v>36</v>
      </c>
      <c r="B38" s="2"/>
      <c r="C38" s="2"/>
      <c r="D38" t="s">
        <v>248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zoomScaleNormal="100" workbookViewId="0"/>
  </sheetViews>
  <sheetFormatPr defaultColWidth="8.5703125" defaultRowHeight="15" x14ac:dyDescent="0.25"/>
  <cols>
    <col min="1" max="1" width="35.42578125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2" t="s">
        <v>64</v>
      </c>
      <c r="B2" s="2"/>
      <c r="C2" s="2"/>
    </row>
    <row r="3" spans="1:3" x14ac:dyDescent="0.25">
      <c r="A3" s="2" t="s">
        <v>65</v>
      </c>
      <c r="B3" s="2"/>
      <c r="C3" s="2"/>
    </row>
    <row r="4" spans="1:3" x14ac:dyDescent="0.25">
      <c r="A4" s="2" t="s">
        <v>66</v>
      </c>
      <c r="B4" s="2" t="s">
        <v>181</v>
      </c>
      <c r="C4" s="2">
        <v>20222</v>
      </c>
    </row>
    <row r="5" spans="1:3" x14ac:dyDescent="0.25">
      <c r="A5" s="2" t="s">
        <v>67</v>
      </c>
      <c r="B5" s="2" t="s">
        <v>182</v>
      </c>
      <c r="C5" s="2">
        <v>13720</v>
      </c>
    </row>
    <row r="6" spans="1:3" x14ac:dyDescent="0.25">
      <c r="A6" s="2" t="s">
        <v>68</v>
      </c>
      <c r="B6" s="2" t="s">
        <v>183</v>
      </c>
      <c r="C6" s="2">
        <v>25736</v>
      </c>
    </row>
    <row r="7" spans="1:3" x14ac:dyDescent="0.25">
      <c r="A7" s="2" t="s">
        <v>69</v>
      </c>
      <c r="B7" s="2" t="s">
        <v>69</v>
      </c>
      <c r="C7" s="2">
        <v>20220</v>
      </c>
    </row>
    <row r="8" spans="1:3" x14ac:dyDescent="0.25">
      <c r="A8" s="2" t="s">
        <v>70</v>
      </c>
      <c r="B8" s="2" t="s">
        <v>184</v>
      </c>
      <c r="C8" s="2">
        <v>20221</v>
      </c>
    </row>
    <row r="9" spans="1:3" x14ac:dyDescent="0.25">
      <c r="A9" s="2" t="s">
        <v>71</v>
      </c>
      <c r="B9" s="2" t="s">
        <v>71</v>
      </c>
      <c r="C9" s="2">
        <v>13736</v>
      </c>
    </row>
    <row r="10" spans="1:3" x14ac:dyDescent="0.25">
      <c r="A10" s="2" t="s">
        <v>72</v>
      </c>
      <c r="B10" s="2" t="s">
        <v>72</v>
      </c>
      <c r="C10" s="2">
        <v>20219</v>
      </c>
    </row>
    <row r="11" spans="1:3" x14ac:dyDescent="0.25">
      <c r="A11" s="2" t="s">
        <v>73</v>
      </c>
      <c r="B11" s="2"/>
      <c r="C11" s="2"/>
    </row>
    <row r="12" spans="1:3" x14ac:dyDescent="0.25">
      <c r="A12" s="2" t="s">
        <v>74</v>
      </c>
      <c r="B12" s="2" t="s">
        <v>185</v>
      </c>
      <c r="C12" s="2">
        <v>13748</v>
      </c>
    </row>
    <row r="13" spans="1:3" x14ac:dyDescent="0.25">
      <c r="A13" s="2" t="s">
        <v>75</v>
      </c>
      <c r="B13" s="2" t="s">
        <v>186</v>
      </c>
      <c r="C13" s="2">
        <v>20218</v>
      </c>
    </row>
    <row r="14" spans="1:3" x14ac:dyDescent="0.25">
      <c r="A14" s="2" t="s">
        <v>76</v>
      </c>
      <c r="B14" s="2" t="s">
        <v>187</v>
      </c>
      <c r="C14" s="2">
        <v>20217</v>
      </c>
    </row>
    <row r="15" spans="1:3" x14ac:dyDescent="0.25">
      <c r="A15" s="2" t="s">
        <v>77</v>
      </c>
      <c r="B15" s="2" t="s">
        <v>188</v>
      </c>
      <c r="C15" s="2">
        <v>20216</v>
      </c>
    </row>
    <row r="16" spans="1:3" x14ac:dyDescent="0.25">
      <c r="A16" s="2" t="s">
        <v>78</v>
      </c>
      <c r="B16" s="2" t="s">
        <v>189</v>
      </c>
      <c r="C16" s="2">
        <v>13726</v>
      </c>
    </row>
    <row r="17" spans="1:3" x14ac:dyDescent="0.25">
      <c r="A17" s="2" t="s">
        <v>79</v>
      </c>
      <c r="B17" s="2" t="s">
        <v>190</v>
      </c>
      <c r="C17" s="2">
        <v>13753</v>
      </c>
    </row>
    <row r="18" spans="1:3" x14ac:dyDescent="0.25">
      <c r="A18" s="2" t="s">
        <v>80</v>
      </c>
      <c r="B18" s="2"/>
      <c r="C18" s="2"/>
    </row>
    <row r="19" spans="1:3" x14ac:dyDescent="0.25">
      <c r="A19" s="2" t="s">
        <v>81</v>
      </c>
      <c r="B19" s="2" t="s">
        <v>81</v>
      </c>
      <c r="C19" s="2">
        <v>13737</v>
      </c>
    </row>
    <row r="20" spans="1:3" x14ac:dyDescent="0.25">
      <c r="A20" s="2" t="s">
        <v>82</v>
      </c>
      <c r="B20" s="2"/>
      <c r="C20" s="2"/>
    </row>
    <row r="21" spans="1:3" x14ac:dyDescent="0.25">
      <c r="A21" s="2" t="s">
        <v>74</v>
      </c>
      <c r="B21" s="2" t="s">
        <v>205</v>
      </c>
      <c r="C21" s="2">
        <v>13724</v>
      </c>
    </row>
    <row r="22" spans="1:3" x14ac:dyDescent="0.25">
      <c r="A22" s="2" t="s">
        <v>75</v>
      </c>
      <c r="B22" s="2" t="s">
        <v>186</v>
      </c>
      <c r="C22" s="2">
        <v>13780</v>
      </c>
    </row>
    <row r="23" spans="1:3" x14ac:dyDescent="0.25">
      <c r="A23" s="2" t="s">
        <v>83</v>
      </c>
      <c r="B23" s="2" t="s">
        <v>191</v>
      </c>
      <c r="C23" s="2">
        <v>13722</v>
      </c>
    </row>
    <row r="24" spans="1:3" x14ac:dyDescent="0.25">
      <c r="A24" s="2" t="s">
        <v>84</v>
      </c>
      <c r="B24" s="2" t="s">
        <v>192</v>
      </c>
      <c r="C24" s="2">
        <v>29788</v>
      </c>
    </row>
    <row r="25" spans="1:3" x14ac:dyDescent="0.25">
      <c r="A25" s="2" t="s">
        <v>76</v>
      </c>
      <c r="B25" s="2" t="s">
        <v>206</v>
      </c>
      <c r="C25" s="2">
        <v>20230</v>
      </c>
    </row>
    <row r="26" spans="1:3" x14ac:dyDescent="0.25">
      <c r="A26" s="2" t="s">
        <v>77</v>
      </c>
      <c r="B26" s="2" t="s">
        <v>207</v>
      </c>
      <c r="C26" s="2">
        <v>20231</v>
      </c>
    </row>
    <row r="27" spans="1:3" x14ac:dyDescent="0.25">
      <c r="A27" s="2" t="s">
        <v>85</v>
      </c>
      <c r="B27" s="2" t="s">
        <v>193</v>
      </c>
      <c r="C27" s="2">
        <v>20228</v>
      </c>
    </row>
    <row r="28" spans="1:3" x14ac:dyDescent="0.25">
      <c r="A28" s="2" t="s">
        <v>86</v>
      </c>
      <c r="B28" s="2" t="s">
        <v>194</v>
      </c>
      <c r="C28" s="2">
        <v>13750</v>
      </c>
    </row>
    <row r="29" spans="1:3" x14ac:dyDescent="0.25">
      <c r="A29" s="2" t="s">
        <v>59</v>
      </c>
      <c r="B29" s="2" t="s">
        <v>59</v>
      </c>
      <c r="C29" s="2">
        <v>13771</v>
      </c>
    </row>
    <row r="30" spans="1:3" x14ac:dyDescent="0.25">
      <c r="A30" s="2" t="s">
        <v>87</v>
      </c>
      <c r="B30" s="2"/>
      <c r="C30" s="2"/>
    </row>
    <row r="31" spans="1:3" x14ac:dyDescent="0.25">
      <c r="A31" s="2" t="s">
        <v>88</v>
      </c>
      <c r="B31" s="2"/>
      <c r="C31" s="2"/>
    </row>
    <row r="32" spans="1:3" x14ac:dyDescent="0.25">
      <c r="A32" s="2" t="s">
        <v>89</v>
      </c>
      <c r="B32" s="2" t="s">
        <v>195</v>
      </c>
      <c r="C32" s="2">
        <v>13765</v>
      </c>
    </row>
    <row r="33" spans="1:3" x14ac:dyDescent="0.25">
      <c r="A33" s="2" t="s">
        <v>90</v>
      </c>
      <c r="B33" s="2" t="s">
        <v>196</v>
      </c>
      <c r="C33" s="2">
        <v>13762</v>
      </c>
    </row>
    <row r="34" spans="1:3" x14ac:dyDescent="0.25">
      <c r="A34" s="2" t="s">
        <v>91</v>
      </c>
      <c r="B34" s="2"/>
      <c r="C34" s="2"/>
    </row>
    <row r="35" spans="1:3" x14ac:dyDescent="0.25">
      <c r="A35" s="2" t="s">
        <v>92</v>
      </c>
      <c r="B35" s="2"/>
      <c r="C35" s="2"/>
    </row>
    <row r="36" spans="1:3" x14ac:dyDescent="0.25">
      <c r="A36" s="2" t="s">
        <v>93</v>
      </c>
      <c r="B36" s="2"/>
      <c r="C36" s="2"/>
    </row>
    <row r="37" spans="1:3" x14ac:dyDescent="0.25">
      <c r="A37" s="2" t="s">
        <v>94</v>
      </c>
      <c r="B37" s="2" t="s">
        <v>94</v>
      </c>
      <c r="C37" s="2">
        <v>20223</v>
      </c>
    </row>
    <row r="38" spans="1:3" x14ac:dyDescent="0.25">
      <c r="A38" s="4" t="s">
        <v>95</v>
      </c>
      <c r="B38" s="4"/>
      <c r="C38" s="4"/>
    </row>
    <row r="39" spans="1:3" x14ac:dyDescent="0.25">
      <c r="A39" s="4" t="s">
        <v>96</v>
      </c>
      <c r="B39" s="4"/>
      <c r="C39" s="4"/>
    </row>
    <row r="40" spans="1:3" x14ac:dyDescent="0.25">
      <c r="A40" s="3" t="s">
        <v>97</v>
      </c>
      <c r="B40" s="3" t="s">
        <v>197</v>
      </c>
      <c r="C40" s="3">
        <v>20227</v>
      </c>
    </row>
    <row r="41" spans="1:3" x14ac:dyDescent="0.25">
      <c r="A41" s="3" t="s">
        <v>98</v>
      </c>
      <c r="B41" s="3" t="s">
        <v>197</v>
      </c>
      <c r="C41" s="3">
        <v>20227</v>
      </c>
    </row>
    <row r="42" spans="1:3" x14ac:dyDescent="0.25">
      <c r="A42" s="2" t="s">
        <v>99</v>
      </c>
      <c r="B42" s="2" t="s">
        <v>198</v>
      </c>
      <c r="C42" s="2">
        <v>20226</v>
      </c>
    </row>
    <row r="43" spans="1:3" x14ac:dyDescent="0.25">
      <c r="A43" s="2" t="s">
        <v>100</v>
      </c>
      <c r="B43" s="2" t="s">
        <v>199</v>
      </c>
      <c r="C43" s="2">
        <v>13743</v>
      </c>
    </row>
    <row r="44" spans="1:3" x14ac:dyDescent="0.25">
      <c r="A44" s="2" t="s">
        <v>101</v>
      </c>
      <c r="B44" s="2" t="s">
        <v>200</v>
      </c>
      <c r="C44" s="2">
        <v>13727</v>
      </c>
    </row>
    <row r="45" spans="1:3" x14ac:dyDescent="0.25">
      <c r="A45" s="2" t="s">
        <v>102</v>
      </c>
      <c r="B45" s="2" t="s">
        <v>201</v>
      </c>
      <c r="C45" s="2">
        <v>26449</v>
      </c>
    </row>
    <row r="46" spans="1:3" x14ac:dyDescent="0.25">
      <c r="A46" s="2" t="s">
        <v>103</v>
      </c>
      <c r="B46" s="2"/>
      <c r="C46" s="2"/>
    </row>
    <row r="47" spans="1:3" x14ac:dyDescent="0.25">
      <c r="A47" s="2" t="s">
        <v>93</v>
      </c>
      <c r="B47" s="2"/>
      <c r="C47" s="2"/>
    </row>
    <row r="48" spans="1:3" x14ac:dyDescent="0.25">
      <c r="A48" s="2" t="s">
        <v>94</v>
      </c>
      <c r="B48" s="2" t="s">
        <v>94</v>
      </c>
      <c r="C48" s="2">
        <v>20209</v>
      </c>
    </row>
    <row r="49" spans="1:3" x14ac:dyDescent="0.25">
      <c r="A49" s="4" t="s">
        <v>95</v>
      </c>
      <c r="B49" s="4"/>
      <c r="C49" s="4"/>
    </row>
    <row r="50" spans="1:3" x14ac:dyDescent="0.25">
      <c r="A50" s="4" t="s">
        <v>96</v>
      </c>
      <c r="B50" s="4"/>
      <c r="C50" s="4"/>
    </row>
    <row r="51" spans="1:3" x14ac:dyDescent="0.25">
      <c r="A51" s="3" t="s">
        <v>97</v>
      </c>
      <c r="B51" s="3" t="s">
        <v>197</v>
      </c>
      <c r="C51" s="3">
        <v>13779</v>
      </c>
    </row>
    <row r="52" spans="1:3" x14ac:dyDescent="0.25">
      <c r="A52" s="3" t="s">
        <v>98</v>
      </c>
      <c r="B52" s="3" t="s">
        <v>197</v>
      </c>
      <c r="C52" s="3">
        <v>13779</v>
      </c>
    </row>
    <row r="53" spans="1:3" x14ac:dyDescent="0.25">
      <c r="A53" s="2" t="s">
        <v>99</v>
      </c>
      <c r="B53" s="2" t="s">
        <v>208</v>
      </c>
      <c r="C53" s="2">
        <v>20214</v>
      </c>
    </row>
    <row r="54" spans="1:3" x14ac:dyDescent="0.25">
      <c r="A54" s="2" t="s">
        <v>104</v>
      </c>
      <c r="B54" s="2" t="s">
        <v>202</v>
      </c>
      <c r="C54" s="2">
        <v>26450</v>
      </c>
    </row>
    <row r="55" spans="1:3" x14ac:dyDescent="0.25">
      <c r="A55" s="2" t="s">
        <v>100</v>
      </c>
      <c r="B55" s="2" t="s">
        <v>209</v>
      </c>
      <c r="C55" s="2">
        <v>13767</v>
      </c>
    </row>
    <row r="56" spans="1:3" x14ac:dyDescent="0.25">
      <c r="A56" s="2" t="s">
        <v>105</v>
      </c>
      <c r="B56" s="2" t="s">
        <v>203</v>
      </c>
      <c r="C56" s="2">
        <v>20211</v>
      </c>
    </row>
    <row r="57" spans="1:3" x14ac:dyDescent="0.25">
      <c r="A57" s="2" t="s">
        <v>106</v>
      </c>
      <c r="B57" s="2" t="s">
        <v>204</v>
      </c>
      <c r="C57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8"/>
  <sheetViews>
    <sheetView zoomScaleNormal="100" workbookViewId="0"/>
  </sheetViews>
  <sheetFormatPr defaultColWidth="8.5703125" defaultRowHeight="15" x14ac:dyDescent="0.25"/>
  <cols>
    <col min="1" max="2" width="37.7109375" customWidth="1"/>
    <col min="3" max="3" width="7.5703125" bestFit="1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2" t="s">
        <v>64</v>
      </c>
      <c r="B2" s="2"/>
      <c r="C2" s="2"/>
    </row>
    <row r="3" spans="1:3" x14ac:dyDescent="0.25">
      <c r="A3" s="2" t="s">
        <v>65</v>
      </c>
      <c r="B3" s="2"/>
      <c r="C3" s="2"/>
    </row>
    <row r="4" spans="1:3" x14ac:dyDescent="0.25">
      <c r="A4" s="2" t="s">
        <v>150</v>
      </c>
      <c r="B4" s="2" t="s">
        <v>181</v>
      </c>
      <c r="C4" s="2">
        <v>20222</v>
      </c>
    </row>
    <row r="5" spans="1:3" x14ac:dyDescent="0.25">
      <c r="A5" s="2" t="s">
        <v>67</v>
      </c>
      <c r="B5" s="2" t="s">
        <v>182</v>
      </c>
      <c r="C5" s="2">
        <v>13720</v>
      </c>
    </row>
    <row r="6" spans="1:3" x14ac:dyDescent="0.25">
      <c r="A6" s="2" t="s">
        <v>68</v>
      </c>
      <c r="B6" s="2" t="s">
        <v>183</v>
      </c>
      <c r="C6" s="2">
        <v>25736</v>
      </c>
    </row>
    <row r="7" spans="1:3" x14ac:dyDescent="0.25">
      <c r="A7" s="2" t="s">
        <v>69</v>
      </c>
      <c r="B7" s="2" t="s">
        <v>249</v>
      </c>
      <c r="C7" s="4">
        <v>13734</v>
      </c>
    </row>
    <row r="8" spans="1:3" x14ac:dyDescent="0.25">
      <c r="A8" s="2" t="s">
        <v>70</v>
      </c>
      <c r="B8" s="2" t="s">
        <v>184</v>
      </c>
      <c r="C8" s="2">
        <v>20221</v>
      </c>
    </row>
    <row r="9" spans="1:3" x14ac:dyDescent="0.25">
      <c r="A9" s="2" t="s">
        <v>71</v>
      </c>
      <c r="B9" s="2" t="s">
        <v>71</v>
      </c>
      <c r="C9" s="2">
        <v>13736</v>
      </c>
    </row>
    <row r="10" spans="1:3" x14ac:dyDescent="0.25">
      <c r="A10" s="2" t="s">
        <v>72</v>
      </c>
      <c r="B10" s="2" t="s">
        <v>72</v>
      </c>
      <c r="C10" s="2">
        <v>20219</v>
      </c>
    </row>
    <row r="11" spans="1:3" x14ac:dyDescent="0.25">
      <c r="A11" s="2" t="s">
        <v>73</v>
      </c>
      <c r="B11" s="2"/>
      <c r="C11" s="2"/>
    </row>
    <row r="12" spans="1:3" x14ac:dyDescent="0.25">
      <c r="A12" s="2" t="s">
        <v>74</v>
      </c>
      <c r="B12" s="2" t="s">
        <v>185</v>
      </c>
      <c r="C12" s="2">
        <v>13748</v>
      </c>
    </row>
    <row r="13" spans="1:3" x14ac:dyDescent="0.25">
      <c r="A13" s="2" t="s">
        <v>75</v>
      </c>
      <c r="B13" s="2" t="s">
        <v>186</v>
      </c>
      <c r="C13" s="2">
        <v>20218</v>
      </c>
    </row>
    <row r="14" spans="1:3" x14ac:dyDescent="0.25">
      <c r="A14" s="2" t="s">
        <v>76</v>
      </c>
      <c r="B14" s="2" t="s">
        <v>187</v>
      </c>
      <c r="C14" s="2">
        <v>20217</v>
      </c>
    </row>
    <row r="15" spans="1:3" x14ac:dyDescent="0.25">
      <c r="A15" s="2" t="s">
        <v>77</v>
      </c>
      <c r="B15" s="2" t="s">
        <v>188</v>
      </c>
      <c r="C15" s="2">
        <v>20216</v>
      </c>
    </row>
    <row r="16" spans="1:3" x14ac:dyDescent="0.25">
      <c r="A16" s="2" t="s">
        <v>78</v>
      </c>
      <c r="B16" s="2" t="s">
        <v>189</v>
      </c>
      <c r="C16" s="2">
        <v>13726</v>
      </c>
    </row>
    <row r="17" spans="1:3" x14ac:dyDescent="0.25">
      <c r="A17" s="2" t="s">
        <v>79</v>
      </c>
      <c r="B17" s="2" t="s">
        <v>190</v>
      </c>
      <c r="C17" s="2">
        <v>13753</v>
      </c>
    </row>
    <row r="18" spans="1:3" x14ac:dyDescent="0.25">
      <c r="A18" s="2" t="s">
        <v>80</v>
      </c>
      <c r="B18" s="2"/>
      <c r="C18" s="2"/>
    </row>
    <row r="19" spans="1:3" x14ac:dyDescent="0.25">
      <c r="A19" s="2" t="s">
        <v>81</v>
      </c>
      <c r="B19" s="2" t="s">
        <v>81</v>
      </c>
      <c r="C19" s="2">
        <v>13737</v>
      </c>
    </row>
    <row r="20" spans="1:3" x14ac:dyDescent="0.25">
      <c r="A20" s="2" t="s">
        <v>82</v>
      </c>
      <c r="B20" s="2"/>
      <c r="C20" s="2"/>
    </row>
    <row r="21" spans="1:3" x14ac:dyDescent="0.25">
      <c r="A21" s="2" t="s">
        <v>74</v>
      </c>
      <c r="B21" s="2" t="s">
        <v>205</v>
      </c>
      <c r="C21" s="2">
        <v>13724</v>
      </c>
    </row>
    <row r="22" spans="1:3" x14ac:dyDescent="0.25">
      <c r="A22" s="2" t="s">
        <v>75</v>
      </c>
      <c r="B22" s="2" t="s">
        <v>186</v>
      </c>
      <c r="C22" s="2">
        <v>13780</v>
      </c>
    </row>
    <row r="23" spans="1:3" x14ac:dyDescent="0.25">
      <c r="A23" s="2" t="s">
        <v>83</v>
      </c>
      <c r="B23" s="2" t="s">
        <v>191</v>
      </c>
      <c r="C23" s="2">
        <v>13722</v>
      </c>
    </row>
    <row r="24" spans="1:3" x14ac:dyDescent="0.25">
      <c r="A24" s="2" t="s">
        <v>84</v>
      </c>
      <c r="B24" s="2" t="s">
        <v>192</v>
      </c>
      <c r="C24" s="2">
        <v>29788</v>
      </c>
    </row>
    <row r="25" spans="1:3" x14ac:dyDescent="0.25">
      <c r="A25" s="2" t="s">
        <v>76</v>
      </c>
      <c r="B25" s="2" t="s">
        <v>206</v>
      </c>
      <c r="C25" s="2">
        <v>20230</v>
      </c>
    </row>
    <row r="26" spans="1:3" x14ac:dyDescent="0.25">
      <c r="A26" s="2" t="s">
        <v>77</v>
      </c>
      <c r="B26" s="2" t="s">
        <v>207</v>
      </c>
      <c r="C26" s="2">
        <v>20231</v>
      </c>
    </row>
    <row r="27" spans="1:3" x14ac:dyDescent="0.25">
      <c r="A27" s="2" t="s">
        <v>85</v>
      </c>
      <c r="B27" s="2" t="s">
        <v>193</v>
      </c>
      <c r="C27" s="2">
        <v>20228</v>
      </c>
    </row>
    <row r="28" spans="1:3" x14ac:dyDescent="0.25">
      <c r="A28" s="2" t="s">
        <v>86</v>
      </c>
      <c r="B28" s="2" t="s">
        <v>194</v>
      </c>
      <c r="C28" s="2">
        <v>13750</v>
      </c>
    </row>
    <row r="29" spans="1:3" x14ac:dyDescent="0.25">
      <c r="A29" s="2" t="s">
        <v>59</v>
      </c>
      <c r="B29" s="2" t="s">
        <v>59</v>
      </c>
      <c r="C29" s="2">
        <v>13771</v>
      </c>
    </row>
    <row r="30" spans="1:3" x14ac:dyDescent="0.25">
      <c r="A30" s="2" t="s">
        <v>87</v>
      </c>
      <c r="B30" s="2"/>
      <c r="C30" s="2"/>
    </row>
    <row r="31" spans="1:3" x14ac:dyDescent="0.25">
      <c r="A31" s="2" t="s">
        <v>88</v>
      </c>
      <c r="B31" s="2"/>
      <c r="C31" s="2"/>
    </row>
    <row r="32" spans="1:3" x14ac:dyDescent="0.25">
      <c r="A32" s="2" t="s">
        <v>89</v>
      </c>
      <c r="B32" s="2" t="s">
        <v>195</v>
      </c>
      <c r="C32" s="2">
        <v>13765</v>
      </c>
    </row>
    <row r="33" spans="1:3" x14ac:dyDescent="0.25">
      <c r="A33" s="2" t="s">
        <v>90</v>
      </c>
      <c r="B33" s="2" t="s">
        <v>196</v>
      </c>
      <c r="C33" s="2">
        <v>13762</v>
      </c>
    </row>
    <row r="34" spans="1:3" x14ac:dyDescent="0.25">
      <c r="A34" s="2" t="s">
        <v>151</v>
      </c>
      <c r="B34" s="2" t="s">
        <v>210</v>
      </c>
      <c r="C34" s="2">
        <v>13744</v>
      </c>
    </row>
    <row r="35" spans="1:3" x14ac:dyDescent="0.25">
      <c r="A35" s="2" t="s">
        <v>91</v>
      </c>
      <c r="B35" s="2"/>
      <c r="C35" s="2"/>
    </row>
    <row r="36" spans="1:3" x14ac:dyDescent="0.25">
      <c r="A36" s="2" t="s">
        <v>92</v>
      </c>
      <c r="B36" s="2"/>
      <c r="C36" s="2"/>
    </row>
    <row r="37" spans="1:3" x14ac:dyDescent="0.25">
      <c r="A37" s="2" t="s">
        <v>93</v>
      </c>
      <c r="B37" s="2"/>
      <c r="C37" s="2"/>
    </row>
    <row r="38" spans="1:3" x14ac:dyDescent="0.25">
      <c r="A38" s="2" t="s">
        <v>94</v>
      </c>
      <c r="B38" s="2" t="s">
        <v>94</v>
      </c>
      <c r="C38" s="2">
        <v>20223</v>
      </c>
    </row>
    <row r="39" spans="1:3" x14ac:dyDescent="0.25">
      <c r="A39" s="4" t="s">
        <v>95</v>
      </c>
      <c r="B39" s="4"/>
      <c r="C39" s="4"/>
    </row>
    <row r="40" spans="1:3" x14ac:dyDescent="0.25">
      <c r="A40" s="4" t="s">
        <v>96</v>
      </c>
      <c r="B40" s="4"/>
      <c r="C40" s="4"/>
    </row>
    <row r="41" spans="1:3" x14ac:dyDescent="0.25">
      <c r="A41" s="3" t="s">
        <v>97</v>
      </c>
      <c r="B41" s="3" t="s">
        <v>197</v>
      </c>
      <c r="C41" s="3">
        <v>20227</v>
      </c>
    </row>
    <row r="42" spans="1:3" x14ac:dyDescent="0.25">
      <c r="A42" s="3" t="s">
        <v>98</v>
      </c>
      <c r="B42" s="3" t="s">
        <v>197</v>
      </c>
      <c r="C42" s="3">
        <v>20227</v>
      </c>
    </row>
    <row r="43" spans="1:3" x14ac:dyDescent="0.25">
      <c r="A43" s="2" t="s">
        <v>99</v>
      </c>
      <c r="B43" s="2" t="s">
        <v>198</v>
      </c>
      <c r="C43" s="2">
        <v>20226</v>
      </c>
    </row>
    <row r="44" spans="1:3" x14ac:dyDescent="0.25">
      <c r="A44" s="2" t="s">
        <v>100</v>
      </c>
      <c r="B44" s="2" t="s">
        <v>199</v>
      </c>
      <c r="C44" s="2">
        <v>13743</v>
      </c>
    </row>
    <row r="45" spans="1:3" x14ac:dyDescent="0.25">
      <c r="A45" s="2" t="s">
        <v>101</v>
      </c>
      <c r="B45" s="2" t="s">
        <v>200</v>
      </c>
      <c r="C45" s="2">
        <v>13727</v>
      </c>
    </row>
    <row r="46" spans="1:3" x14ac:dyDescent="0.25">
      <c r="A46" s="2" t="s">
        <v>102</v>
      </c>
      <c r="B46" s="2" t="s">
        <v>201</v>
      </c>
      <c r="C46" s="2">
        <v>26449</v>
      </c>
    </row>
    <row r="47" spans="1:3" x14ac:dyDescent="0.25">
      <c r="A47" s="2" t="s">
        <v>103</v>
      </c>
      <c r="B47" s="2"/>
      <c r="C47" s="2"/>
    </row>
    <row r="48" spans="1:3" x14ac:dyDescent="0.25">
      <c r="A48" s="2" t="s">
        <v>93</v>
      </c>
      <c r="B48" s="2"/>
      <c r="C48" s="2"/>
    </row>
    <row r="49" spans="1:3" x14ac:dyDescent="0.25">
      <c r="A49" s="2" t="s">
        <v>94</v>
      </c>
      <c r="B49" s="2" t="s">
        <v>94</v>
      </c>
      <c r="C49" s="2">
        <v>20209</v>
      </c>
    </row>
    <row r="50" spans="1:3" x14ac:dyDescent="0.25">
      <c r="A50" s="4" t="s">
        <v>95</v>
      </c>
      <c r="B50" s="4"/>
      <c r="C50" s="4"/>
    </row>
    <row r="51" spans="1:3" x14ac:dyDescent="0.25">
      <c r="A51" s="4" t="s">
        <v>96</v>
      </c>
      <c r="B51" s="4"/>
      <c r="C51" s="4"/>
    </row>
    <row r="52" spans="1:3" x14ac:dyDescent="0.25">
      <c r="A52" s="3" t="s">
        <v>97</v>
      </c>
      <c r="B52" s="3" t="s">
        <v>197</v>
      </c>
      <c r="C52" s="3">
        <v>13779</v>
      </c>
    </row>
    <row r="53" spans="1:3" x14ac:dyDescent="0.25">
      <c r="A53" s="3" t="s">
        <v>98</v>
      </c>
      <c r="B53" s="3" t="s">
        <v>197</v>
      </c>
      <c r="C53" s="3">
        <v>13779</v>
      </c>
    </row>
    <row r="54" spans="1:3" x14ac:dyDescent="0.25">
      <c r="A54" s="2" t="s">
        <v>99</v>
      </c>
      <c r="B54" s="2" t="s">
        <v>208</v>
      </c>
      <c r="C54" s="2">
        <v>20214</v>
      </c>
    </row>
    <row r="55" spans="1:3" x14ac:dyDescent="0.25">
      <c r="A55" s="2" t="s">
        <v>104</v>
      </c>
      <c r="B55" s="2" t="s">
        <v>202</v>
      </c>
      <c r="C55" s="2">
        <v>26450</v>
      </c>
    </row>
    <row r="56" spans="1:3" x14ac:dyDescent="0.25">
      <c r="A56" s="2" t="s">
        <v>100</v>
      </c>
      <c r="B56" s="2" t="s">
        <v>209</v>
      </c>
      <c r="C56" s="2">
        <v>13767</v>
      </c>
    </row>
    <row r="57" spans="1:3" x14ac:dyDescent="0.25">
      <c r="A57" s="2" t="s">
        <v>105</v>
      </c>
      <c r="B57" s="2" t="s">
        <v>203</v>
      </c>
      <c r="C57" s="2">
        <v>20211</v>
      </c>
    </row>
    <row r="58" spans="1:3" x14ac:dyDescent="0.25">
      <c r="A58" s="2" t="s">
        <v>106</v>
      </c>
      <c r="B58" s="2" t="s">
        <v>204</v>
      </c>
      <c r="C58" s="2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zoomScaleNormal="100" workbookViewId="0"/>
  </sheetViews>
  <sheetFormatPr defaultColWidth="8.5703125" defaultRowHeight="15" x14ac:dyDescent="0.25"/>
  <cols>
    <col min="1" max="1" width="56.85546875" bestFit="1" customWidth="1"/>
    <col min="2" max="2" width="55.7109375" bestFit="1" customWidth="1"/>
    <col min="3" max="3" width="7.5703125" bestFit="1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2" t="s">
        <v>107</v>
      </c>
      <c r="B2" s="2"/>
      <c r="C2" s="2"/>
    </row>
    <row r="3" spans="1:3" x14ac:dyDescent="0.25">
      <c r="A3" s="2" t="s">
        <v>108</v>
      </c>
      <c r="B3" s="2" t="s">
        <v>228</v>
      </c>
      <c r="C3" s="2">
        <v>17539</v>
      </c>
    </row>
    <row r="4" spans="1:3" x14ac:dyDescent="0.25">
      <c r="A4" s="2" t="s">
        <v>109</v>
      </c>
      <c r="B4" s="2"/>
      <c r="C4" s="2"/>
    </row>
    <row r="5" spans="1:3" x14ac:dyDescent="0.25">
      <c r="A5" s="2" t="s">
        <v>51</v>
      </c>
      <c r="B5" s="2" t="s">
        <v>211</v>
      </c>
      <c r="C5" s="2">
        <v>30399</v>
      </c>
    </row>
    <row r="6" spans="1:3" x14ac:dyDescent="0.25">
      <c r="A6" s="2" t="s">
        <v>110</v>
      </c>
      <c r="B6" s="2" t="s">
        <v>250</v>
      </c>
      <c r="C6" s="4">
        <v>17542</v>
      </c>
    </row>
    <row r="7" spans="1:3" x14ac:dyDescent="0.25">
      <c r="A7" s="2" t="s">
        <v>111</v>
      </c>
      <c r="B7" s="2"/>
      <c r="C7" s="2"/>
    </row>
    <row r="8" spans="1:3" x14ac:dyDescent="0.25">
      <c r="A8" s="2" t="s">
        <v>112</v>
      </c>
      <c r="B8" s="2" t="s">
        <v>112</v>
      </c>
      <c r="C8" s="2">
        <v>30481</v>
      </c>
    </row>
    <row r="9" spans="1:3" x14ac:dyDescent="0.25">
      <c r="A9" s="2" t="s">
        <v>113</v>
      </c>
      <c r="B9" s="2" t="s">
        <v>212</v>
      </c>
      <c r="C9" s="2">
        <v>30511</v>
      </c>
    </row>
    <row r="10" spans="1:3" x14ac:dyDescent="0.25">
      <c r="A10" s="2" t="s">
        <v>114</v>
      </c>
      <c r="B10" s="2"/>
      <c r="C10" s="2"/>
    </row>
    <row r="11" spans="1:3" x14ac:dyDescent="0.25">
      <c r="A11" s="2" t="s">
        <v>115</v>
      </c>
      <c r="B11" s="2"/>
      <c r="C11" s="2"/>
    </row>
    <row r="12" spans="1:3" x14ac:dyDescent="0.25">
      <c r="A12" s="2" t="s">
        <v>116</v>
      </c>
      <c r="B12" s="2" t="s">
        <v>81</v>
      </c>
      <c r="C12" s="2">
        <v>30487</v>
      </c>
    </row>
    <row r="13" spans="1:3" x14ac:dyDescent="0.25">
      <c r="A13" s="2" t="s">
        <v>117</v>
      </c>
      <c r="B13" s="2" t="s">
        <v>213</v>
      </c>
      <c r="C13" s="2">
        <v>30674</v>
      </c>
    </row>
    <row r="14" spans="1:3" x14ac:dyDescent="0.25">
      <c r="A14" s="3" t="s">
        <v>118</v>
      </c>
      <c r="B14" s="3" t="s">
        <v>215</v>
      </c>
      <c r="C14" s="3">
        <v>30518</v>
      </c>
    </row>
    <row r="15" spans="1:3" x14ac:dyDescent="0.25">
      <c r="A15" s="2" t="s">
        <v>119</v>
      </c>
      <c r="B15" s="2" t="s">
        <v>214</v>
      </c>
      <c r="C15" s="2">
        <v>30497</v>
      </c>
    </row>
    <row r="16" spans="1:3" x14ac:dyDescent="0.25">
      <c r="A16" s="3" t="s">
        <v>120</v>
      </c>
      <c r="B16" s="3" t="s">
        <v>215</v>
      </c>
      <c r="C16" s="3">
        <v>30518</v>
      </c>
    </row>
    <row r="17" spans="1:3" x14ac:dyDescent="0.25">
      <c r="A17" s="3" t="s">
        <v>121</v>
      </c>
      <c r="B17" s="3" t="s">
        <v>215</v>
      </c>
      <c r="C17" s="3">
        <v>30518</v>
      </c>
    </row>
    <row r="18" spans="1:3" x14ac:dyDescent="0.25">
      <c r="A18" s="2" t="s">
        <v>122</v>
      </c>
      <c r="B18" s="2"/>
      <c r="C18" s="2"/>
    </row>
    <row r="19" spans="1:3" x14ac:dyDescent="0.25">
      <c r="A19" s="2" t="s">
        <v>123</v>
      </c>
      <c r="B19" s="2" t="s">
        <v>216</v>
      </c>
      <c r="C19" s="2">
        <v>30675</v>
      </c>
    </row>
    <row r="20" spans="1:3" x14ac:dyDescent="0.25">
      <c r="A20" s="2" t="s">
        <v>124</v>
      </c>
      <c r="B20" s="2" t="s">
        <v>217</v>
      </c>
      <c r="C20" s="2">
        <v>30519</v>
      </c>
    </row>
    <row r="21" spans="1:3" x14ac:dyDescent="0.25">
      <c r="A21" s="2" t="s">
        <v>125</v>
      </c>
      <c r="B21" s="2" t="s">
        <v>229</v>
      </c>
      <c r="C21" s="2">
        <v>30454</v>
      </c>
    </row>
    <row r="22" spans="1:3" x14ac:dyDescent="0.25">
      <c r="A22" s="2" t="s">
        <v>126</v>
      </c>
      <c r="B22" s="2" t="s">
        <v>100</v>
      </c>
      <c r="C22" s="2">
        <v>30627</v>
      </c>
    </row>
    <row r="23" spans="1:3" x14ac:dyDescent="0.25">
      <c r="A23" s="2" t="s">
        <v>127</v>
      </c>
      <c r="B23" s="2" t="s">
        <v>230</v>
      </c>
      <c r="C23" s="2">
        <v>17538</v>
      </c>
    </row>
    <row r="24" spans="1:3" x14ac:dyDescent="0.25">
      <c r="A24" s="2" t="s">
        <v>128</v>
      </c>
      <c r="B24" s="2" t="s">
        <v>218</v>
      </c>
      <c r="C24" s="2">
        <v>30422</v>
      </c>
    </row>
    <row r="25" spans="1:3" x14ac:dyDescent="0.25">
      <c r="A25" s="2" t="s">
        <v>129</v>
      </c>
      <c r="B25" s="2" t="s">
        <v>219</v>
      </c>
      <c r="C25" s="2">
        <v>30372</v>
      </c>
    </row>
    <row r="26" spans="1:3" x14ac:dyDescent="0.25">
      <c r="A26" s="4" t="s">
        <v>130</v>
      </c>
      <c r="B26" s="4"/>
      <c r="C26" s="4"/>
    </row>
    <row r="27" spans="1:3" x14ac:dyDescent="0.25">
      <c r="A27" s="2" t="s">
        <v>131</v>
      </c>
      <c r="B27" s="2" t="s">
        <v>221</v>
      </c>
      <c r="C27" s="2">
        <v>17556</v>
      </c>
    </row>
    <row r="28" spans="1:3" x14ac:dyDescent="0.25">
      <c r="A28" s="2" t="s">
        <v>132</v>
      </c>
      <c r="B28" s="2" t="s">
        <v>222</v>
      </c>
      <c r="C28" s="2">
        <v>30662</v>
      </c>
    </row>
    <row r="29" spans="1:3" x14ac:dyDescent="0.25">
      <c r="A29" s="4" t="s">
        <v>133</v>
      </c>
      <c r="B29" s="4" t="s">
        <v>223</v>
      </c>
      <c r="C29" s="4">
        <v>17545</v>
      </c>
    </row>
    <row r="30" spans="1:3" x14ac:dyDescent="0.25">
      <c r="A30" s="2" t="s">
        <v>134</v>
      </c>
      <c r="B30" s="2" t="s">
        <v>231</v>
      </c>
      <c r="C30" s="2">
        <v>30491</v>
      </c>
    </row>
    <row r="31" spans="1:3" x14ac:dyDescent="0.25">
      <c r="A31" s="2" t="s">
        <v>135</v>
      </c>
      <c r="B31" s="2" t="s">
        <v>232</v>
      </c>
      <c r="C31" s="2">
        <v>17557</v>
      </c>
    </row>
    <row r="32" spans="1:3" x14ac:dyDescent="0.25">
      <c r="A32" s="4" t="s">
        <v>112</v>
      </c>
      <c r="B32" s="2" t="s">
        <v>247</v>
      </c>
      <c r="C32" s="4">
        <v>30485</v>
      </c>
    </row>
    <row r="33" spans="1:3" x14ac:dyDescent="0.25">
      <c r="A33" s="4" t="s">
        <v>136</v>
      </c>
      <c r="B33" s="4" t="s">
        <v>220</v>
      </c>
      <c r="C33" s="4">
        <v>17537</v>
      </c>
    </row>
    <row r="34" spans="1:3" x14ac:dyDescent="0.25">
      <c r="A34" s="2" t="s">
        <v>137</v>
      </c>
      <c r="B34" s="2"/>
      <c r="C34" s="2"/>
    </row>
    <row r="35" spans="1:3" x14ac:dyDescent="0.25">
      <c r="A35" s="2" t="s">
        <v>138</v>
      </c>
      <c r="B35" s="2" t="s">
        <v>224</v>
      </c>
      <c r="C35" s="2">
        <v>17553</v>
      </c>
    </row>
    <row r="36" spans="1:3" x14ac:dyDescent="0.25">
      <c r="A36" s="2" t="s">
        <v>139</v>
      </c>
      <c r="B36" s="2" t="s">
        <v>225</v>
      </c>
      <c r="C36" s="2">
        <v>17554</v>
      </c>
    </row>
    <row r="37" spans="1:3" x14ac:dyDescent="0.25">
      <c r="A37" s="2" t="s">
        <v>140</v>
      </c>
      <c r="B37" s="2" t="s">
        <v>246</v>
      </c>
      <c r="C37" s="2">
        <v>30484</v>
      </c>
    </row>
    <row r="38" spans="1:3" x14ac:dyDescent="0.25">
      <c r="A38" s="2" t="s">
        <v>141</v>
      </c>
      <c r="B38" s="2" t="s">
        <v>233</v>
      </c>
      <c r="C38" s="2">
        <v>17536</v>
      </c>
    </row>
    <row r="39" spans="1:3" x14ac:dyDescent="0.25">
      <c r="A39" s="2" t="s">
        <v>142</v>
      </c>
      <c r="B39" s="2" t="s">
        <v>226</v>
      </c>
      <c r="C39" s="2">
        <v>17541</v>
      </c>
    </row>
    <row r="40" spans="1:3" x14ac:dyDescent="0.25">
      <c r="A40" s="2" t="s">
        <v>143</v>
      </c>
      <c r="B40" s="2" t="s">
        <v>234</v>
      </c>
      <c r="C40" s="2">
        <v>17519</v>
      </c>
    </row>
    <row r="41" spans="1:3" x14ac:dyDescent="0.25">
      <c r="A41" s="2" t="s">
        <v>144</v>
      </c>
      <c r="B41" s="2" t="s">
        <v>227</v>
      </c>
      <c r="C41" s="2">
        <v>30371</v>
      </c>
    </row>
  </sheetData>
  <conditionalFormatting sqref="C1:C13 C15 C18:C1048576">
    <cfRule type="duplicateValues" dxfId="3" priority="2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2"/>
  <sheetViews>
    <sheetView zoomScaleNormal="100" workbookViewId="0"/>
  </sheetViews>
  <sheetFormatPr defaultColWidth="8.5703125" defaultRowHeight="15" x14ac:dyDescent="0.25"/>
  <cols>
    <col min="1" max="1" width="56.85546875" bestFit="1" customWidth="1"/>
    <col min="2" max="2" width="55.7109375" bestFit="1" customWidth="1"/>
    <col min="3" max="3" width="7.5703125" bestFit="1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2" t="s">
        <v>107</v>
      </c>
      <c r="B2" s="2"/>
      <c r="C2" s="2"/>
    </row>
    <row r="3" spans="1:3" x14ac:dyDescent="0.25">
      <c r="A3" s="2" t="s">
        <v>152</v>
      </c>
      <c r="B3" s="2" t="s">
        <v>228</v>
      </c>
      <c r="C3" s="2">
        <v>17539</v>
      </c>
    </row>
    <row r="4" spans="1:3" x14ac:dyDescent="0.25">
      <c r="A4" s="2" t="s">
        <v>109</v>
      </c>
      <c r="B4" s="2"/>
      <c r="C4" s="2"/>
    </row>
    <row r="5" spans="1:3" x14ac:dyDescent="0.25">
      <c r="A5" s="2" t="s">
        <v>51</v>
      </c>
      <c r="B5" s="2" t="s">
        <v>211</v>
      </c>
      <c r="C5" s="2">
        <v>30399</v>
      </c>
    </row>
    <row r="6" spans="1:3" x14ac:dyDescent="0.25">
      <c r="A6" s="2" t="s">
        <v>110</v>
      </c>
      <c r="B6" s="2" t="s">
        <v>250</v>
      </c>
      <c r="C6" s="4">
        <v>17542</v>
      </c>
    </row>
    <row r="7" spans="1:3" x14ac:dyDescent="0.25">
      <c r="A7" s="2" t="s">
        <v>111</v>
      </c>
      <c r="B7" s="2"/>
      <c r="C7" s="2"/>
    </row>
    <row r="8" spans="1:3" x14ac:dyDescent="0.25">
      <c r="A8" s="2" t="s">
        <v>112</v>
      </c>
      <c r="B8" s="2" t="s">
        <v>112</v>
      </c>
      <c r="C8" s="2">
        <v>30481</v>
      </c>
    </row>
    <row r="9" spans="1:3" x14ac:dyDescent="0.25">
      <c r="A9" s="2" t="s">
        <v>113</v>
      </c>
      <c r="B9" s="2" t="s">
        <v>212</v>
      </c>
      <c r="C9" s="2">
        <v>30511</v>
      </c>
    </row>
    <row r="10" spans="1:3" x14ac:dyDescent="0.25">
      <c r="A10" s="2" t="s">
        <v>114</v>
      </c>
      <c r="B10" s="2"/>
      <c r="C10" s="2"/>
    </row>
    <row r="11" spans="1:3" x14ac:dyDescent="0.25">
      <c r="A11" s="2" t="s">
        <v>115</v>
      </c>
      <c r="B11" s="2"/>
      <c r="C11" s="2"/>
    </row>
    <row r="12" spans="1:3" x14ac:dyDescent="0.25">
      <c r="A12" s="2" t="s">
        <v>116</v>
      </c>
      <c r="B12" s="2" t="s">
        <v>81</v>
      </c>
      <c r="C12" s="2">
        <v>30487</v>
      </c>
    </row>
    <row r="13" spans="1:3" x14ac:dyDescent="0.25">
      <c r="A13" s="2" t="s">
        <v>117</v>
      </c>
      <c r="B13" s="2" t="s">
        <v>213</v>
      </c>
      <c r="C13" s="2">
        <v>30674</v>
      </c>
    </row>
    <row r="14" spans="1:3" x14ac:dyDescent="0.25">
      <c r="A14" s="3" t="s">
        <v>118</v>
      </c>
      <c r="B14" s="3" t="s">
        <v>215</v>
      </c>
      <c r="C14" s="3">
        <v>30518</v>
      </c>
    </row>
    <row r="15" spans="1:3" x14ac:dyDescent="0.25">
      <c r="A15" s="2" t="s">
        <v>119</v>
      </c>
      <c r="B15" s="2" t="s">
        <v>214</v>
      </c>
      <c r="C15" s="2">
        <v>30497</v>
      </c>
    </row>
    <row r="16" spans="1:3" x14ac:dyDescent="0.25">
      <c r="A16" s="3" t="s">
        <v>120</v>
      </c>
      <c r="B16" s="3" t="s">
        <v>215</v>
      </c>
      <c r="C16" s="3">
        <v>30518</v>
      </c>
    </row>
    <row r="17" spans="1:3" x14ac:dyDescent="0.25">
      <c r="A17" s="3" t="s">
        <v>121</v>
      </c>
      <c r="B17" s="3" t="s">
        <v>215</v>
      </c>
      <c r="C17" s="3">
        <v>30518</v>
      </c>
    </row>
    <row r="18" spans="1:3" x14ac:dyDescent="0.25">
      <c r="A18" s="2" t="s">
        <v>122</v>
      </c>
      <c r="B18" s="2"/>
      <c r="C18" s="2"/>
    </row>
    <row r="19" spans="1:3" x14ac:dyDescent="0.25">
      <c r="A19" s="2" t="s">
        <v>123</v>
      </c>
      <c r="B19" s="2" t="s">
        <v>216</v>
      </c>
      <c r="C19" s="2">
        <v>30675</v>
      </c>
    </row>
    <row r="20" spans="1:3" x14ac:dyDescent="0.25">
      <c r="A20" s="2" t="s">
        <v>124</v>
      </c>
      <c r="B20" s="2" t="s">
        <v>217</v>
      </c>
      <c r="C20" s="2">
        <v>30519</v>
      </c>
    </row>
    <row r="21" spans="1:3" x14ac:dyDescent="0.25">
      <c r="A21" s="2" t="s">
        <v>125</v>
      </c>
      <c r="B21" s="2" t="s">
        <v>229</v>
      </c>
      <c r="C21" s="2">
        <v>30454</v>
      </c>
    </row>
    <row r="22" spans="1:3" x14ac:dyDescent="0.25">
      <c r="A22" s="2" t="s">
        <v>126</v>
      </c>
      <c r="B22" s="2" t="s">
        <v>100</v>
      </c>
      <c r="C22" s="2">
        <v>30627</v>
      </c>
    </row>
    <row r="23" spans="1:3" x14ac:dyDescent="0.25">
      <c r="A23" s="2" t="s">
        <v>127</v>
      </c>
      <c r="B23" s="2" t="s">
        <v>230</v>
      </c>
      <c r="C23" s="2">
        <v>17538</v>
      </c>
    </row>
    <row r="24" spans="1:3" x14ac:dyDescent="0.25">
      <c r="A24" s="2" t="s">
        <v>128</v>
      </c>
      <c r="B24" s="2" t="s">
        <v>218</v>
      </c>
      <c r="C24" s="2">
        <v>30422</v>
      </c>
    </row>
    <row r="25" spans="1:3" x14ac:dyDescent="0.25">
      <c r="A25" s="2" t="s">
        <v>129</v>
      </c>
      <c r="B25" s="2" t="s">
        <v>219</v>
      </c>
      <c r="C25" s="2">
        <v>30372</v>
      </c>
    </row>
    <row r="26" spans="1:3" x14ac:dyDescent="0.25">
      <c r="A26" s="2" t="s">
        <v>130</v>
      </c>
      <c r="B26" s="2"/>
      <c r="C26" s="2"/>
    </row>
    <row r="27" spans="1:3" x14ac:dyDescent="0.25">
      <c r="A27" s="2" t="s">
        <v>131</v>
      </c>
      <c r="B27" s="2" t="s">
        <v>221</v>
      </c>
      <c r="C27" s="2">
        <v>17556</v>
      </c>
    </row>
    <row r="28" spans="1:3" x14ac:dyDescent="0.25">
      <c r="A28" s="2" t="s">
        <v>132</v>
      </c>
      <c r="B28" s="2" t="s">
        <v>222</v>
      </c>
      <c r="C28" s="2">
        <v>30662</v>
      </c>
    </row>
    <row r="29" spans="1:3" x14ac:dyDescent="0.25">
      <c r="A29" s="4" t="s">
        <v>133</v>
      </c>
      <c r="B29" s="4" t="s">
        <v>223</v>
      </c>
      <c r="C29" s="4">
        <v>17545</v>
      </c>
    </row>
    <row r="30" spans="1:3" x14ac:dyDescent="0.25">
      <c r="A30" s="2" t="s">
        <v>134</v>
      </c>
      <c r="B30" s="2" t="s">
        <v>231</v>
      </c>
      <c r="C30" s="2">
        <v>30491</v>
      </c>
    </row>
    <row r="31" spans="1:3" x14ac:dyDescent="0.25">
      <c r="A31" s="2" t="s">
        <v>135</v>
      </c>
      <c r="B31" s="2" t="s">
        <v>232</v>
      </c>
      <c r="C31" s="2">
        <v>17557</v>
      </c>
    </row>
    <row r="32" spans="1:3" x14ac:dyDescent="0.25">
      <c r="A32" s="2" t="s">
        <v>112</v>
      </c>
      <c r="B32" s="2" t="s">
        <v>247</v>
      </c>
      <c r="C32" s="2">
        <v>30485</v>
      </c>
    </row>
    <row r="33" spans="1:3" x14ac:dyDescent="0.25">
      <c r="A33" s="2" t="s">
        <v>136</v>
      </c>
      <c r="B33" s="2" t="s">
        <v>220</v>
      </c>
      <c r="C33" s="2">
        <v>17537</v>
      </c>
    </row>
    <row r="34" spans="1:3" x14ac:dyDescent="0.25">
      <c r="A34" s="2" t="s">
        <v>137</v>
      </c>
      <c r="B34" s="2"/>
      <c r="C34" s="2"/>
    </row>
    <row r="35" spans="1:3" x14ac:dyDescent="0.25">
      <c r="A35" s="2" t="s">
        <v>138</v>
      </c>
      <c r="B35" s="2" t="s">
        <v>224</v>
      </c>
      <c r="C35" s="2">
        <v>17553</v>
      </c>
    </row>
    <row r="36" spans="1:3" x14ac:dyDescent="0.25">
      <c r="A36" s="2" t="s">
        <v>153</v>
      </c>
      <c r="B36" s="2" t="s">
        <v>235</v>
      </c>
      <c r="C36" s="2">
        <v>17543</v>
      </c>
    </row>
    <row r="37" spans="1:3" x14ac:dyDescent="0.25">
      <c r="A37" s="2" t="s">
        <v>154</v>
      </c>
      <c r="B37" s="2" t="s">
        <v>225</v>
      </c>
      <c r="C37" s="2">
        <v>17554</v>
      </c>
    </row>
    <row r="38" spans="1:3" x14ac:dyDescent="0.25">
      <c r="A38" s="2" t="s">
        <v>140</v>
      </c>
      <c r="B38" s="2" t="s">
        <v>246</v>
      </c>
      <c r="C38" s="2">
        <v>30484</v>
      </c>
    </row>
    <row r="39" spans="1:3" x14ac:dyDescent="0.25">
      <c r="A39" s="2" t="s">
        <v>141</v>
      </c>
      <c r="B39" s="2" t="s">
        <v>233</v>
      </c>
      <c r="C39" s="2">
        <v>17536</v>
      </c>
    </row>
    <row r="40" spans="1:3" x14ac:dyDescent="0.25">
      <c r="A40" s="2" t="s">
        <v>142</v>
      </c>
      <c r="B40" s="2" t="s">
        <v>226</v>
      </c>
      <c r="C40" s="2">
        <v>17541</v>
      </c>
    </row>
    <row r="41" spans="1:3" x14ac:dyDescent="0.25">
      <c r="A41" s="2" t="s">
        <v>143</v>
      </c>
      <c r="B41" s="2" t="s">
        <v>234</v>
      </c>
      <c r="C41" s="2">
        <v>17519</v>
      </c>
    </row>
    <row r="42" spans="1:3" x14ac:dyDescent="0.25">
      <c r="A42" s="2" t="s">
        <v>144</v>
      </c>
      <c r="B42" s="2" t="s">
        <v>227</v>
      </c>
      <c r="C42" s="2">
        <v>30371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zoomScaleNormal="100" workbookViewId="0"/>
  </sheetViews>
  <sheetFormatPr defaultColWidth="8.5703125" defaultRowHeight="15" x14ac:dyDescent="0.25"/>
  <cols>
    <col min="1" max="1" width="84.7109375" bestFit="1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2" t="s">
        <v>37</v>
      </c>
      <c r="B2" s="2"/>
      <c r="C2" s="2"/>
    </row>
    <row r="3" spans="1:3" x14ac:dyDescent="0.25">
      <c r="A3" s="2" t="s">
        <v>38</v>
      </c>
      <c r="B3" s="2" t="s">
        <v>236</v>
      </c>
      <c r="C3" s="2"/>
    </row>
    <row r="4" spans="1:3" x14ac:dyDescent="0.25">
      <c r="A4" s="2" t="s">
        <v>39</v>
      </c>
      <c r="B4" s="2" t="s">
        <v>236</v>
      </c>
      <c r="C4" s="2"/>
    </row>
    <row r="5" spans="1:3" x14ac:dyDescent="0.25">
      <c r="A5" s="2" t="s">
        <v>40</v>
      </c>
      <c r="B5" s="2" t="s">
        <v>236</v>
      </c>
      <c r="C5" s="2"/>
    </row>
    <row r="6" spans="1:3" x14ac:dyDescent="0.25">
      <c r="A6" s="2" t="s">
        <v>41</v>
      </c>
      <c r="B6" s="2" t="s">
        <v>236</v>
      </c>
      <c r="C6" s="2"/>
    </row>
    <row r="7" spans="1:3" x14ac:dyDescent="0.25">
      <c r="A7" s="2" t="s">
        <v>42</v>
      </c>
      <c r="B7" s="2" t="s">
        <v>237</v>
      </c>
      <c r="C7" s="2">
        <v>8925</v>
      </c>
    </row>
    <row r="8" spans="1:3" x14ac:dyDescent="0.25">
      <c r="A8" s="2" t="s">
        <v>43</v>
      </c>
      <c r="B8" s="2"/>
      <c r="C8" s="2"/>
    </row>
    <row r="9" spans="1:3" x14ac:dyDescent="0.25">
      <c r="A9" s="2" t="s">
        <v>44</v>
      </c>
      <c r="B9" s="2" t="s">
        <v>238</v>
      </c>
      <c r="C9" s="2">
        <v>8924</v>
      </c>
    </row>
    <row r="10" spans="1:3" x14ac:dyDescent="0.25">
      <c r="A10" s="2" t="s">
        <v>45</v>
      </c>
      <c r="B10" s="2" t="s">
        <v>43</v>
      </c>
      <c r="C10" s="2">
        <v>8931</v>
      </c>
    </row>
    <row r="11" spans="1:3" x14ac:dyDescent="0.25">
      <c r="A11" s="2" t="s">
        <v>46</v>
      </c>
      <c r="B11" s="2"/>
      <c r="C11" s="2"/>
    </row>
    <row r="12" spans="1:3" x14ac:dyDescent="0.25">
      <c r="A12" s="2" t="s">
        <v>38</v>
      </c>
      <c r="B12" s="2" t="s">
        <v>236</v>
      </c>
      <c r="C12" s="2"/>
    </row>
    <row r="13" spans="1:3" x14ac:dyDescent="0.25">
      <c r="A13" s="2" t="s">
        <v>47</v>
      </c>
      <c r="B13" s="2" t="s">
        <v>236</v>
      </c>
      <c r="C13" s="2"/>
    </row>
    <row r="14" spans="1:3" x14ac:dyDescent="0.25">
      <c r="A14" s="2" t="s">
        <v>40</v>
      </c>
      <c r="B14" s="2" t="s">
        <v>236</v>
      </c>
      <c r="C14" s="2"/>
    </row>
    <row r="15" spans="1:3" x14ac:dyDescent="0.25">
      <c r="A15" s="2" t="s">
        <v>41</v>
      </c>
      <c r="B15" s="2" t="s">
        <v>236</v>
      </c>
      <c r="C15" s="2"/>
    </row>
    <row r="16" spans="1:3" x14ac:dyDescent="0.25">
      <c r="A16" s="3" t="s">
        <v>48</v>
      </c>
      <c r="B16" s="3" t="s">
        <v>237</v>
      </c>
      <c r="C16" s="3">
        <v>8929</v>
      </c>
    </row>
    <row r="17" spans="1:3" x14ac:dyDescent="0.25">
      <c r="A17" s="2" t="s">
        <v>49</v>
      </c>
      <c r="B17" s="2"/>
      <c r="C17" s="2"/>
    </row>
    <row r="18" spans="1:3" x14ac:dyDescent="0.25">
      <c r="A18" s="2" t="s">
        <v>50</v>
      </c>
      <c r="B18" s="2"/>
      <c r="C18" s="2"/>
    </row>
    <row r="19" spans="1:3" x14ac:dyDescent="0.25">
      <c r="A19" s="2" t="s">
        <v>9</v>
      </c>
      <c r="B19" s="2" t="s">
        <v>239</v>
      </c>
      <c r="C19" s="2">
        <v>8927</v>
      </c>
    </row>
    <row r="20" spans="1:3" x14ac:dyDescent="0.25">
      <c r="A20" s="3" t="s">
        <v>51</v>
      </c>
      <c r="B20" s="3" t="s">
        <v>237</v>
      </c>
      <c r="C20" s="3">
        <v>8929</v>
      </c>
    </row>
    <row r="21" spans="1:3" x14ac:dyDescent="0.25">
      <c r="A21" s="3" t="s">
        <v>52</v>
      </c>
      <c r="B21" s="3" t="s">
        <v>237</v>
      </c>
      <c r="C21" s="3">
        <v>8929</v>
      </c>
    </row>
    <row r="22" spans="1:3" x14ac:dyDescent="0.25">
      <c r="A22" s="2" t="s">
        <v>53</v>
      </c>
      <c r="B22" s="2"/>
      <c r="C22" s="2"/>
    </row>
    <row r="23" spans="1:3" x14ac:dyDescent="0.25">
      <c r="A23" s="2" t="s">
        <v>54</v>
      </c>
      <c r="B23" s="2" t="s">
        <v>112</v>
      </c>
      <c r="C23" s="2">
        <v>8928</v>
      </c>
    </row>
    <row r="24" spans="1:3" x14ac:dyDescent="0.25">
      <c r="A24" s="2" t="s">
        <v>55</v>
      </c>
      <c r="B24" s="2" t="s">
        <v>240</v>
      </c>
      <c r="C24" s="2">
        <v>8911</v>
      </c>
    </row>
    <row r="25" spans="1:3" x14ac:dyDescent="0.25">
      <c r="A25" s="2" t="s">
        <v>56</v>
      </c>
      <c r="B25" s="2"/>
      <c r="C25" s="2"/>
    </row>
    <row r="26" spans="1:3" x14ac:dyDescent="0.25">
      <c r="A26" s="2" t="s">
        <v>38</v>
      </c>
      <c r="B26" s="2" t="s">
        <v>236</v>
      </c>
      <c r="C26" s="2"/>
    </row>
    <row r="27" spans="1:3" x14ac:dyDescent="0.25">
      <c r="A27" s="2" t="s">
        <v>47</v>
      </c>
      <c r="B27" s="2" t="s">
        <v>236</v>
      </c>
      <c r="C27" s="2"/>
    </row>
    <row r="28" spans="1:3" x14ac:dyDescent="0.25">
      <c r="A28" s="2" t="s">
        <v>40</v>
      </c>
      <c r="B28" s="2" t="s">
        <v>236</v>
      </c>
      <c r="C28" s="2"/>
    </row>
    <row r="29" spans="1:3" x14ac:dyDescent="0.25">
      <c r="A29" s="2" t="s">
        <v>41</v>
      </c>
      <c r="B29" s="2" t="s">
        <v>236</v>
      </c>
      <c r="C29" s="2"/>
    </row>
    <row r="30" spans="1:3" x14ac:dyDescent="0.25">
      <c r="A30" s="2" t="s">
        <v>57</v>
      </c>
      <c r="B30" s="2" t="s">
        <v>56</v>
      </c>
      <c r="C30" s="4">
        <v>18571</v>
      </c>
    </row>
    <row r="31" spans="1:3" x14ac:dyDescent="0.25">
      <c r="A31" s="2" t="s">
        <v>58</v>
      </c>
      <c r="B31" s="2" t="s">
        <v>241</v>
      </c>
      <c r="C31" s="2">
        <v>18580</v>
      </c>
    </row>
    <row r="32" spans="1:3" x14ac:dyDescent="0.25">
      <c r="A32" s="2" t="s">
        <v>59</v>
      </c>
      <c r="B32" s="2" t="s">
        <v>242</v>
      </c>
      <c r="C32" s="2">
        <v>18578</v>
      </c>
    </row>
    <row r="33" spans="1:3" x14ac:dyDescent="0.25">
      <c r="A33" s="2" t="s">
        <v>60</v>
      </c>
      <c r="B33" s="2"/>
      <c r="C33" s="2"/>
    </row>
    <row r="34" spans="1:3" x14ac:dyDescent="0.25">
      <c r="A34" s="2" t="s">
        <v>38</v>
      </c>
      <c r="B34" s="2" t="s">
        <v>236</v>
      </c>
      <c r="C34" s="2"/>
    </row>
    <row r="35" spans="1:3" x14ac:dyDescent="0.25">
      <c r="A35" s="2" t="s">
        <v>47</v>
      </c>
      <c r="B35" s="2" t="s">
        <v>236</v>
      </c>
      <c r="C35" s="2"/>
    </row>
    <row r="36" spans="1:3" x14ac:dyDescent="0.25">
      <c r="A36" s="2" t="s">
        <v>40</v>
      </c>
      <c r="B36" s="2" t="s">
        <v>236</v>
      </c>
      <c r="C36" s="2"/>
    </row>
    <row r="37" spans="1:3" x14ac:dyDescent="0.25">
      <c r="A37" s="2" t="s">
        <v>41</v>
      </c>
      <c r="B37" s="2" t="s">
        <v>236</v>
      </c>
      <c r="C37" s="2"/>
    </row>
    <row r="38" spans="1:3" x14ac:dyDescent="0.25">
      <c r="A38" s="2" t="s">
        <v>61</v>
      </c>
      <c r="B38" s="2" t="s">
        <v>60</v>
      </c>
      <c r="C38" s="4">
        <v>18573</v>
      </c>
    </row>
    <row r="39" spans="1:3" x14ac:dyDescent="0.25">
      <c r="A39" s="2" t="s">
        <v>62</v>
      </c>
      <c r="B39" s="2" t="s">
        <v>243</v>
      </c>
      <c r="C39" s="2">
        <v>18581</v>
      </c>
    </row>
    <row r="40" spans="1:3" x14ac:dyDescent="0.25">
      <c r="A40" s="2" t="s">
        <v>63</v>
      </c>
      <c r="B40" s="2" t="s">
        <v>244</v>
      </c>
      <c r="C40" s="2">
        <v>18579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zoomScaleNormal="100" workbookViewId="0"/>
  </sheetViews>
  <sheetFormatPr defaultColWidth="8.5703125" defaultRowHeight="15" x14ac:dyDescent="0.25"/>
  <cols>
    <col min="1" max="1" width="84.140625" bestFit="1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2" t="s">
        <v>37</v>
      </c>
      <c r="B2" s="2"/>
      <c r="C2" s="2"/>
    </row>
    <row r="3" spans="1:3" x14ac:dyDescent="0.25">
      <c r="A3" s="2" t="s">
        <v>38</v>
      </c>
      <c r="B3" s="2" t="s">
        <v>236</v>
      </c>
      <c r="C3" s="2"/>
    </row>
    <row r="4" spans="1:3" x14ac:dyDescent="0.25">
      <c r="A4" s="2" t="s">
        <v>47</v>
      </c>
      <c r="B4" s="2" t="s">
        <v>236</v>
      </c>
      <c r="C4" s="2"/>
    </row>
    <row r="5" spans="1:3" x14ac:dyDescent="0.25">
      <c r="A5" s="2" t="s">
        <v>40</v>
      </c>
      <c r="B5" s="2" t="s">
        <v>236</v>
      </c>
      <c r="C5" s="2"/>
    </row>
    <row r="6" spans="1:3" x14ac:dyDescent="0.25">
      <c r="A6" s="2" t="s">
        <v>41</v>
      </c>
      <c r="B6" s="2" t="s">
        <v>236</v>
      </c>
      <c r="C6" s="2"/>
    </row>
    <row r="7" spans="1:3" x14ac:dyDescent="0.25">
      <c r="A7" s="2" t="s">
        <v>42</v>
      </c>
      <c r="B7" s="2" t="s">
        <v>237</v>
      </c>
      <c r="C7" s="2">
        <v>8925</v>
      </c>
    </row>
    <row r="8" spans="1:3" x14ac:dyDescent="0.25">
      <c r="A8" s="2" t="s">
        <v>43</v>
      </c>
      <c r="B8" s="2"/>
      <c r="C8" s="2"/>
    </row>
    <row r="9" spans="1:3" x14ac:dyDescent="0.25">
      <c r="A9" s="2" t="s">
        <v>44</v>
      </c>
      <c r="B9" s="2" t="s">
        <v>238</v>
      </c>
      <c r="C9" s="2">
        <v>8924</v>
      </c>
    </row>
    <row r="10" spans="1:3" x14ac:dyDescent="0.25">
      <c r="A10" s="2" t="s">
        <v>148</v>
      </c>
      <c r="B10" s="2" t="s">
        <v>43</v>
      </c>
      <c r="C10" s="2">
        <v>8931</v>
      </c>
    </row>
    <row r="11" spans="1:3" x14ac:dyDescent="0.25">
      <c r="A11" s="2" t="s">
        <v>149</v>
      </c>
      <c r="B11" s="2"/>
      <c r="C11" s="2"/>
    </row>
    <row r="12" spans="1:3" x14ac:dyDescent="0.25">
      <c r="A12" s="2" t="s">
        <v>38</v>
      </c>
      <c r="B12" s="2" t="s">
        <v>236</v>
      </c>
      <c r="C12" s="2"/>
    </row>
    <row r="13" spans="1:3" x14ac:dyDescent="0.25">
      <c r="A13" s="2" t="s">
        <v>47</v>
      </c>
      <c r="B13" s="2" t="s">
        <v>236</v>
      </c>
      <c r="C13" s="2"/>
    </row>
    <row r="14" spans="1:3" x14ac:dyDescent="0.25">
      <c r="A14" s="2" t="s">
        <v>40</v>
      </c>
      <c r="B14" s="2" t="s">
        <v>236</v>
      </c>
      <c r="C14" s="2"/>
    </row>
    <row r="15" spans="1:3" x14ac:dyDescent="0.25">
      <c r="A15" s="2" t="s">
        <v>41</v>
      </c>
      <c r="B15" s="2" t="s">
        <v>236</v>
      </c>
      <c r="C15" s="2"/>
    </row>
    <row r="16" spans="1:3" x14ac:dyDescent="0.25">
      <c r="A16" s="3" t="s">
        <v>48</v>
      </c>
      <c r="B16" s="3" t="s">
        <v>237</v>
      </c>
      <c r="C16" s="3">
        <v>8929</v>
      </c>
    </row>
    <row r="17" spans="1:3" x14ac:dyDescent="0.25">
      <c r="A17" s="2" t="s">
        <v>49</v>
      </c>
      <c r="B17" s="2"/>
      <c r="C17" s="2"/>
    </row>
    <row r="18" spans="1:3" x14ac:dyDescent="0.25">
      <c r="A18" s="2" t="s">
        <v>50</v>
      </c>
      <c r="B18" s="2"/>
      <c r="C18" s="2"/>
    </row>
    <row r="19" spans="1:3" x14ac:dyDescent="0.25">
      <c r="A19" s="2" t="s">
        <v>9</v>
      </c>
      <c r="B19" s="2" t="s">
        <v>239</v>
      </c>
      <c r="C19" s="2">
        <v>8927</v>
      </c>
    </row>
    <row r="20" spans="1:3" x14ac:dyDescent="0.25">
      <c r="A20" s="3" t="s">
        <v>51</v>
      </c>
      <c r="B20" s="3" t="s">
        <v>237</v>
      </c>
      <c r="C20" s="3">
        <v>8929</v>
      </c>
    </row>
    <row r="21" spans="1:3" x14ac:dyDescent="0.25">
      <c r="A21" s="3" t="s">
        <v>52</v>
      </c>
      <c r="B21" s="3" t="s">
        <v>237</v>
      </c>
      <c r="C21" s="3">
        <v>8929</v>
      </c>
    </row>
    <row r="22" spans="1:3" x14ac:dyDescent="0.25">
      <c r="A22" s="2" t="s">
        <v>53</v>
      </c>
      <c r="B22" s="2"/>
      <c r="C22" s="2"/>
    </row>
    <row r="23" spans="1:3" x14ac:dyDescent="0.25">
      <c r="A23" s="2" t="s">
        <v>54</v>
      </c>
      <c r="B23" s="2" t="s">
        <v>112</v>
      </c>
      <c r="C23" s="2">
        <v>8928</v>
      </c>
    </row>
    <row r="24" spans="1:3" x14ac:dyDescent="0.25">
      <c r="A24" s="2" t="s">
        <v>55</v>
      </c>
      <c r="B24" s="2" t="s">
        <v>240</v>
      </c>
      <c r="C24" s="2">
        <v>8911</v>
      </c>
    </row>
    <row r="25" spans="1:3" x14ac:dyDescent="0.25">
      <c r="A25" s="2" t="s">
        <v>56</v>
      </c>
      <c r="B25" s="2"/>
      <c r="C25" s="2"/>
    </row>
    <row r="26" spans="1:3" x14ac:dyDescent="0.25">
      <c r="A26" s="2" t="s">
        <v>38</v>
      </c>
      <c r="B26" s="2" t="s">
        <v>236</v>
      </c>
      <c r="C26" s="2"/>
    </row>
    <row r="27" spans="1:3" x14ac:dyDescent="0.25">
      <c r="A27" s="2" t="s">
        <v>47</v>
      </c>
      <c r="B27" s="2" t="s">
        <v>236</v>
      </c>
      <c r="C27" s="2"/>
    </row>
    <row r="28" spans="1:3" x14ac:dyDescent="0.25">
      <c r="A28" s="2" t="s">
        <v>40</v>
      </c>
      <c r="B28" s="2" t="s">
        <v>236</v>
      </c>
      <c r="C28" s="2"/>
    </row>
    <row r="29" spans="1:3" x14ac:dyDescent="0.25">
      <c r="A29" s="2" t="s">
        <v>41</v>
      </c>
      <c r="B29" s="2" t="s">
        <v>236</v>
      </c>
      <c r="C29" s="2"/>
    </row>
    <row r="30" spans="1:3" x14ac:dyDescent="0.25">
      <c r="A30" s="2" t="s">
        <v>57</v>
      </c>
      <c r="B30" s="2" t="s">
        <v>56</v>
      </c>
      <c r="C30" s="4">
        <v>18571</v>
      </c>
    </row>
    <row r="31" spans="1:3" x14ac:dyDescent="0.25">
      <c r="A31" s="2" t="s">
        <v>58</v>
      </c>
      <c r="B31" s="2" t="s">
        <v>241</v>
      </c>
      <c r="C31" s="2">
        <v>18580</v>
      </c>
    </row>
    <row r="32" spans="1:3" x14ac:dyDescent="0.25">
      <c r="A32" s="2" t="s">
        <v>59</v>
      </c>
      <c r="B32" s="2" t="s">
        <v>242</v>
      </c>
      <c r="C32" s="2">
        <v>18578</v>
      </c>
    </row>
    <row r="33" spans="1:3" x14ac:dyDescent="0.25">
      <c r="A33" s="2" t="s">
        <v>60</v>
      </c>
      <c r="B33" s="2"/>
      <c r="C33" s="2"/>
    </row>
    <row r="34" spans="1:3" x14ac:dyDescent="0.25">
      <c r="A34" s="2" t="s">
        <v>38</v>
      </c>
      <c r="B34" s="2" t="s">
        <v>236</v>
      </c>
      <c r="C34" s="2"/>
    </row>
    <row r="35" spans="1:3" x14ac:dyDescent="0.25">
      <c r="A35" s="2" t="s">
        <v>47</v>
      </c>
      <c r="B35" s="2" t="s">
        <v>236</v>
      </c>
      <c r="C35" s="2"/>
    </row>
    <row r="36" spans="1:3" x14ac:dyDescent="0.25">
      <c r="A36" s="2" t="s">
        <v>40</v>
      </c>
      <c r="B36" s="2" t="s">
        <v>236</v>
      </c>
      <c r="C36" s="2"/>
    </row>
    <row r="37" spans="1:3" x14ac:dyDescent="0.25">
      <c r="A37" s="2" t="s">
        <v>41</v>
      </c>
      <c r="B37" s="2" t="s">
        <v>236</v>
      </c>
      <c r="C37" s="2"/>
    </row>
    <row r="38" spans="1:3" x14ac:dyDescent="0.25">
      <c r="A38" s="2" t="s">
        <v>61</v>
      </c>
      <c r="B38" s="2" t="s">
        <v>60</v>
      </c>
      <c r="C38" s="4">
        <v>18573</v>
      </c>
    </row>
    <row r="39" spans="1:3" x14ac:dyDescent="0.25">
      <c r="A39" s="2" t="s">
        <v>62</v>
      </c>
      <c r="B39" s="2" t="s">
        <v>243</v>
      </c>
      <c r="C39" s="2">
        <v>18581</v>
      </c>
    </row>
    <row r="40" spans="1:3" x14ac:dyDescent="0.25">
      <c r="A40" s="2" t="s">
        <v>63</v>
      </c>
      <c r="B40" s="2" t="s">
        <v>244</v>
      </c>
      <c r="C40" s="2">
        <v>18579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12</cp:revision>
  <dcterms:created xsi:type="dcterms:W3CDTF">2026-01-01T09:53:29Z</dcterms:created>
  <dcterms:modified xsi:type="dcterms:W3CDTF">2026-01-23T07:56:44Z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2026-01-08T05:22:47Z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efd475e6-6c5c-439b-899e-9e187c9a0a9c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