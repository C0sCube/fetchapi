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B238B9DC-4310-4809-8140-2855E0BFFB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3" hidden="1">BS_Consolidated!$A$1:$C$49</definedName>
    <definedName name="_xlnm._FilterDatabase" localSheetId="2" hidden="1">BS_Standalone!$A$1:$C$46</definedName>
    <definedName name="_xlnm._FilterDatabase" localSheetId="5" hidden="1">CFS_Consolidated!$A$1:$C$34</definedName>
    <definedName name="_xlnm._FilterDatabase" localSheetId="4" hidden="1">CFS_Standalone!$A$1:$C$33</definedName>
    <definedName name="_xlnm._FilterDatabase" localSheetId="1" hidden="1">'P&amp;L_Consolidated'!$A$1:$C$42</definedName>
    <definedName name="_xlnm._FilterDatabase" localSheetId="0" hidden="1">'P&amp;L_Standalone'!$A$1:$C$40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B4" i="4"/>
  <c r="C4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7" i="4"/>
  <c r="C17" i="4"/>
  <c r="B18" i="4"/>
  <c r="C18" i="4"/>
  <c r="B20" i="4"/>
  <c r="C20" i="4"/>
  <c r="B21" i="4"/>
  <c r="C21" i="4"/>
  <c r="B24" i="4"/>
  <c r="C24" i="4"/>
  <c r="B25" i="4"/>
  <c r="C25" i="4"/>
  <c r="B26" i="4"/>
  <c r="C26" i="4"/>
  <c r="B28" i="4"/>
  <c r="C28" i="4"/>
  <c r="B29" i="4"/>
  <c r="C29" i="4"/>
  <c r="B31" i="4"/>
  <c r="C31" i="4"/>
  <c r="B32" i="4"/>
  <c r="C32" i="4"/>
  <c r="B33" i="4"/>
  <c r="C33" i="4"/>
  <c r="C2" i="4"/>
  <c r="B2" i="4"/>
</calcChain>
</file>

<file path=xl/sharedStrings.xml><?xml version="1.0" encoding="utf-8"?>
<sst xmlns="http://schemas.openxmlformats.org/spreadsheetml/2006/main" count="412" uniqueCount="207">
  <si>
    <t>Income from operations</t>
  </si>
  <si>
    <t>Other income (Net)</t>
  </si>
  <si>
    <t>Total Income</t>
  </si>
  <si>
    <t>Expenses</t>
  </si>
  <si>
    <t>Total Expenses</t>
  </si>
  <si>
    <t>Profit/(Loss) from ordinary activities before tax</t>
  </si>
  <si>
    <t>Exceptional/Extra ordinary Items</t>
  </si>
  <si>
    <t>Profit Before Tax</t>
  </si>
  <si>
    <t>Tax expense</t>
  </si>
  <si>
    <t>Net Profit/Loss after tax</t>
  </si>
  <si>
    <t>Other comprehensive income</t>
  </si>
  <si>
    <t>Total comprehensive income</t>
  </si>
  <si>
    <t>Attributable to</t>
  </si>
  <si>
    <t>Shareholders of the company</t>
  </si>
  <si>
    <t>Non-controlling interest</t>
  </si>
  <si>
    <t>Percentage of holding</t>
  </si>
  <si>
    <t>Promoters and promoter group shareholding</t>
  </si>
  <si>
    <t>Percentage of shares (as a % of the total shareholding of promoter and promoter group)</t>
  </si>
  <si>
    <t>Percentage of shares (as a % of the total share capital of the company)</t>
  </si>
  <si>
    <t>ASSETS</t>
  </si>
  <si>
    <t>Non-current Assets</t>
  </si>
  <si>
    <t>Property Plant and Equipment</t>
  </si>
  <si>
    <t>Right-of-use Assets</t>
  </si>
  <si>
    <t>Financial Assets</t>
  </si>
  <si>
    <t>Investments</t>
  </si>
  <si>
    <t>Other Financial Assets</t>
  </si>
  <si>
    <t>Other Non-current Assets</t>
  </si>
  <si>
    <t>Total Non-current Assets</t>
  </si>
  <si>
    <t>Current Assets</t>
  </si>
  <si>
    <t>Trade Receivables</t>
  </si>
  <si>
    <t>Cash and Cash Equivalents</t>
  </si>
  <si>
    <t>Bank balances other than cash and cash equivalents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</si>
  <si>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</si>
  <si>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</si>
  <si>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</si>
  <si>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</si>
  <si>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</si>
  <si>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</si>
  <si>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</si>
  <si>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</si>
  <si>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</si>
  <si>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</si>
  <si>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</si>
  <si>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</si>
  <si>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</si>
  <si>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</si>
  <si>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</si>
  <si>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</si>
  <si>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</si>
  <si>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Total Non-current Liabilities</t>
  </si>
  <si>
    <t>Current Liabilities</t>
  </si>
  <si>
    <t>Trade Payables</t>
  </si>
  <si>
    <t>Dues of micro enterprises and small enterprises</t>
  </si>
  <si>
    <t>Dues of creditors other than micro enterprises and small enterprises</t>
  </si>
  <si>
    <t>Other Current Liabilities</t>
  </si>
  <si>
    <t>Total Current Liabilities</t>
  </si>
  <si>
    <t>Cash Flow from Operating Activities</t>
  </si>
  <si>
    <t>Profit before tax</t>
  </si>
  <si>
    <t>Depreciation and amortization</t>
  </si>
  <si>
    <t>Finance cost</t>
  </si>
  <si>
    <t>ESOP expenditure</t>
  </si>
  <si>
    <t>Interest and dividend income</t>
  </si>
  <si>
    <t>Other</t>
  </si>
  <si>
    <t>Changes in assets and liabilities</t>
  </si>
  <si>
    <t>Trade receivables and unbilled revenue</t>
  </si>
  <si>
    <t>Trade payables</t>
  </si>
  <si>
    <t>Other financial assets and other assets</t>
  </si>
  <si>
    <t>Other financial liabilities other liabilities and provisions</t>
  </si>
  <si>
    <t>Cash generated from operating activities</t>
  </si>
  <si>
    <t>Income taxes paid</t>
  </si>
  <si>
    <t>Net cash generated from operating activities</t>
  </si>
  <si>
    <t>Cash Flow from Investing Activities</t>
  </si>
  <si>
    <t>Expenditure on property plant and equipment</t>
  </si>
  <si>
    <t>Proceeds from return of investment</t>
  </si>
  <si>
    <t>Net cash generated from investing activities</t>
  </si>
  <si>
    <t>Cash Flow from Financing Activities</t>
  </si>
  <si>
    <t>Repayment of borrowings (net)</t>
  </si>
  <si>
    <t>Finance cost paid</t>
  </si>
  <si>
    <t>Net cash used in financing activities</t>
  </si>
  <si>
    <t>Effect of exchange rate differences on cash and cash equivalents</t>
  </si>
  <si>
    <t>Net increase / (decrease) in cash and cash equivalents</t>
  </si>
  <si>
    <t>Cash and cash equivalents at the beginning of the half year</t>
  </si>
  <si>
    <t>Cash and cash equivalents at the end of the half year</t>
  </si>
  <si>
    <t>Components of Cash and cash equivalents</t>
  </si>
  <si>
    <t>Cash on hand</t>
  </si>
  <si>
    <t>Balances with banks in current accounts</t>
  </si>
  <si>
    <t>Share of net profit of associates</t>
  </si>
  <si>
    <t>Less: Dividend received from associates</t>
  </si>
  <si>
    <t>Profit/Loss from ordinary activities before exceptional items and tax</t>
  </si>
  <si>
    <t>Tax Expense</t>
  </si>
  <si>
    <t>Net Profit/(Loss) After Tax</t>
  </si>
  <si>
    <t>Total Comprehensive Income</t>
  </si>
  <si>
    <t>Goodwill</t>
  </si>
  <si>
    <t>Intangible Assets</t>
  </si>
  <si>
    <t>Loans</t>
  </si>
  <si>
    <t>Equity attributable to shareholders of the Company</t>
  </si>
  <si>
    <t>Non Controlling Interests</t>
  </si>
  <si>
    <t>Other Tax Liabilities (net)</t>
  </si>
  <si>
    <t>Total Equity and Liabilities</t>
  </si>
  <si>
    <t>Interest income</t>
  </si>
  <si>
    <t>Exchange differences on translation of assets and liabilities</t>
  </si>
  <si>
    <t>Proceeds from return on investment</t>
  </si>
  <si>
    <t>Net cash generated from / (used in) investing activities</t>
  </si>
  <si>
    <t>Net increase in cash and cash equivalents</t>
  </si>
  <si>
    <t>Employee costs</t>
  </si>
  <si>
    <t>Regular Employee cost</t>
  </si>
  <si>
    <t>ESOP/ROU Expense</t>
  </si>
  <si>
    <t>Cost of technical subcontractors</t>
  </si>
  <si>
    <t>Depreciation</t>
  </si>
  <si>
    <t>Financial costs</t>
  </si>
  <si>
    <t>Other expenses</t>
  </si>
  <si>
    <t>Current tax</t>
  </si>
  <si>
    <t>Deferred tax</t>
  </si>
  <si>
    <t>Items not be reclassified to profit or (loss)</t>
  </si>
  <si>
    <t>Items to be reclassified to profit or (loss)</t>
  </si>
  <si>
    <t>Basic</t>
  </si>
  <si>
    <t>Diluted</t>
  </si>
  <si>
    <t>Paid-up equity share capital (Face value of each (₹ 1/-)</t>
  </si>
  <si>
    <t>Reserves excluding revaluation reserves EPS</t>
  </si>
  <si>
    <t>Pledged / Encumbered Number of shares</t>
  </si>
  <si>
    <t>Non-encumbered Number of shares</t>
  </si>
  <si>
    <t>Adjustments to reconcile net profit to net cash provided by operating activities:</t>
  </si>
  <si>
    <t>Paid-up equity share capital (Face value of each ₹ 1/-)</t>
  </si>
  <si>
    <t>Public shareholding Number of shares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</si>
  <si>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</si>
  <si>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</si>
  <si>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</si>
  <si>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</si>
  <si>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</si>
  <si>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</si>
  <si>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</si>
  <si>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Finance Costs</t>
  </si>
  <si>
    <t>Other Expenses</t>
  </si>
  <si>
    <t>Profit/(Loss) From Ordinary Activities before Tax</t>
  </si>
  <si>
    <t>Deferred Tax</t>
  </si>
  <si>
    <t>Net Profit/(Loss) for the Period</t>
  </si>
  <si>
    <t>Total Comprehensive Gain (Loss) For the Year</t>
  </si>
  <si>
    <t>Owners of the company</t>
  </si>
  <si>
    <t>Basic EPS</t>
  </si>
  <si>
    <t>Diluted EPS</t>
  </si>
  <si>
    <t>Cost of Materials Consumed</t>
  </si>
  <si>
    <t>Other Exceptional Items</t>
  </si>
  <si>
    <t>Profit/(Loss) from Ordinary Activities after Finance Costs but before Exceptional Items</t>
  </si>
  <si>
    <t>Items that will not be reclassified to Profit or Loss</t>
  </si>
  <si>
    <t>Items that will be reclassified to Profit or Loss</t>
  </si>
  <si>
    <t>Non-Controlling Interests</t>
  </si>
  <si>
    <t>Paid-Up Equity Share Capital</t>
  </si>
  <si>
    <t>Reserve excluding Revaluation Reserves (as per Balance Sheet of Previous Accounting Year)</t>
  </si>
  <si>
    <t>Property, Plant &amp; Equipment</t>
  </si>
  <si>
    <t>Right-of-use asset</t>
  </si>
  <si>
    <t>Non-Current Investments</t>
  </si>
  <si>
    <t>Other Non-Current Financial Assets</t>
  </si>
  <si>
    <t>Other Non-Current Assets</t>
  </si>
  <si>
    <t>Total Non-Current Assets</t>
  </si>
  <si>
    <t>Cash And Cash Equivalents</t>
  </si>
  <si>
    <t>Bank balance other than cash and cash equivalents</t>
  </si>
  <si>
    <t>Current Tax Assets (Net)</t>
  </si>
  <si>
    <t>Total Assets</t>
  </si>
  <si>
    <t>Share Capital</t>
  </si>
  <si>
    <t>Reserves And Surplus/Other Equity</t>
  </si>
  <si>
    <t>Total Share Holder's Funds</t>
  </si>
  <si>
    <t>Lease liabilities</t>
  </si>
  <si>
    <t>Other Non Current Financial Liabilities</t>
  </si>
  <si>
    <t>Long-Term Provisions</t>
  </si>
  <si>
    <t>Deferred Tax Liability (Net)</t>
  </si>
  <si>
    <t>Total Non-Current Liabilities</t>
  </si>
  <si>
    <t>Other liabilities</t>
  </si>
  <si>
    <t>Total Equity And Liabilities</t>
  </si>
  <si>
    <t>Other Current Financial Assets</t>
  </si>
  <si>
    <t>Other Current Financial Liabilities</t>
  </si>
  <si>
    <t>Short-Term Provisions</t>
  </si>
  <si>
    <t>Goodwill On Consolidation</t>
  </si>
  <si>
    <t>Intangible Assets Under Development</t>
  </si>
  <si>
    <t>Loans, Current</t>
  </si>
  <si>
    <t>Minority Interest</t>
  </si>
  <si>
    <t>Current Tax Liabilities (Net)</t>
  </si>
  <si>
    <t>Net Profit Before Tax And Exceptional Item</t>
  </si>
  <si>
    <t>Depreciation and Amortisation Expense</t>
  </si>
  <si>
    <t>Interest Paid</t>
  </si>
  <si>
    <t>Interest Income</t>
  </si>
  <si>
    <t>Trade Payables And Others</t>
  </si>
  <si>
    <t>Adjustments for other financial assets, non-current</t>
  </si>
  <si>
    <t>Adjustments for other financial liabilities, non-current</t>
  </si>
  <si>
    <t>Cash Generated From Operations</t>
  </si>
  <si>
    <t>Income Tax Paid</t>
  </si>
  <si>
    <t>Net Cash Flow From Operating Activities</t>
  </si>
  <si>
    <t>Net Cash Flow From Investing Activities</t>
  </si>
  <si>
    <t>Proceeds From Long Term Borrowings</t>
  </si>
  <si>
    <t>Repayment Of Long Term Borrowings</t>
  </si>
  <si>
    <t>Net Cash Flow From Financing Activities</t>
  </si>
  <si>
    <t>Interest Expense</t>
  </si>
  <si>
    <t>Employees Stock Options Grants</t>
  </si>
  <si>
    <t>Others-Before Working Capital Changes</t>
  </si>
  <si>
    <t>Trade And Other Receivables</t>
  </si>
  <si>
    <t>Purchase Of Fixed Assets (Tangible / Intangible)</t>
  </si>
  <si>
    <t>Sale Of Investments</t>
  </si>
  <si>
    <t>Effect of Exchange Fluctuation Translation Reserve</t>
  </si>
  <si>
    <t>Cash and Cash Equivalents at the Beginning of the Year</t>
  </si>
  <si>
    <t>Cash and Cash Equivalents at the End of the Year</t>
  </si>
  <si>
    <t>Share of profit and loss from partnership firm or association of persons or limited liability partnerships</t>
  </si>
  <si>
    <t>Investment Income</t>
  </si>
  <si>
    <t>Net Increase in Cash and Cash Equivalents</t>
  </si>
  <si>
    <t>Total Comprehensive Income Attributable To</t>
  </si>
  <si>
    <t>Share of Profit/(loss) of associates and Joint Ventures before ebt</t>
  </si>
  <si>
    <t>Profit/(Loss) from ordinary activities after finance costs but before exceptional items</t>
  </si>
  <si>
    <t>Calculated Field</t>
  </si>
  <si>
    <t>Foreign Exchange Gain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</si>
</sst>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Font="1" applyBorder="1"/>
    <xf numFmtId="0" fontId="0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defaultRowHeight="15" x14ac:dyDescent="0.25"/>
  <cols>
    <col min="1" max="2" width="49.85546875" customWidth="1"/>
    <col min="3" max="3" width="7.5703125" bestFit="1" customWidth="1"/>
  </cols>
  <sheetData>
    <row r="1" spans="1:3" x14ac:dyDescent="0.25">
      <c r="A1" s="2" t="s">
        <v>124</v>
      </c>
      <c r="B1" s="2" t="s">
        <v>125</v>
      </c>
      <c r="C1" s="2" t="s">
        <v>126</v>
      </c>
    </row>
    <row r="2" spans="1:3" x14ac:dyDescent="0.25">
      <c r="A2" s="3" t="s">
        <v>0</v>
      </c>
      <c r="B2" s="3" t="s">
        <v>127</v>
      </c>
      <c r="C2" s="3">
        <v>256</v>
      </c>
    </row>
    <row r="3" spans="1:3" x14ac:dyDescent="0.25">
      <c r="A3" s="3" t="s">
        <v>1</v>
      </c>
      <c r="B3" s="3" t="s">
        <v>128</v>
      </c>
      <c r="C3" s="3">
        <v>265</v>
      </c>
    </row>
    <row r="4" spans="1:3" x14ac:dyDescent="0.25">
      <c r="A4" s="3" t="s">
        <v>2</v>
      </c>
      <c r="B4" s="3" t="s">
        <v>2</v>
      </c>
      <c r="C4" s="3"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4" t="s">
        <v>104</v>
      </c>
      <c r="B6" s="4" t="s">
        <v>129</v>
      </c>
      <c r="C6" s="4">
        <v>238</v>
      </c>
    </row>
    <row r="7" spans="1:3" x14ac:dyDescent="0.25">
      <c r="A7" s="4" t="s">
        <v>105</v>
      </c>
      <c r="B7" s="4" t="s">
        <v>129</v>
      </c>
      <c r="C7" s="4">
        <v>238</v>
      </c>
    </row>
    <row r="8" spans="1:3" x14ac:dyDescent="0.25">
      <c r="A8" s="4" t="s">
        <v>106</v>
      </c>
      <c r="B8" s="4" t="s">
        <v>129</v>
      </c>
      <c r="C8" s="4">
        <v>238</v>
      </c>
    </row>
    <row r="9" spans="1:3" x14ac:dyDescent="0.25">
      <c r="A9" s="3" t="s">
        <v>107</v>
      </c>
      <c r="B9" s="3" t="s">
        <v>140</v>
      </c>
      <c r="C9" s="3">
        <v>230</v>
      </c>
    </row>
    <row r="10" spans="1:3" x14ac:dyDescent="0.25">
      <c r="A10" s="3" t="s">
        <v>108</v>
      </c>
      <c r="B10" s="3" t="s">
        <v>130</v>
      </c>
      <c r="C10" s="3">
        <v>232</v>
      </c>
    </row>
    <row r="11" spans="1:3" x14ac:dyDescent="0.25">
      <c r="A11" s="3" t="s">
        <v>109</v>
      </c>
      <c r="B11" s="3" t="s">
        <v>131</v>
      </c>
      <c r="C11" s="3">
        <v>246</v>
      </c>
    </row>
    <row r="12" spans="1:3" x14ac:dyDescent="0.25">
      <c r="A12" s="3" t="s">
        <v>110</v>
      </c>
      <c r="B12" s="3" t="s">
        <v>132</v>
      </c>
      <c r="C12" s="3">
        <v>279</v>
      </c>
    </row>
    <row r="13" spans="1:3" x14ac:dyDescent="0.25">
      <c r="A13" s="3" t="s">
        <v>4</v>
      </c>
      <c r="B13" s="3" t="s">
        <v>4</v>
      </c>
      <c r="C13" s="3">
        <v>320</v>
      </c>
    </row>
    <row r="14" spans="1:3" x14ac:dyDescent="0.25">
      <c r="A14" s="3" t="s">
        <v>5</v>
      </c>
      <c r="B14" s="3" t="s">
        <v>142</v>
      </c>
      <c r="C14" s="3">
        <v>294</v>
      </c>
    </row>
    <row r="15" spans="1:3" x14ac:dyDescent="0.25">
      <c r="A15" s="3" t="s">
        <v>6</v>
      </c>
      <c r="B15" s="3" t="s">
        <v>141</v>
      </c>
      <c r="C15" s="3">
        <v>278</v>
      </c>
    </row>
    <row r="16" spans="1:3" x14ac:dyDescent="0.25">
      <c r="A16" s="3" t="s">
        <v>7</v>
      </c>
      <c r="B16" s="3" t="s">
        <v>133</v>
      </c>
      <c r="C16" s="3">
        <v>296</v>
      </c>
    </row>
    <row r="17" spans="1:3" x14ac:dyDescent="0.25">
      <c r="A17" s="3" t="s">
        <v>8</v>
      </c>
      <c r="B17" s="3"/>
      <c r="C17" s="3"/>
    </row>
    <row r="18" spans="1:3" x14ac:dyDescent="0.25">
      <c r="A18" s="3" t="s">
        <v>111</v>
      </c>
      <c r="B18" s="3" t="s">
        <v>89</v>
      </c>
      <c r="C18" s="3">
        <v>318</v>
      </c>
    </row>
    <row r="19" spans="1:3" x14ac:dyDescent="0.25">
      <c r="A19" s="3" t="s">
        <v>112</v>
      </c>
      <c r="B19" s="3" t="s">
        <v>134</v>
      </c>
      <c r="C19" s="3">
        <v>231</v>
      </c>
    </row>
    <row r="20" spans="1:3" x14ac:dyDescent="0.25">
      <c r="A20" s="3" t="s">
        <v>9</v>
      </c>
      <c r="B20" s="3" t="s">
        <v>135</v>
      </c>
      <c r="C20" s="3">
        <v>269</v>
      </c>
    </row>
    <row r="21" spans="1:3" x14ac:dyDescent="0.25">
      <c r="A21" s="3" t="s">
        <v>10</v>
      </c>
      <c r="B21" s="3"/>
      <c r="C21" s="3"/>
    </row>
    <row r="22" spans="1:3" x14ac:dyDescent="0.25">
      <c r="A22" s="3" t="s">
        <v>113</v>
      </c>
      <c r="B22" s="3" t="s">
        <v>143</v>
      </c>
      <c r="C22" s="3">
        <v>22293</v>
      </c>
    </row>
    <row r="23" spans="1:3" x14ac:dyDescent="0.25">
      <c r="A23" s="3" t="s">
        <v>114</v>
      </c>
      <c r="B23" s="3" t="s">
        <v>144</v>
      </c>
      <c r="C23" s="3">
        <v>22294</v>
      </c>
    </row>
    <row r="24" spans="1:3" x14ac:dyDescent="0.25">
      <c r="A24" s="3" t="s">
        <v>11</v>
      </c>
      <c r="B24" s="3" t="s">
        <v>136</v>
      </c>
      <c r="C24" s="3">
        <v>20019</v>
      </c>
    </row>
    <row r="25" spans="1:3" x14ac:dyDescent="0.25">
      <c r="A25" s="3" t="s">
        <v>12</v>
      </c>
      <c r="B25" s="3" t="s">
        <v>202</v>
      </c>
      <c r="C25" s="3">
        <v>22301</v>
      </c>
    </row>
    <row r="26" spans="1:3" x14ac:dyDescent="0.25">
      <c r="A26" s="3" t="s">
        <v>13</v>
      </c>
      <c r="B26" s="3" t="s">
        <v>137</v>
      </c>
      <c r="C26" s="3">
        <v>22303</v>
      </c>
    </row>
    <row r="27" spans="1:3" x14ac:dyDescent="0.25">
      <c r="A27" s="3" t="s">
        <v>14</v>
      </c>
      <c r="B27" s="3" t="s">
        <v>145</v>
      </c>
      <c r="C27" s="3">
        <v>22302</v>
      </c>
    </row>
    <row r="28" spans="1:3" x14ac:dyDescent="0.25">
      <c r="A28" s="3" t="s">
        <v>117</v>
      </c>
      <c r="B28" s="3" t="s">
        <v>146</v>
      </c>
      <c r="C28" s="3">
        <v>282</v>
      </c>
    </row>
    <row r="29" spans="1:3" x14ac:dyDescent="0.25">
      <c r="A29" s="3" t="s">
        <v>118</v>
      </c>
      <c r="B29" s="3" t="s">
        <v>147</v>
      </c>
      <c r="C29" s="3">
        <v>309</v>
      </c>
    </row>
    <row r="30" spans="1:3" x14ac:dyDescent="0.25">
      <c r="A30" s="3" t="s">
        <v>115</v>
      </c>
      <c r="B30" s="3" t="s">
        <v>138</v>
      </c>
      <c r="C30" s="3">
        <v>222</v>
      </c>
    </row>
    <row r="31" spans="1:3" x14ac:dyDescent="0.25">
      <c r="A31" s="3" t="s">
        <v>116</v>
      </c>
      <c r="B31" s="3" t="s">
        <v>139</v>
      </c>
      <c r="C31" s="3">
        <v>234</v>
      </c>
    </row>
    <row r="32" spans="1:3" x14ac:dyDescent="0.25">
      <c r="A32" s="3" t="s">
        <v>123</v>
      </c>
      <c r="B32" s="3"/>
      <c r="C32" s="3"/>
    </row>
    <row r="33" spans="1:3" x14ac:dyDescent="0.25">
      <c r="A33" s="3" t="s">
        <v>15</v>
      </c>
      <c r="B33" s="3"/>
      <c r="C33" s="3"/>
    </row>
    <row r="34" spans="1:3" x14ac:dyDescent="0.25">
      <c r="A34" s="3" t="s">
        <v>16</v>
      </c>
      <c r="B34" s="3"/>
      <c r="C34" s="3"/>
    </row>
    <row r="35" spans="1:3" x14ac:dyDescent="0.25">
      <c r="A35" s="3" t="s">
        <v>119</v>
      </c>
      <c r="B35" s="3"/>
      <c r="C35" s="3"/>
    </row>
    <row r="36" spans="1:3" x14ac:dyDescent="0.25">
      <c r="A36" s="3" t="s">
        <v>17</v>
      </c>
      <c r="B36" s="3"/>
      <c r="C36" s="3"/>
    </row>
    <row r="37" spans="1:3" x14ac:dyDescent="0.25">
      <c r="A37" s="3" t="s">
        <v>18</v>
      </c>
      <c r="B37" s="3"/>
      <c r="C37" s="3"/>
    </row>
    <row r="38" spans="1:3" x14ac:dyDescent="0.25">
      <c r="A38" s="3" t="s">
        <v>120</v>
      </c>
      <c r="B38" s="3"/>
      <c r="C38" s="3"/>
    </row>
    <row r="39" spans="1:3" x14ac:dyDescent="0.25">
      <c r="A39" s="3" t="s">
        <v>17</v>
      </c>
      <c r="B39" s="3"/>
      <c r="C39" s="3"/>
    </row>
    <row r="40" spans="1:3" x14ac:dyDescent="0.25">
      <c r="A40" s="3" t="s">
        <v>18</v>
      </c>
      <c r="B40" s="3"/>
      <c r="C40" s="3"/>
    </row>
  </sheetData>
  <conditionalFormatting sqref="C1:C1048576">
    <cfRule type="duplicateValues" dxfId="5" priority="2"/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/>
  </sheetViews>
  <sheetFormatPr defaultRowHeight="15" x14ac:dyDescent="0.25"/>
  <cols>
    <col min="1" max="2" width="44.7109375" customWidth="1"/>
    <col min="3" max="3" width="7.5703125" bestFit="1" customWidth="1"/>
  </cols>
  <sheetData>
    <row r="1" spans="1:3" x14ac:dyDescent="0.25">
      <c r="A1" s="2" t="s">
        <v>124</v>
      </c>
      <c r="B1" s="2" t="s">
        <v>125</v>
      </c>
      <c r="C1" s="2" t="s">
        <v>126</v>
      </c>
    </row>
    <row r="2" spans="1:3" x14ac:dyDescent="0.25">
      <c r="A2" s="3" t="s">
        <v>0</v>
      </c>
      <c r="B2" s="3" t="str">
        <f>VLOOKUP(A2,'P&amp;L_Standalone'!A:C,2,0)</f>
        <v>Gross Sales/Income from Operations</v>
      </c>
      <c r="C2" s="3">
        <f>VLOOKUP(A2,'P&amp;L_Standalone'!A:C,3,0)</f>
        <v>256</v>
      </c>
    </row>
    <row r="3" spans="1:3" x14ac:dyDescent="0.25">
      <c r="A3" s="3" t="s">
        <v>1</v>
      </c>
      <c r="B3" s="3" t="str">
        <f>VLOOKUP(A3,'P&amp;L_Standalone'!A:C,2,0)</f>
        <v>Miscellaneous Income</v>
      </c>
      <c r="C3" s="3">
        <f>VLOOKUP(A3,'P&amp;L_Standalone'!A:C,3,0)</f>
        <v>265</v>
      </c>
    </row>
    <row r="4" spans="1:3" x14ac:dyDescent="0.25">
      <c r="A4" s="3" t="s">
        <v>2</v>
      </c>
      <c r="B4" s="3" t="str">
        <f>VLOOKUP(A4,'P&amp;L_Standalone'!A:C,2,0)</f>
        <v>Total Income</v>
      </c>
      <c r="C4" s="3">
        <f>VLOOKUP(A4,'P&amp;L_Standalone'!A:C,3,0)</f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4" t="s">
        <v>104</v>
      </c>
      <c r="B6" s="4" t="str">
        <f>VLOOKUP(A6,'P&amp;L_Standalone'!A:C,2,0)</f>
        <v>Employee Benefit Expense</v>
      </c>
      <c r="C6" s="4">
        <f>VLOOKUP(A6,'P&amp;L_Standalone'!A:C,3,0)</f>
        <v>238</v>
      </c>
    </row>
    <row r="7" spans="1:3" x14ac:dyDescent="0.25">
      <c r="A7" s="4" t="s">
        <v>105</v>
      </c>
      <c r="B7" s="4" t="str">
        <f>VLOOKUP(A7,'P&amp;L_Standalone'!A:C,2,0)</f>
        <v>Employee Benefit Expense</v>
      </c>
      <c r="C7" s="4">
        <f>VLOOKUP(A7,'P&amp;L_Standalone'!A:C,3,0)</f>
        <v>238</v>
      </c>
    </row>
    <row r="8" spans="1:3" x14ac:dyDescent="0.25">
      <c r="A8" s="4" t="s">
        <v>106</v>
      </c>
      <c r="B8" s="4" t="str">
        <f>VLOOKUP(A8,'P&amp;L_Standalone'!A:C,2,0)</f>
        <v>Employee Benefit Expense</v>
      </c>
      <c r="C8" s="4">
        <f>VLOOKUP(A8,'P&amp;L_Standalone'!A:C,3,0)</f>
        <v>238</v>
      </c>
    </row>
    <row r="9" spans="1:3" x14ac:dyDescent="0.25">
      <c r="A9" s="3" t="s">
        <v>107</v>
      </c>
      <c r="B9" s="3" t="str">
        <f>VLOOKUP(A9,'P&amp;L_Standalone'!A:C,2,0)</f>
        <v>Cost of Materials Consumed</v>
      </c>
      <c r="C9" s="3">
        <f>VLOOKUP(A9,'P&amp;L_Standalone'!A:C,3,0)</f>
        <v>230</v>
      </c>
    </row>
    <row r="10" spans="1:3" x14ac:dyDescent="0.25">
      <c r="A10" s="3" t="s">
        <v>108</v>
      </c>
      <c r="B10" s="3" t="str">
        <f>VLOOKUP(A10,'P&amp;L_Standalone'!A:C,2,0)</f>
        <v>Depreciation, Depletion and Amortisation Expense</v>
      </c>
      <c r="C10" s="3">
        <f>VLOOKUP(A10,'P&amp;L_Standalone'!A:C,3,0)</f>
        <v>232</v>
      </c>
    </row>
    <row r="11" spans="1:3" x14ac:dyDescent="0.25">
      <c r="A11" s="3" t="s">
        <v>109</v>
      </c>
      <c r="B11" s="3" t="str">
        <f>VLOOKUP(A11,'P&amp;L_Standalone'!A:C,2,0)</f>
        <v>Finance Costs</v>
      </c>
      <c r="C11" s="3">
        <f>VLOOKUP(A11,'P&amp;L_Standalone'!A:C,3,0)</f>
        <v>246</v>
      </c>
    </row>
    <row r="12" spans="1:3" x14ac:dyDescent="0.25">
      <c r="A12" s="3" t="s">
        <v>110</v>
      </c>
      <c r="B12" s="3" t="str">
        <f>VLOOKUP(A12,'P&amp;L_Standalone'!A:C,2,0)</f>
        <v>Other Expenses</v>
      </c>
      <c r="C12" s="3">
        <f>VLOOKUP(A12,'P&amp;L_Standalone'!A:C,3,0)</f>
        <v>279</v>
      </c>
    </row>
    <row r="13" spans="1:3" x14ac:dyDescent="0.25">
      <c r="A13" s="3" t="s">
        <v>4</v>
      </c>
      <c r="B13" s="3" t="str">
        <f>VLOOKUP(A13,'P&amp;L_Standalone'!A:C,2,0)</f>
        <v>Total Expenses</v>
      </c>
      <c r="C13" s="3">
        <f>VLOOKUP(A13,'P&amp;L_Standalone'!A:C,3,0)</f>
        <v>320</v>
      </c>
    </row>
    <row r="14" spans="1:3" x14ac:dyDescent="0.25">
      <c r="A14" s="4" t="s">
        <v>86</v>
      </c>
      <c r="B14" s="5" t="s">
        <v>203</v>
      </c>
      <c r="C14" s="5">
        <v>25236</v>
      </c>
    </row>
    <row r="15" spans="1:3" x14ac:dyDescent="0.25">
      <c r="A15" s="4" t="s">
        <v>87</v>
      </c>
      <c r="B15" s="5" t="s">
        <v>203</v>
      </c>
      <c r="C15" s="5">
        <v>25236</v>
      </c>
    </row>
    <row r="16" spans="1:3" x14ac:dyDescent="0.25">
      <c r="A16" s="3" t="s">
        <v>88</v>
      </c>
      <c r="B16" s="3" t="s">
        <v>204</v>
      </c>
      <c r="C16" s="3">
        <v>294</v>
      </c>
    </row>
    <row r="17" spans="1:3" x14ac:dyDescent="0.25">
      <c r="A17" s="3" t="s">
        <v>6</v>
      </c>
      <c r="B17" s="3" t="str">
        <f>VLOOKUP(A17,'P&amp;L_Standalone'!A:C,2,0)</f>
        <v>Other Exceptional Items</v>
      </c>
      <c r="C17" s="3">
        <f>VLOOKUP(A17,'P&amp;L_Standalone'!A:C,3,0)</f>
        <v>278</v>
      </c>
    </row>
    <row r="18" spans="1:3" x14ac:dyDescent="0.25">
      <c r="A18" s="3" t="s">
        <v>7</v>
      </c>
      <c r="B18" s="3" t="str">
        <f>VLOOKUP(A18,'P&amp;L_Standalone'!A:C,2,0)</f>
        <v>Profit/(Loss) From Ordinary Activities before Tax</v>
      </c>
      <c r="C18" s="3">
        <f>VLOOKUP(A18,'P&amp;L_Standalone'!A:C,3,0)</f>
        <v>296</v>
      </c>
    </row>
    <row r="19" spans="1:3" x14ac:dyDescent="0.25">
      <c r="A19" s="3" t="s">
        <v>89</v>
      </c>
      <c r="B19" s="3"/>
      <c r="C19" s="3"/>
    </row>
    <row r="20" spans="1:3" x14ac:dyDescent="0.25">
      <c r="A20" s="3" t="s">
        <v>111</v>
      </c>
      <c r="B20" s="3" t="str">
        <f>VLOOKUP(A20,'P&amp;L_Standalone'!A:C,2,0)</f>
        <v>Tax Expense</v>
      </c>
      <c r="C20" s="3">
        <f>VLOOKUP(A20,'P&amp;L_Standalone'!A:C,3,0)</f>
        <v>318</v>
      </c>
    </row>
    <row r="21" spans="1:3" x14ac:dyDescent="0.25">
      <c r="A21" s="3" t="s">
        <v>112</v>
      </c>
      <c r="B21" s="3" t="str">
        <f>VLOOKUP(A21,'P&amp;L_Standalone'!A:C,2,0)</f>
        <v>Deferred Tax</v>
      </c>
      <c r="C21" s="3">
        <f>VLOOKUP(A21,'P&amp;L_Standalone'!A:C,3,0)</f>
        <v>231</v>
      </c>
    </row>
    <row r="22" spans="1:3" x14ac:dyDescent="0.25">
      <c r="A22" s="3" t="s">
        <v>90</v>
      </c>
      <c r="B22" s="3" t="s">
        <v>135</v>
      </c>
      <c r="C22" s="3">
        <v>269</v>
      </c>
    </row>
    <row r="23" spans="1:3" x14ac:dyDescent="0.25">
      <c r="A23" s="3" t="s">
        <v>10</v>
      </c>
      <c r="B23" s="3"/>
      <c r="C23" s="3"/>
    </row>
    <row r="24" spans="1:3" x14ac:dyDescent="0.25">
      <c r="A24" s="3" t="s">
        <v>113</v>
      </c>
      <c r="B24" s="3" t="str">
        <f>VLOOKUP(A24,'P&amp;L_Standalone'!A:C,2,0)</f>
        <v>Items that will not be reclassified to Profit or Loss</v>
      </c>
      <c r="C24" s="3">
        <f>VLOOKUP(A24,'P&amp;L_Standalone'!A:C,3,0)</f>
        <v>22293</v>
      </c>
    </row>
    <row r="25" spans="1:3" x14ac:dyDescent="0.25">
      <c r="A25" s="3" t="s">
        <v>114</v>
      </c>
      <c r="B25" s="3" t="str">
        <f>VLOOKUP(A25,'P&amp;L_Standalone'!A:C,2,0)</f>
        <v>Items that will be reclassified to Profit or Loss</v>
      </c>
      <c r="C25" s="3">
        <f>VLOOKUP(A25,'P&amp;L_Standalone'!A:C,3,0)</f>
        <v>22294</v>
      </c>
    </row>
    <row r="26" spans="1:3" x14ac:dyDescent="0.25">
      <c r="A26" s="3" t="s">
        <v>91</v>
      </c>
      <c r="B26" s="3" t="str">
        <f>VLOOKUP(A26,'P&amp;L_Standalone'!A:C,2,0)</f>
        <v>Total Comprehensive Gain (Loss) For the Year</v>
      </c>
      <c r="C26" s="3">
        <f>VLOOKUP(A26,'P&amp;L_Standalone'!A:C,3,0)</f>
        <v>20019</v>
      </c>
    </row>
    <row r="27" spans="1:3" x14ac:dyDescent="0.25">
      <c r="A27" s="3" t="s">
        <v>12</v>
      </c>
      <c r="B27" s="6" t="s">
        <v>202</v>
      </c>
      <c r="C27" s="7">
        <v>22301</v>
      </c>
    </row>
    <row r="28" spans="1:3" x14ac:dyDescent="0.25">
      <c r="A28" s="3" t="s">
        <v>13</v>
      </c>
      <c r="B28" s="3" t="str">
        <f>VLOOKUP(A28,'P&amp;L_Standalone'!A:C,2,0)</f>
        <v>Owners of the company</v>
      </c>
      <c r="C28" s="3">
        <f>VLOOKUP(A28,'P&amp;L_Standalone'!A:C,3,0)</f>
        <v>22303</v>
      </c>
    </row>
    <row r="29" spans="1:3" x14ac:dyDescent="0.25">
      <c r="A29" s="3" t="s">
        <v>14</v>
      </c>
      <c r="B29" s="3" t="str">
        <f>VLOOKUP(A29,'P&amp;L_Standalone'!A:C,2,0)</f>
        <v>Non-Controlling Interests</v>
      </c>
      <c r="C29" s="3">
        <f>VLOOKUP(A29,'P&amp;L_Standalone'!A:C,3,0)</f>
        <v>22302</v>
      </c>
    </row>
    <row r="30" spans="1:3" x14ac:dyDescent="0.25">
      <c r="A30" s="3" t="s">
        <v>122</v>
      </c>
      <c r="B30" s="3" t="s">
        <v>146</v>
      </c>
      <c r="C30" s="3">
        <v>282</v>
      </c>
    </row>
    <row r="31" spans="1:3" x14ac:dyDescent="0.25">
      <c r="A31" s="3" t="s">
        <v>118</v>
      </c>
      <c r="B31" s="3" t="str">
        <f>VLOOKUP(A31,'P&amp;L_Standalone'!A:C,2,0)</f>
        <v>Reserve excluding Revaluation Reserves (as per Balance Sheet of Previous Accounting Year)</v>
      </c>
      <c r="C31" s="3">
        <f>VLOOKUP(A31,'P&amp;L_Standalone'!A:C,3,0)</f>
        <v>309</v>
      </c>
    </row>
    <row r="32" spans="1:3" x14ac:dyDescent="0.25">
      <c r="A32" s="3" t="s">
        <v>115</v>
      </c>
      <c r="B32" s="3" t="str">
        <f>VLOOKUP(A32,'P&amp;L_Standalone'!A:C,2,0)</f>
        <v>Basic EPS</v>
      </c>
      <c r="C32" s="3">
        <f>VLOOKUP(A32,'P&amp;L_Standalone'!A:C,3,0)</f>
        <v>222</v>
      </c>
    </row>
    <row r="33" spans="1:3" x14ac:dyDescent="0.25">
      <c r="A33" s="3" t="s">
        <v>116</v>
      </c>
      <c r="B33" s="3" t="str">
        <f>VLOOKUP(A33,'P&amp;L_Standalone'!A:C,2,0)</f>
        <v>Diluted EPS</v>
      </c>
      <c r="C33" s="3">
        <f>VLOOKUP(A33,'P&amp;L_Standalone'!A:C,3,0)</f>
        <v>234</v>
      </c>
    </row>
    <row r="34" spans="1:3" x14ac:dyDescent="0.25">
      <c r="A34" s="3" t="s">
        <v>123</v>
      </c>
      <c r="B34" s="3"/>
      <c r="C34" s="3"/>
    </row>
    <row r="35" spans="1:3" x14ac:dyDescent="0.25">
      <c r="A35" s="3" t="s">
        <v>15</v>
      </c>
      <c r="B35" s="3"/>
      <c r="C35" s="3"/>
    </row>
    <row r="36" spans="1:3" x14ac:dyDescent="0.25">
      <c r="A36" s="3" t="s">
        <v>16</v>
      </c>
      <c r="B36" s="3"/>
      <c r="C36" s="3"/>
    </row>
    <row r="37" spans="1:3" x14ac:dyDescent="0.25">
      <c r="A37" s="3" t="s">
        <v>119</v>
      </c>
      <c r="B37" s="3"/>
      <c r="C37" s="3"/>
    </row>
    <row r="38" spans="1:3" x14ac:dyDescent="0.25">
      <c r="A38" s="3" t="s">
        <v>17</v>
      </c>
      <c r="B38" s="3"/>
      <c r="C38" s="3"/>
    </row>
    <row r="39" spans="1:3" x14ac:dyDescent="0.25">
      <c r="A39" s="3" t="s">
        <v>18</v>
      </c>
      <c r="B39" s="3"/>
      <c r="C39" s="3"/>
    </row>
    <row r="40" spans="1:3" x14ac:dyDescent="0.25">
      <c r="A40" s="3" t="s">
        <v>120</v>
      </c>
      <c r="B40" s="3"/>
      <c r="C40" s="3"/>
    </row>
    <row r="41" spans="1:3" x14ac:dyDescent="0.25">
      <c r="A41" s="3" t="s">
        <v>17</v>
      </c>
      <c r="B41" s="3"/>
      <c r="C41" s="3"/>
    </row>
    <row r="42" spans="1:3" x14ac:dyDescent="0.25">
      <c r="A42" s="3" t="s">
        <v>18</v>
      </c>
      <c r="B42" s="3"/>
      <c r="C42" s="3"/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cols>
    <col min="1" max="2" width="43.42578125" customWidth="1"/>
    <col min="3" max="3" width="7.5703125" bestFit="1" customWidth="1"/>
  </cols>
  <sheetData>
    <row r="1" spans="1:3" x14ac:dyDescent="0.25">
      <c r="A1" s="2" t="s">
        <v>124</v>
      </c>
      <c r="B1" s="2" t="s">
        <v>125</v>
      </c>
      <c r="C1" s="2" t="s">
        <v>126</v>
      </c>
    </row>
    <row r="2" spans="1:3" x14ac:dyDescent="0.25">
      <c r="A2" s="3" t="s">
        <v>19</v>
      </c>
      <c r="B2" s="3"/>
      <c r="C2" s="3"/>
    </row>
    <row r="3" spans="1:3" x14ac:dyDescent="0.25">
      <c r="A3" s="3" t="s">
        <v>20</v>
      </c>
      <c r="B3" s="3"/>
      <c r="C3" s="3"/>
    </row>
    <row r="4" spans="1:3" x14ac:dyDescent="0.25">
      <c r="A4" s="3" t="s">
        <v>21</v>
      </c>
      <c r="B4" s="3" t="s">
        <v>148</v>
      </c>
      <c r="C4" s="3">
        <v>20222</v>
      </c>
    </row>
    <row r="5" spans="1:3" x14ac:dyDescent="0.25">
      <c r="A5" s="3" t="s">
        <v>22</v>
      </c>
      <c r="B5" s="3" t="s">
        <v>149</v>
      </c>
      <c r="C5" s="3">
        <v>30342</v>
      </c>
    </row>
    <row r="6" spans="1:3" x14ac:dyDescent="0.25">
      <c r="A6" s="3" t="s">
        <v>23</v>
      </c>
      <c r="B6" s="3"/>
      <c r="C6" s="3"/>
    </row>
    <row r="7" spans="1:3" x14ac:dyDescent="0.25">
      <c r="A7" s="3" t="s">
        <v>24</v>
      </c>
      <c r="B7" s="3" t="s">
        <v>150</v>
      </c>
      <c r="C7" s="3">
        <v>13748</v>
      </c>
    </row>
    <row r="8" spans="1:3" x14ac:dyDescent="0.25">
      <c r="A8" s="3" t="s">
        <v>25</v>
      </c>
      <c r="B8" s="3" t="s">
        <v>151</v>
      </c>
      <c r="C8" s="3">
        <v>20216</v>
      </c>
    </row>
    <row r="9" spans="1:3" x14ac:dyDescent="0.25">
      <c r="A9" s="3" t="s">
        <v>26</v>
      </c>
      <c r="B9" s="3" t="s">
        <v>152</v>
      </c>
      <c r="C9" s="3">
        <v>13753</v>
      </c>
    </row>
    <row r="10" spans="1:3" x14ac:dyDescent="0.25">
      <c r="A10" s="3" t="s">
        <v>27</v>
      </c>
      <c r="B10" s="3" t="s">
        <v>153</v>
      </c>
      <c r="C10" s="3">
        <v>13777</v>
      </c>
    </row>
    <row r="11" spans="1:3" x14ac:dyDescent="0.25">
      <c r="A11" s="3" t="s">
        <v>28</v>
      </c>
      <c r="B11" s="3"/>
      <c r="C11" s="3"/>
    </row>
    <row r="12" spans="1:3" x14ac:dyDescent="0.25">
      <c r="A12" s="3" t="s">
        <v>23</v>
      </c>
      <c r="B12" s="3"/>
      <c r="C12" s="3"/>
    </row>
    <row r="13" spans="1:3" x14ac:dyDescent="0.25">
      <c r="A13" s="3" t="s">
        <v>29</v>
      </c>
      <c r="B13" s="3" t="s">
        <v>29</v>
      </c>
      <c r="C13" s="3">
        <v>13780</v>
      </c>
    </row>
    <row r="14" spans="1:3" x14ac:dyDescent="0.25">
      <c r="A14" s="3" t="s">
        <v>30</v>
      </c>
      <c r="B14" s="3" t="s">
        <v>154</v>
      </c>
      <c r="C14" s="3">
        <v>13722</v>
      </c>
    </row>
    <row r="15" spans="1:3" x14ac:dyDescent="0.25">
      <c r="A15" s="3" t="s">
        <v>31</v>
      </c>
      <c r="B15" s="3" t="s">
        <v>155</v>
      </c>
      <c r="C15" s="3">
        <v>29788</v>
      </c>
    </row>
    <row r="16" spans="1:3" x14ac:dyDescent="0.25">
      <c r="A16" s="3" t="s">
        <v>25</v>
      </c>
      <c r="B16" s="3" t="s">
        <v>168</v>
      </c>
      <c r="C16" s="3">
        <v>20231</v>
      </c>
    </row>
    <row r="17" spans="1:3" x14ac:dyDescent="0.25">
      <c r="A17" s="3" t="s">
        <v>32</v>
      </c>
      <c r="B17" s="3" t="s">
        <v>156</v>
      </c>
      <c r="C17" s="3">
        <v>20228</v>
      </c>
    </row>
    <row r="18" spans="1:3" x14ac:dyDescent="0.25">
      <c r="A18" s="3" t="s">
        <v>33</v>
      </c>
      <c r="B18" s="3" t="s">
        <v>33</v>
      </c>
      <c r="C18" s="3">
        <v>13750</v>
      </c>
    </row>
    <row r="19" spans="1:3" x14ac:dyDescent="0.25">
      <c r="A19" s="3" t="s">
        <v>34</v>
      </c>
      <c r="B19" s="3" t="s">
        <v>34</v>
      </c>
      <c r="C19" s="3">
        <v>13774</v>
      </c>
    </row>
    <row r="20" spans="1:3" x14ac:dyDescent="0.25">
      <c r="A20" s="3" t="s">
        <v>35</v>
      </c>
      <c r="B20" s="3" t="s">
        <v>157</v>
      </c>
      <c r="C20" s="3">
        <v>13771</v>
      </c>
    </row>
    <row r="21" spans="1:3" x14ac:dyDescent="0.25">
      <c r="A21" s="3" t="s">
        <v>36</v>
      </c>
      <c r="B21" s="3"/>
      <c r="C21" s="3"/>
    </row>
    <row r="22" spans="1:3" x14ac:dyDescent="0.25">
      <c r="A22" s="3" t="s">
        <v>37</v>
      </c>
      <c r="B22" s="3"/>
      <c r="C22" s="3"/>
    </row>
    <row r="23" spans="1:3" x14ac:dyDescent="0.25">
      <c r="A23" s="3" t="s">
        <v>38</v>
      </c>
      <c r="B23" s="3" t="s">
        <v>158</v>
      </c>
      <c r="C23" s="3">
        <v>13765</v>
      </c>
    </row>
    <row r="24" spans="1:3" x14ac:dyDescent="0.25">
      <c r="A24" s="3" t="s">
        <v>39</v>
      </c>
      <c r="B24" s="3" t="s">
        <v>159</v>
      </c>
      <c r="C24" s="3">
        <v>13762</v>
      </c>
    </row>
    <row r="25" spans="1:3" x14ac:dyDescent="0.25">
      <c r="A25" s="3" t="s">
        <v>40</v>
      </c>
      <c r="B25" s="3" t="s">
        <v>160</v>
      </c>
      <c r="C25" s="3">
        <v>13773</v>
      </c>
    </row>
    <row r="26" spans="1:3" x14ac:dyDescent="0.25">
      <c r="A26" s="3" t="s">
        <v>41</v>
      </c>
      <c r="B26" s="3"/>
      <c r="C26" s="3"/>
    </row>
    <row r="27" spans="1:3" x14ac:dyDescent="0.25">
      <c r="A27" s="3" t="s">
        <v>42</v>
      </c>
      <c r="B27" s="3"/>
      <c r="C27" s="3"/>
    </row>
    <row r="28" spans="1:3" x14ac:dyDescent="0.25">
      <c r="A28" s="3" t="s">
        <v>43</v>
      </c>
      <c r="B28" s="3"/>
      <c r="C28" s="3"/>
    </row>
    <row r="29" spans="1:3" x14ac:dyDescent="0.25">
      <c r="A29" s="3" t="s">
        <v>44</v>
      </c>
      <c r="B29" s="3" t="s">
        <v>44</v>
      </c>
      <c r="C29" s="3">
        <v>20223</v>
      </c>
    </row>
    <row r="30" spans="1:3" x14ac:dyDescent="0.25">
      <c r="A30" s="3" t="s">
        <v>45</v>
      </c>
      <c r="B30" s="3" t="s">
        <v>161</v>
      </c>
      <c r="C30" s="3">
        <v>30340</v>
      </c>
    </row>
    <row r="31" spans="1:3" x14ac:dyDescent="0.25">
      <c r="A31" s="3" t="s">
        <v>46</v>
      </c>
      <c r="B31" s="3" t="s">
        <v>162</v>
      </c>
      <c r="C31" s="3">
        <v>20226</v>
      </c>
    </row>
    <row r="32" spans="1:3" x14ac:dyDescent="0.25">
      <c r="A32" s="3" t="s">
        <v>47</v>
      </c>
      <c r="B32" s="3" t="s">
        <v>163</v>
      </c>
      <c r="C32" s="3">
        <v>13743</v>
      </c>
    </row>
    <row r="33" spans="1:3" x14ac:dyDescent="0.25">
      <c r="A33" s="3" t="s">
        <v>48</v>
      </c>
      <c r="B33" s="3" t="s">
        <v>164</v>
      </c>
      <c r="C33" s="3">
        <v>13727</v>
      </c>
    </row>
    <row r="34" spans="1:3" x14ac:dyDescent="0.25">
      <c r="A34" s="3" t="s">
        <v>49</v>
      </c>
      <c r="B34" s="3" t="s">
        <v>165</v>
      </c>
      <c r="C34" s="3">
        <v>13778</v>
      </c>
    </row>
    <row r="35" spans="1:3" x14ac:dyDescent="0.25">
      <c r="A35" s="3" t="s">
        <v>50</v>
      </c>
      <c r="B35" s="3"/>
      <c r="C35" s="3"/>
    </row>
    <row r="36" spans="1:3" x14ac:dyDescent="0.25">
      <c r="A36" s="3" t="s">
        <v>43</v>
      </c>
      <c r="B36" s="3"/>
      <c r="C36" s="3"/>
    </row>
    <row r="37" spans="1:3" x14ac:dyDescent="0.25">
      <c r="A37" s="3" t="s">
        <v>44</v>
      </c>
      <c r="B37" s="3" t="s">
        <v>44</v>
      </c>
      <c r="C37" s="3">
        <v>20209</v>
      </c>
    </row>
    <row r="38" spans="1:3" x14ac:dyDescent="0.25">
      <c r="A38" s="3" t="s">
        <v>45</v>
      </c>
      <c r="B38" s="3" t="s">
        <v>161</v>
      </c>
      <c r="C38" s="3">
        <v>25716</v>
      </c>
    </row>
    <row r="39" spans="1:3" x14ac:dyDescent="0.25">
      <c r="A39" s="3" t="s">
        <v>51</v>
      </c>
      <c r="B39" s="3"/>
      <c r="C39" s="3"/>
    </row>
    <row r="40" spans="1:3" x14ac:dyDescent="0.25">
      <c r="A40" s="4" t="s">
        <v>52</v>
      </c>
      <c r="B40" s="4" t="s">
        <v>51</v>
      </c>
      <c r="C40" s="4">
        <v>13779</v>
      </c>
    </row>
    <row r="41" spans="1:3" x14ac:dyDescent="0.25">
      <c r="A41" s="4" t="s">
        <v>53</v>
      </c>
      <c r="B41" s="4" t="s">
        <v>51</v>
      </c>
      <c r="C41" s="4">
        <v>13779</v>
      </c>
    </row>
    <row r="42" spans="1:3" x14ac:dyDescent="0.25">
      <c r="A42" s="3" t="s">
        <v>46</v>
      </c>
      <c r="B42" s="3" t="s">
        <v>169</v>
      </c>
      <c r="C42" s="3">
        <v>20214</v>
      </c>
    </row>
    <row r="43" spans="1:3" x14ac:dyDescent="0.25">
      <c r="A43" s="3" t="s">
        <v>54</v>
      </c>
      <c r="B43" s="3" t="s">
        <v>166</v>
      </c>
      <c r="C43" s="3">
        <v>26450</v>
      </c>
    </row>
    <row r="44" spans="1:3" x14ac:dyDescent="0.25">
      <c r="A44" s="3" t="s">
        <v>47</v>
      </c>
      <c r="B44" s="3" t="s">
        <v>170</v>
      </c>
      <c r="C44" s="3">
        <v>13767</v>
      </c>
    </row>
    <row r="45" spans="1:3" x14ac:dyDescent="0.25">
      <c r="A45" s="3" t="s">
        <v>55</v>
      </c>
      <c r="B45" s="3" t="s">
        <v>55</v>
      </c>
      <c r="C45" s="3">
        <v>13775</v>
      </c>
    </row>
    <row r="46" spans="1:3" x14ac:dyDescent="0.25">
      <c r="A46" s="3" t="s">
        <v>98</v>
      </c>
      <c r="B46" s="3" t="s">
        <v>167</v>
      </c>
      <c r="C46" s="3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5" x14ac:dyDescent="0.25"/>
  <cols>
    <col min="1" max="2" width="42" customWidth="1"/>
    <col min="3" max="3" width="7.5703125" bestFit="1" customWidth="1"/>
  </cols>
  <sheetData>
    <row r="1" spans="1:3" x14ac:dyDescent="0.25">
      <c r="A1" s="2" t="s">
        <v>124</v>
      </c>
      <c r="B1" s="2" t="s">
        <v>125</v>
      </c>
      <c r="C1" s="2" t="s">
        <v>126</v>
      </c>
    </row>
    <row r="2" spans="1:3" x14ac:dyDescent="0.25">
      <c r="A2" s="3" t="s">
        <v>19</v>
      </c>
      <c r="B2" s="3"/>
      <c r="C2" s="3"/>
    </row>
    <row r="3" spans="1:3" x14ac:dyDescent="0.25">
      <c r="A3" s="3" t="s">
        <v>20</v>
      </c>
      <c r="B3" s="3"/>
      <c r="C3" s="3"/>
    </row>
    <row r="4" spans="1:3" x14ac:dyDescent="0.25">
      <c r="A4" s="3" t="s">
        <v>21</v>
      </c>
      <c r="B4" s="3" t="s">
        <v>148</v>
      </c>
      <c r="C4" s="3">
        <v>20222</v>
      </c>
    </row>
    <row r="5" spans="1:3" x14ac:dyDescent="0.25">
      <c r="A5" s="3" t="s">
        <v>22</v>
      </c>
      <c r="B5" s="3" t="s">
        <v>149</v>
      </c>
      <c r="C5" s="3">
        <v>30342</v>
      </c>
    </row>
    <row r="6" spans="1:3" x14ac:dyDescent="0.25">
      <c r="A6" s="3" t="s">
        <v>92</v>
      </c>
      <c r="B6" s="3" t="s">
        <v>171</v>
      </c>
      <c r="C6" s="3">
        <v>13734</v>
      </c>
    </row>
    <row r="7" spans="1:3" x14ac:dyDescent="0.25">
      <c r="A7" s="3" t="s">
        <v>93</v>
      </c>
      <c r="B7" s="3" t="s">
        <v>172</v>
      </c>
      <c r="C7" s="3">
        <v>13736</v>
      </c>
    </row>
    <row r="8" spans="1:3" x14ac:dyDescent="0.25">
      <c r="A8" s="3" t="s">
        <v>26</v>
      </c>
      <c r="B8" s="3" t="s">
        <v>152</v>
      </c>
      <c r="C8" s="3">
        <v>13753</v>
      </c>
    </row>
    <row r="9" spans="1:3" x14ac:dyDescent="0.25">
      <c r="A9" s="3" t="s">
        <v>27</v>
      </c>
      <c r="B9" s="3" t="s">
        <v>153</v>
      </c>
      <c r="C9" s="3">
        <v>13777</v>
      </c>
    </row>
    <row r="10" spans="1:3" x14ac:dyDescent="0.25">
      <c r="A10" s="3" t="s">
        <v>28</v>
      </c>
      <c r="B10" s="3"/>
      <c r="C10" s="3"/>
    </row>
    <row r="11" spans="1:3" x14ac:dyDescent="0.25">
      <c r="A11" s="3" t="s">
        <v>23</v>
      </c>
      <c r="B11" s="3"/>
      <c r="C11" s="3"/>
    </row>
    <row r="12" spans="1:3" x14ac:dyDescent="0.25">
      <c r="A12" s="3" t="s">
        <v>29</v>
      </c>
      <c r="B12" s="3" t="s">
        <v>29</v>
      </c>
      <c r="C12" s="3">
        <v>13780</v>
      </c>
    </row>
    <row r="13" spans="1:3" x14ac:dyDescent="0.25">
      <c r="A13" s="3" t="s">
        <v>30</v>
      </c>
      <c r="B13" s="3" t="s">
        <v>154</v>
      </c>
      <c r="C13" s="3">
        <v>13722</v>
      </c>
    </row>
    <row r="14" spans="1:3" x14ac:dyDescent="0.25">
      <c r="A14" s="3" t="s">
        <v>31</v>
      </c>
      <c r="B14" s="3" t="s">
        <v>155</v>
      </c>
      <c r="C14" s="3">
        <v>29788</v>
      </c>
    </row>
    <row r="15" spans="1:3" x14ac:dyDescent="0.25">
      <c r="A15" s="3" t="s">
        <v>94</v>
      </c>
      <c r="B15" s="3" t="s">
        <v>173</v>
      </c>
      <c r="C15" s="3">
        <v>20230</v>
      </c>
    </row>
    <row r="16" spans="1:3" x14ac:dyDescent="0.25">
      <c r="A16" s="3" t="s">
        <v>25</v>
      </c>
      <c r="B16" s="3" t="s">
        <v>168</v>
      </c>
      <c r="C16" s="3">
        <v>20231</v>
      </c>
    </row>
    <row r="17" spans="1:4" x14ac:dyDescent="0.25">
      <c r="A17" s="3" t="s">
        <v>32</v>
      </c>
      <c r="B17" s="3" t="s">
        <v>156</v>
      </c>
      <c r="C17" s="3">
        <v>20228</v>
      </c>
    </row>
    <row r="18" spans="1:4" x14ac:dyDescent="0.25">
      <c r="A18" s="3" t="s">
        <v>33</v>
      </c>
      <c r="B18" s="3" t="s">
        <v>33</v>
      </c>
      <c r="C18" s="3">
        <v>13750</v>
      </c>
    </row>
    <row r="19" spans="1:4" x14ac:dyDescent="0.25">
      <c r="A19" s="3" t="s">
        <v>34</v>
      </c>
      <c r="B19" s="3" t="s">
        <v>34</v>
      </c>
      <c r="C19" s="3">
        <v>13774</v>
      </c>
    </row>
    <row r="20" spans="1:4" x14ac:dyDescent="0.25">
      <c r="A20" s="3" t="s">
        <v>35</v>
      </c>
      <c r="B20" s="3" t="s">
        <v>157</v>
      </c>
      <c r="C20" s="3">
        <v>13771</v>
      </c>
    </row>
    <row r="21" spans="1:4" x14ac:dyDescent="0.25">
      <c r="A21" s="3" t="s">
        <v>36</v>
      </c>
      <c r="B21" s="3"/>
      <c r="C21" s="3"/>
    </row>
    <row r="22" spans="1:4" x14ac:dyDescent="0.25">
      <c r="A22" s="3" t="s">
        <v>37</v>
      </c>
      <c r="B22" s="3"/>
      <c r="C22" s="3"/>
    </row>
    <row r="23" spans="1:4" x14ac:dyDescent="0.25">
      <c r="A23" s="3" t="s">
        <v>38</v>
      </c>
      <c r="B23" s="3" t="s">
        <v>158</v>
      </c>
      <c r="C23" s="3">
        <v>13765</v>
      </c>
    </row>
    <row r="24" spans="1:4" x14ac:dyDescent="0.25">
      <c r="A24" s="4" t="s">
        <v>39</v>
      </c>
      <c r="B24" s="4" t="s">
        <v>159</v>
      </c>
      <c r="C24" s="4">
        <v>13762</v>
      </c>
    </row>
    <row r="25" spans="1:4" x14ac:dyDescent="0.25">
      <c r="A25" s="4" t="s">
        <v>95</v>
      </c>
      <c r="B25" s="4" t="s">
        <v>159</v>
      </c>
      <c r="C25" s="4">
        <v>13762</v>
      </c>
    </row>
    <row r="26" spans="1:4" x14ac:dyDescent="0.25">
      <c r="A26" s="3" t="s">
        <v>96</v>
      </c>
      <c r="B26" s="3" t="s">
        <v>174</v>
      </c>
      <c r="C26" s="3">
        <v>13744</v>
      </c>
    </row>
    <row r="27" spans="1:4" x14ac:dyDescent="0.25">
      <c r="A27" s="3" t="s">
        <v>40</v>
      </c>
      <c r="B27" s="3"/>
      <c r="C27" s="3"/>
      <c r="D27" t="s">
        <v>205</v>
      </c>
    </row>
    <row r="28" spans="1:4" x14ac:dyDescent="0.25">
      <c r="A28" s="3" t="s">
        <v>41</v>
      </c>
      <c r="B28" s="3"/>
      <c r="C28" s="3"/>
    </row>
    <row r="29" spans="1:4" x14ac:dyDescent="0.25">
      <c r="A29" s="3" t="s">
        <v>42</v>
      </c>
      <c r="B29" s="3"/>
      <c r="C29" s="3"/>
    </row>
    <row r="30" spans="1:4" x14ac:dyDescent="0.25">
      <c r="A30" s="3" t="s">
        <v>43</v>
      </c>
      <c r="B30" s="3"/>
      <c r="C30" s="3"/>
    </row>
    <row r="31" spans="1:4" x14ac:dyDescent="0.25">
      <c r="A31" s="3" t="s">
        <v>44</v>
      </c>
      <c r="B31" s="3" t="s">
        <v>44</v>
      </c>
      <c r="C31" s="3">
        <v>20223</v>
      </c>
    </row>
    <row r="32" spans="1:4" x14ac:dyDescent="0.25">
      <c r="A32" s="3" t="s">
        <v>45</v>
      </c>
      <c r="B32" s="3" t="s">
        <v>161</v>
      </c>
      <c r="C32" s="3">
        <v>30340</v>
      </c>
    </row>
    <row r="33" spans="1:3" x14ac:dyDescent="0.25">
      <c r="A33" s="3" t="s">
        <v>46</v>
      </c>
      <c r="B33" s="3" t="s">
        <v>162</v>
      </c>
      <c r="C33" s="3">
        <v>20226</v>
      </c>
    </row>
    <row r="34" spans="1:3" x14ac:dyDescent="0.25">
      <c r="A34" s="3" t="s">
        <v>47</v>
      </c>
      <c r="B34" s="3" t="s">
        <v>163</v>
      </c>
      <c r="C34" s="3">
        <v>13743</v>
      </c>
    </row>
    <row r="35" spans="1:3" x14ac:dyDescent="0.25">
      <c r="A35" s="3" t="s">
        <v>48</v>
      </c>
      <c r="B35" s="3" t="s">
        <v>164</v>
      </c>
      <c r="C35" s="3">
        <v>13727</v>
      </c>
    </row>
    <row r="36" spans="1:3" x14ac:dyDescent="0.25">
      <c r="A36" s="3" t="s">
        <v>49</v>
      </c>
      <c r="B36" s="3" t="s">
        <v>165</v>
      </c>
      <c r="C36" s="3">
        <v>13778</v>
      </c>
    </row>
    <row r="37" spans="1:3" x14ac:dyDescent="0.25">
      <c r="A37" s="3" t="s">
        <v>50</v>
      </c>
      <c r="B37" s="3"/>
      <c r="C37" s="3"/>
    </row>
    <row r="38" spans="1:3" x14ac:dyDescent="0.25">
      <c r="A38" s="3" t="s">
        <v>43</v>
      </c>
      <c r="B38" s="3"/>
      <c r="C38" s="3"/>
    </row>
    <row r="39" spans="1:3" x14ac:dyDescent="0.25">
      <c r="A39" s="3" t="s">
        <v>44</v>
      </c>
      <c r="B39" s="3" t="s">
        <v>44</v>
      </c>
      <c r="C39" s="3">
        <v>20209</v>
      </c>
    </row>
    <row r="40" spans="1:3" x14ac:dyDescent="0.25">
      <c r="A40" s="3" t="s">
        <v>45</v>
      </c>
      <c r="B40" s="3" t="s">
        <v>161</v>
      </c>
      <c r="C40" s="3">
        <v>25716</v>
      </c>
    </row>
    <row r="41" spans="1:3" x14ac:dyDescent="0.25">
      <c r="A41" s="8" t="s">
        <v>51</v>
      </c>
      <c r="B41" s="8"/>
      <c r="C41" s="8"/>
    </row>
    <row r="42" spans="1:3" x14ac:dyDescent="0.25">
      <c r="A42" s="4" t="s">
        <v>52</v>
      </c>
      <c r="B42" s="4" t="s">
        <v>51</v>
      </c>
      <c r="C42" s="4">
        <v>13779</v>
      </c>
    </row>
    <row r="43" spans="1:3" x14ac:dyDescent="0.25">
      <c r="A43" s="4" t="s">
        <v>53</v>
      </c>
      <c r="B43" s="4" t="s">
        <v>51</v>
      </c>
      <c r="C43" s="4">
        <v>13779</v>
      </c>
    </row>
    <row r="44" spans="1:3" x14ac:dyDescent="0.25">
      <c r="A44" s="3" t="s">
        <v>46</v>
      </c>
      <c r="B44" s="3" t="s">
        <v>169</v>
      </c>
      <c r="C44" s="3">
        <v>20214</v>
      </c>
    </row>
    <row r="45" spans="1:3" x14ac:dyDescent="0.25">
      <c r="A45" s="3" t="s">
        <v>97</v>
      </c>
      <c r="B45" s="3" t="s">
        <v>175</v>
      </c>
      <c r="C45" s="3">
        <v>20211</v>
      </c>
    </row>
    <row r="46" spans="1:3" x14ac:dyDescent="0.25">
      <c r="A46" s="3" t="s">
        <v>54</v>
      </c>
      <c r="B46" s="3" t="s">
        <v>166</v>
      </c>
      <c r="C46" s="3">
        <v>26450</v>
      </c>
    </row>
    <row r="47" spans="1:3" x14ac:dyDescent="0.25">
      <c r="A47" s="3" t="s">
        <v>47</v>
      </c>
      <c r="B47" s="3" t="s">
        <v>170</v>
      </c>
      <c r="C47" s="3">
        <v>13767</v>
      </c>
    </row>
    <row r="48" spans="1:3" x14ac:dyDescent="0.25">
      <c r="A48" s="3" t="s">
        <v>55</v>
      </c>
      <c r="B48" s="3" t="s">
        <v>55</v>
      </c>
      <c r="C48" s="3">
        <v>13775</v>
      </c>
    </row>
    <row r="49" spans="1:3" x14ac:dyDescent="0.25">
      <c r="A49" s="3" t="s">
        <v>98</v>
      </c>
      <c r="B49" s="3" t="s">
        <v>167</v>
      </c>
      <c r="C49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/>
  </sheetViews>
  <sheetFormatPr defaultRowHeight="15" x14ac:dyDescent="0.25"/>
  <cols>
    <col min="1" max="2" width="47.140625" customWidth="1"/>
    <col min="3" max="3" width="7.5703125" bestFit="1" customWidth="1"/>
  </cols>
  <sheetData>
    <row r="1" spans="1:3" x14ac:dyDescent="0.25">
      <c r="A1" s="2" t="s">
        <v>124</v>
      </c>
      <c r="B1" s="2" t="s">
        <v>125</v>
      </c>
      <c r="C1" s="2" t="s">
        <v>126</v>
      </c>
    </row>
    <row r="2" spans="1:3" x14ac:dyDescent="0.25">
      <c r="A2" s="3" t="s">
        <v>56</v>
      </c>
      <c r="B2" s="3"/>
      <c r="C2" s="3"/>
    </row>
    <row r="3" spans="1:3" x14ac:dyDescent="0.25">
      <c r="A3" s="3" t="s">
        <v>57</v>
      </c>
      <c r="B3" s="3" t="s">
        <v>176</v>
      </c>
      <c r="C3" s="3">
        <v>17539</v>
      </c>
    </row>
    <row r="4" spans="1:3" x14ac:dyDescent="0.25">
      <c r="A4" s="3" t="s">
        <v>121</v>
      </c>
      <c r="B4" s="3"/>
      <c r="C4" s="3"/>
    </row>
    <row r="5" spans="1:3" x14ac:dyDescent="0.25">
      <c r="A5" s="3" t="s">
        <v>58</v>
      </c>
      <c r="B5" s="3" t="s">
        <v>177</v>
      </c>
      <c r="C5" s="3">
        <v>30399</v>
      </c>
    </row>
    <row r="6" spans="1:3" x14ac:dyDescent="0.25">
      <c r="A6" s="3" t="s">
        <v>59</v>
      </c>
      <c r="B6" s="3" t="s">
        <v>190</v>
      </c>
      <c r="C6" s="3">
        <v>30479</v>
      </c>
    </row>
    <row r="7" spans="1:3" x14ac:dyDescent="0.25">
      <c r="A7" s="3" t="s">
        <v>60</v>
      </c>
      <c r="B7" s="3" t="s">
        <v>191</v>
      </c>
      <c r="C7" s="3">
        <v>30407</v>
      </c>
    </row>
    <row r="8" spans="1:3" x14ac:dyDescent="0.25">
      <c r="A8" s="3" t="s">
        <v>61</v>
      </c>
      <c r="B8" s="3" t="s">
        <v>179</v>
      </c>
      <c r="C8" s="3">
        <v>30481</v>
      </c>
    </row>
    <row r="9" spans="1:3" x14ac:dyDescent="0.25">
      <c r="A9" s="3" t="s">
        <v>62</v>
      </c>
      <c r="B9" s="3" t="s">
        <v>192</v>
      </c>
      <c r="C9" s="3">
        <v>17542</v>
      </c>
    </row>
    <row r="10" spans="1:3" x14ac:dyDescent="0.25">
      <c r="A10" s="3" t="s">
        <v>63</v>
      </c>
      <c r="B10" s="3"/>
      <c r="C10" s="3"/>
    </row>
    <row r="11" spans="1:3" x14ac:dyDescent="0.25">
      <c r="A11" s="3" t="s">
        <v>64</v>
      </c>
      <c r="B11" s="3" t="s">
        <v>193</v>
      </c>
      <c r="C11" s="3">
        <v>30674</v>
      </c>
    </row>
    <row r="12" spans="1:3" x14ac:dyDescent="0.25">
      <c r="A12" s="3" t="s">
        <v>65</v>
      </c>
      <c r="B12" s="3" t="s">
        <v>180</v>
      </c>
      <c r="C12" s="3">
        <v>30675</v>
      </c>
    </row>
    <row r="13" spans="1:3" x14ac:dyDescent="0.25">
      <c r="A13" s="3" t="s">
        <v>66</v>
      </c>
      <c r="B13" s="3" t="s">
        <v>181</v>
      </c>
      <c r="C13" s="3">
        <v>30452</v>
      </c>
    </row>
    <row r="14" spans="1:3" x14ac:dyDescent="0.25">
      <c r="A14" s="3" t="s">
        <v>67</v>
      </c>
      <c r="B14" s="3" t="s">
        <v>182</v>
      </c>
      <c r="C14" s="3">
        <v>30454</v>
      </c>
    </row>
    <row r="15" spans="1:3" x14ac:dyDescent="0.25">
      <c r="A15" s="3" t="s">
        <v>68</v>
      </c>
      <c r="B15" s="3" t="s">
        <v>183</v>
      </c>
      <c r="C15" s="3">
        <v>30372</v>
      </c>
    </row>
    <row r="16" spans="1:3" x14ac:dyDescent="0.25">
      <c r="A16" s="3" t="s">
        <v>69</v>
      </c>
      <c r="B16" s="3" t="s">
        <v>184</v>
      </c>
      <c r="C16" s="3">
        <v>30422</v>
      </c>
    </row>
    <row r="17" spans="1:3" x14ac:dyDescent="0.25">
      <c r="A17" s="3" t="s">
        <v>70</v>
      </c>
      <c r="B17" s="3" t="s">
        <v>185</v>
      </c>
      <c r="C17" s="3">
        <v>17538</v>
      </c>
    </row>
    <row r="18" spans="1:3" x14ac:dyDescent="0.25">
      <c r="A18" s="3" t="s">
        <v>71</v>
      </c>
      <c r="B18" s="3"/>
      <c r="C18" s="3"/>
    </row>
    <row r="19" spans="1:3" x14ac:dyDescent="0.25">
      <c r="A19" s="3" t="s">
        <v>72</v>
      </c>
      <c r="B19" s="3" t="s">
        <v>194</v>
      </c>
      <c r="C19" s="3">
        <v>17556</v>
      </c>
    </row>
    <row r="20" spans="1:3" x14ac:dyDescent="0.25">
      <c r="A20" s="3" t="s">
        <v>73</v>
      </c>
      <c r="B20" s="3" t="s">
        <v>195</v>
      </c>
      <c r="C20" s="3">
        <v>17563</v>
      </c>
    </row>
    <row r="21" spans="1:3" x14ac:dyDescent="0.25">
      <c r="A21" s="3" t="s">
        <v>74</v>
      </c>
      <c r="B21" s="3" t="s">
        <v>186</v>
      </c>
      <c r="C21" s="3">
        <v>17537</v>
      </c>
    </row>
    <row r="22" spans="1:3" x14ac:dyDescent="0.25">
      <c r="A22" s="3" t="s">
        <v>75</v>
      </c>
      <c r="B22" s="3"/>
      <c r="C22" s="3"/>
    </row>
    <row r="23" spans="1:3" x14ac:dyDescent="0.25">
      <c r="A23" s="3" t="s">
        <v>44</v>
      </c>
      <c r="B23" s="3" t="s">
        <v>187</v>
      </c>
      <c r="C23" s="3">
        <v>17554</v>
      </c>
    </row>
    <row r="24" spans="1:3" x14ac:dyDescent="0.25">
      <c r="A24" s="3" t="s">
        <v>76</v>
      </c>
      <c r="B24" s="3" t="s">
        <v>188</v>
      </c>
      <c r="C24" s="3">
        <v>30658</v>
      </c>
    </row>
    <row r="25" spans="1:3" x14ac:dyDescent="0.25">
      <c r="A25" s="3" t="s">
        <v>77</v>
      </c>
      <c r="B25" s="3" t="s">
        <v>178</v>
      </c>
      <c r="C25" s="3">
        <v>30484</v>
      </c>
    </row>
    <row r="26" spans="1:3" x14ac:dyDescent="0.25">
      <c r="A26" s="3" t="s">
        <v>78</v>
      </c>
      <c r="B26" s="3" t="s">
        <v>189</v>
      </c>
      <c r="C26" s="3">
        <v>17536</v>
      </c>
    </row>
    <row r="27" spans="1:3" x14ac:dyDescent="0.25">
      <c r="A27" s="3" t="s">
        <v>79</v>
      </c>
      <c r="B27" s="3" t="s">
        <v>196</v>
      </c>
      <c r="C27" s="3">
        <v>17529</v>
      </c>
    </row>
    <row r="28" spans="1:3" x14ac:dyDescent="0.25">
      <c r="A28" s="3" t="s">
        <v>80</v>
      </c>
      <c r="B28" s="3" t="s">
        <v>201</v>
      </c>
      <c r="C28" s="3">
        <v>17541</v>
      </c>
    </row>
    <row r="29" spans="1:3" x14ac:dyDescent="0.25">
      <c r="A29" s="3" t="s">
        <v>81</v>
      </c>
      <c r="B29" s="3" t="s">
        <v>197</v>
      </c>
      <c r="C29" s="3">
        <v>17519</v>
      </c>
    </row>
    <row r="30" spans="1:3" x14ac:dyDescent="0.25">
      <c r="A30" s="3" t="s">
        <v>82</v>
      </c>
      <c r="B30" s="3" t="s">
        <v>198</v>
      </c>
      <c r="C30" s="3">
        <v>30371</v>
      </c>
    </row>
    <row r="31" spans="1:3" x14ac:dyDescent="0.25">
      <c r="A31" s="3" t="s">
        <v>83</v>
      </c>
      <c r="B31" s="3"/>
      <c r="C31" s="3"/>
    </row>
    <row r="32" spans="1:3" x14ac:dyDescent="0.25">
      <c r="A32" s="3" t="s">
        <v>84</v>
      </c>
      <c r="B32" s="3"/>
      <c r="C32" s="3"/>
    </row>
    <row r="33" spans="1:3" x14ac:dyDescent="0.25">
      <c r="A33" s="3" t="s">
        <v>85</v>
      </c>
      <c r="B33" s="3"/>
      <c r="C33" s="3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/>
  </sheetViews>
  <sheetFormatPr defaultRowHeight="15" x14ac:dyDescent="0.25"/>
  <cols>
    <col min="1" max="1" width="55.5703125" customWidth="1"/>
    <col min="2" max="2" width="61" customWidth="1"/>
    <col min="3" max="3" width="7.5703125" bestFit="1" customWidth="1"/>
  </cols>
  <sheetData>
    <row r="1" spans="1:3" x14ac:dyDescent="0.25">
      <c r="A1" s="2" t="s">
        <v>124</v>
      </c>
      <c r="B1" s="2" t="s">
        <v>125</v>
      </c>
      <c r="C1" s="2" t="s">
        <v>126</v>
      </c>
    </row>
    <row r="2" spans="1:3" x14ac:dyDescent="0.25">
      <c r="A2" s="3" t="s">
        <v>56</v>
      </c>
      <c r="B2" s="3"/>
      <c r="C2" s="3"/>
    </row>
    <row r="3" spans="1:3" x14ac:dyDescent="0.25">
      <c r="A3" s="3" t="s">
        <v>57</v>
      </c>
      <c r="B3" s="3" t="s">
        <v>176</v>
      </c>
      <c r="C3" s="3">
        <v>17539</v>
      </c>
    </row>
    <row r="4" spans="1:3" x14ac:dyDescent="0.25">
      <c r="A4" s="3" t="s">
        <v>121</v>
      </c>
      <c r="B4" s="3"/>
      <c r="C4" s="3"/>
    </row>
    <row r="5" spans="1:3" x14ac:dyDescent="0.25">
      <c r="A5" s="3" t="s">
        <v>58</v>
      </c>
      <c r="B5" s="3" t="s">
        <v>177</v>
      </c>
      <c r="C5" s="3">
        <v>30399</v>
      </c>
    </row>
    <row r="6" spans="1:3" x14ac:dyDescent="0.25">
      <c r="A6" s="3" t="s">
        <v>59</v>
      </c>
      <c r="B6" s="3" t="s">
        <v>190</v>
      </c>
      <c r="C6" s="3">
        <v>30479</v>
      </c>
    </row>
    <row r="7" spans="1:3" x14ac:dyDescent="0.25">
      <c r="A7" s="3" t="s">
        <v>99</v>
      </c>
      <c r="B7" s="3" t="s">
        <v>179</v>
      </c>
      <c r="C7" s="3">
        <v>30481</v>
      </c>
    </row>
    <row r="8" spans="1:3" x14ac:dyDescent="0.25">
      <c r="A8" s="3" t="s">
        <v>60</v>
      </c>
      <c r="B8" s="3" t="s">
        <v>191</v>
      </c>
      <c r="C8" s="3">
        <v>30407</v>
      </c>
    </row>
    <row r="9" spans="1:3" x14ac:dyDescent="0.25">
      <c r="A9" s="3" t="s">
        <v>100</v>
      </c>
      <c r="B9" s="3" t="s">
        <v>206</v>
      </c>
      <c r="C9" s="8">
        <v>30414</v>
      </c>
    </row>
    <row r="10" spans="1:3" x14ac:dyDescent="0.25">
      <c r="A10" s="3" t="s">
        <v>86</v>
      </c>
      <c r="B10" s="3" t="s">
        <v>199</v>
      </c>
      <c r="C10" s="3">
        <v>30475</v>
      </c>
    </row>
    <row r="11" spans="1:3" x14ac:dyDescent="0.25">
      <c r="A11" s="3" t="s">
        <v>63</v>
      </c>
      <c r="B11" s="3"/>
      <c r="C11" s="3"/>
    </row>
    <row r="12" spans="1:3" x14ac:dyDescent="0.25">
      <c r="A12" s="3" t="s">
        <v>64</v>
      </c>
      <c r="B12" s="3" t="s">
        <v>193</v>
      </c>
      <c r="C12" s="3">
        <v>30674</v>
      </c>
    </row>
    <row r="13" spans="1:3" x14ac:dyDescent="0.25">
      <c r="A13" s="3" t="s">
        <v>65</v>
      </c>
      <c r="B13" s="3" t="s">
        <v>180</v>
      </c>
      <c r="C13" s="3">
        <v>30675</v>
      </c>
    </row>
    <row r="14" spans="1:3" x14ac:dyDescent="0.25">
      <c r="A14" s="3" t="s">
        <v>66</v>
      </c>
      <c r="B14" s="3" t="s">
        <v>181</v>
      </c>
      <c r="C14" s="3">
        <v>30452</v>
      </c>
    </row>
    <row r="15" spans="1:3" x14ac:dyDescent="0.25">
      <c r="A15" s="3" t="s">
        <v>67</v>
      </c>
      <c r="B15" s="3" t="s">
        <v>182</v>
      </c>
      <c r="C15" s="3">
        <v>30454</v>
      </c>
    </row>
    <row r="16" spans="1:3" x14ac:dyDescent="0.25">
      <c r="A16" s="3" t="s">
        <v>68</v>
      </c>
      <c r="B16" s="3" t="s">
        <v>183</v>
      </c>
      <c r="C16" s="3">
        <v>30372</v>
      </c>
    </row>
    <row r="17" spans="1:3" x14ac:dyDescent="0.25">
      <c r="A17" s="3" t="s">
        <v>69</v>
      </c>
      <c r="B17" s="3" t="s">
        <v>184</v>
      </c>
      <c r="C17" s="3">
        <v>30422</v>
      </c>
    </row>
    <row r="18" spans="1:3" x14ac:dyDescent="0.25">
      <c r="A18" s="3" t="s">
        <v>70</v>
      </c>
      <c r="B18" s="3" t="s">
        <v>185</v>
      </c>
      <c r="C18" s="3">
        <v>17538</v>
      </c>
    </row>
    <row r="19" spans="1:3" x14ac:dyDescent="0.25">
      <c r="A19" s="3" t="s">
        <v>71</v>
      </c>
      <c r="B19" s="3"/>
      <c r="C19" s="3"/>
    </row>
    <row r="20" spans="1:3" x14ac:dyDescent="0.25">
      <c r="A20" s="3" t="s">
        <v>72</v>
      </c>
      <c r="B20" s="3" t="s">
        <v>194</v>
      </c>
      <c r="C20" s="3">
        <v>17556</v>
      </c>
    </row>
    <row r="21" spans="1:3" x14ac:dyDescent="0.25">
      <c r="A21" s="3" t="s">
        <v>101</v>
      </c>
      <c r="B21" s="3" t="s">
        <v>200</v>
      </c>
      <c r="C21" s="3">
        <v>30488</v>
      </c>
    </row>
    <row r="22" spans="1:3" x14ac:dyDescent="0.25">
      <c r="A22" s="3" t="s">
        <v>102</v>
      </c>
      <c r="B22" s="3" t="s">
        <v>186</v>
      </c>
      <c r="C22" s="3">
        <v>17537</v>
      </c>
    </row>
    <row r="23" spans="1:3" x14ac:dyDescent="0.25">
      <c r="A23" s="3" t="s">
        <v>75</v>
      </c>
      <c r="B23" s="3"/>
      <c r="C23" s="3"/>
    </row>
    <row r="24" spans="1:3" x14ac:dyDescent="0.25">
      <c r="A24" s="3" t="s">
        <v>44</v>
      </c>
      <c r="B24" s="3" t="s">
        <v>187</v>
      </c>
      <c r="C24" s="3">
        <v>17554</v>
      </c>
    </row>
    <row r="25" spans="1:3" x14ac:dyDescent="0.25">
      <c r="A25" s="3" t="s">
        <v>76</v>
      </c>
      <c r="B25" s="3" t="s">
        <v>188</v>
      </c>
      <c r="C25" s="3">
        <v>30658</v>
      </c>
    </row>
    <row r="26" spans="1:3" x14ac:dyDescent="0.25">
      <c r="A26" s="3" t="s">
        <v>77</v>
      </c>
      <c r="B26" s="3" t="s">
        <v>178</v>
      </c>
      <c r="C26" s="3">
        <v>30484</v>
      </c>
    </row>
    <row r="27" spans="1:3" x14ac:dyDescent="0.25">
      <c r="A27" s="3" t="s">
        <v>78</v>
      </c>
      <c r="B27" s="3" t="s">
        <v>189</v>
      </c>
      <c r="C27" s="3">
        <v>17536</v>
      </c>
    </row>
    <row r="28" spans="1:3" x14ac:dyDescent="0.25">
      <c r="A28" s="3" t="s">
        <v>79</v>
      </c>
      <c r="B28" s="3" t="s">
        <v>196</v>
      </c>
      <c r="C28" s="3">
        <v>17529</v>
      </c>
    </row>
    <row r="29" spans="1:3" x14ac:dyDescent="0.25">
      <c r="A29" s="3" t="s">
        <v>103</v>
      </c>
      <c r="B29" s="3" t="s">
        <v>201</v>
      </c>
      <c r="C29" s="3">
        <v>17541</v>
      </c>
    </row>
    <row r="30" spans="1:3" x14ac:dyDescent="0.25">
      <c r="A30" s="3" t="s">
        <v>81</v>
      </c>
      <c r="B30" s="3" t="s">
        <v>197</v>
      </c>
      <c r="C30" s="3">
        <v>17519</v>
      </c>
    </row>
    <row r="31" spans="1:3" x14ac:dyDescent="0.25">
      <c r="A31" s="3" t="s">
        <v>82</v>
      </c>
      <c r="B31" s="3" t="s">
        <v>198</v>
      </c>
      <c r="C31" s="3">
        <v>30371</v>
      </c>
    </row>
    <row r="32" spans="1:3" x14ac:dyDescent="0.25">
      <c r="A32" s="3" t="s">
        <v>83</v>
      </c>
      <c r="B32" s="3"/>
      <c r="C32" s="3"/>
    </row>
    <row r="33" spans="1:3" x14ac:dyDescent="0.25">
      <c r="A33" s="3" t="s">
        <v>84</v>
      </c>
      <c r="B33" s="3"/>
      <c r="C33" s="3"/>
    </row>
    <row r="34" spans="1:3" x14ac:dyDescent="0.25">
      <c r="A34" s="3" t="s">
        <v>85</v>
      </c>
      <c r="B34" s="3"/>
      <c r="C34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03F9-E018-4C12-A793-988C68B398C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B6B2-03B8-4B8B-89A9-C1424B0B6C8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2026-01-03T06:35:56Z</dcterms:created>
  <dcterms:modified xsi:type="dcterms:W3CDTF">2026-01-27T10:13:31Z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2026-01-09T06:45:18Z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cf47d852-eed7-4935-ae07-4735dda199c0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