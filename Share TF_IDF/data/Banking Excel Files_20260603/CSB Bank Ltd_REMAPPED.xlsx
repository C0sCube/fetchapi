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5E3C1044-D1C6-45C1-AE35-A231ACFC63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Finance - Standalon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I1" i="4"/>
  <c r="I2" i="3"/>
  <c r="I1" i="3"/>
  <c r="I2" i="2"/>
  <c r="I1" i="2"/>
  <c r="I3" i="1"/>
  <c r="I1" i="1"/>
  <c r="I3" i="4" l="1"/>
  <c r="I3" i="3"/>
  <c r="I3" i="2"/>
  <c r="I4" i="1"/>
</calcChain>
</file>

<file path=xl/sharedStrings.xml><?xml version="1.0" encoding="utf-8"?>
<sst xmlns="http://schemas.openxmlformats.org/spreadsheetml/2006/main" count="541" uniqueCount="233">
  <si>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</si>
  <si>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</si>
  <si>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</si>
  <si>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</si>
  <si>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</si>
  <si>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</si>
  <si>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RBI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</si>
  <si>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</si>
  <si>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</si>
  <si>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</si>
  <si>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</si>
  <si>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</si>
  <si>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</si>
  <si>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</si>
  <si>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</si>
  <si>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</si>
  <si>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Operating Expenses</t>
  </si>
  <si>
    <t>Employees cost</t>
  </si>
  <si>
    <t>Employee Benefit Expense</t>
  </si>
  <si>
    <t>Other operating expenses</t>
  </si>
  <si>
    <t>Total Expenditure(excluding provisions and contingencies )</t>
  </si>
  <si>
    <t>Profit/(Loss) From Ordinary Activities before Tax</t>
  </si>
  <si>
    <t>Operating Profit before Provisions and Contingencies</t>
  </si>
  <si>
    <t>Profit/(Loss) from Ordinary Activities after Finance Costs but before Exceptional Items</t>
  </si>
  <si>
    <t>Provisions ( other than tax 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</si>
  <si>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</si>
  <si>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</si>
  <si>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</si>
  <si>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</si>
  <si>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Tax expense</t>
  </si>
  <si>
    <t>Net Profit from Ordinary Activities after Tax</t>
  </si>
  <si>
    <t>Extraordinary items ( net of tax expense )</t>
  </si>
  <si>
    <t>Net Profit for the period</t>
  </si>
  <si>
    <t>Net Profit/(Loss) for the Period</t>
  </si>
  <si>
    <t>Paid - up Equity Share Capital (Face value - ₹ 10 per equity share)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</si>
  <si>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</si>
  <si>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</si>
  <si>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</si>
  <si>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</t>
  </si>
  <si>
    <t>Percentage of shares held by Government of India</t>
  </si>
  <si>
    <t xml:space="preserve">Capital Adequacy Ratio (Basel-Ill) </t>
  </si>
  <si>
    <t>Earnings per Share ( EPS) *</t>
  </si>
  <si>
    <t>Basic EPS - before and after extraordinary items ( in ₹ )</t>
  </si>
  <si>
    <t>Diluted EPS</t>
  </si>
  <si>
    <t>Diluted EPS - before and after extraordinary items ( in ₹ )</t>
  </si>
  <si>
    <t>NPA Ratios</t>
  </si>
  <si>
    <t>Minority Interest</t>
  </si>
  <si>
    <t>Gross NPAs</t>
  </si>
  <si>
    <t>NOVAL</t>
  </si>
  <si>
    <t>Net NPAs</t>
  </si>
  <si>
    <t>Deferred Tax</t>
  </si>
  <si>
    <t>% of Gross NPAs</t>
  </si>
  <si>
    <t>% of Net NPAs</t>
  </si>
  <si>
    <t>Basic EPS</t>
  </si>
  <si>
    <t>Return on Assets - Annualised</t>
  </si>
  <si>
    <t>Networth #</t>
  </si>
  <si>
    <t>Tax Expense</t>
  </si>
  <si>
    <t>Outstanding Redeemable Preference Shares</t>
  </si>
  <si>
    <t>Capital Redemption Reserve</t>
  </si>
  <si>
    <t>Debenture Redemption Reserve</t>
  </si>
  <si>
    <t>Items that will be reclassified to Profit or Loss</t>
  </si>
  <si>
    <t>Debt Equity Ratio</t>
  </si>
  <si>
    <t>Total Debt to Total Assets</t>
  </si>
  <si>
    <t>Total Field</t>
  </si>
  <si>
    <t>₹ in Lakhs )</t>
  </si>
  <si>
    <t>Number of shares</t>
  </si>
  <si>
    <t>Segment Revenue :</t>
  </si>
  <si>
    <t>Treasury</t>
  </si>
  <si>
    <t>Corporate / Wholesale Banking</t>
  </si>
  <si>
    <t>Dividend Income</t>
  </si>
  <si>
    <t>Retail Banking</t>
  </si>
  <si>
    <t>Other Banking Operations</t>
  </si>
  <si>
    <t>Other Operating Income</t>
  </si>
  <si>
    <t>Unallocated</t>
  </si>
  <si>
    <t>Total Revenue</t>
  </si>
  <si>
    <t>Less : Inter segment revenue</t>
  </si>
  <si>
    <t>Income from operations</t>
  </si>
  <si>
    <t>Segment Results ( Net of provisions ):</t>
  </si>
  <si>
    <t>Items that will not be reclassified to Profit or Loss</t>
  </si>
  <si>
    <t>Profit Before Tax</t>
  </si>
  <si>
    <t>Segment Assets :</t>
  </si>
  <si>
    <t>Total</t>
  </si>
  <si>
    <t>Segment Liabilities :</t>
  </si>
  <si>
    <t>Capital employed :</t>
  </si>
  <si>
    <t>Segment Assets - Segment Liabilities )</t>
  </si>
  <si>
    <t>Capital</t>
  </si>
  <si>
    <t>Share Capital</t>
  </si>
  <si>
    <t>Employees stock options outstanding</t>
  </si>
  <si>
    <t>Total Share Holder's Funds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</si>
  <si>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</si>
  <si>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</si>
  <si>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</si>
  <si>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</si>
  <si>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</si>
  <si>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</si>
  <si>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</si>
  <si>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</si>
  <si>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</si>
  <si>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</si>
  <si>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</si>
  <si>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&amp;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</si>
  <si>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</si>
  <si>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</si>
  <si>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</si>
  <si>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</si>
  <si>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</si>
  <si>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</si>
  <si>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</si>
  <si>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Cash flows from operating activities</t>
  </si>
  <si>
    <t>Profit before income tax</t>
  </si>
  <si>
    <t>Net Profit Before Tax And Exceptional Item</t>
  </si>
  <si>
    <t>Adjustments for :</t>
  </si>
  <si>
    <t>Depreciation on fixed assets</t>
  </si>
  <si>
    <t>Depreciation and Amortisation Expense</t>
  </si>
  <si>
    <t>Provision for depreciation in value of investments</t>
  </si>
  <si>
    <t>Provision For Dimunition In Investments</t>
  </si>
  <si>
    <t>Provision towards non performing advances</t>
  </si>
  <si>
    <t>Others-Investing Activities</t>
  </si>
  <si>
    <t>Provision for standard assets</t>
  </si>
  <si>
    <t>Provision For Doubtful Debts</t>
  </si>
  <si>
    <t>Employee stock option expense</t>
  </si>
  <si>
    <t>Employees Stock Options Grants</t>
  </si>
  <si>
    <t>(Profit)/Loss on sale of fixed assets</t>
  </si>
  <si>
    <t>Profit On Sale Of Fixed Assets</t>
  </si>
  <si>
    <t>Amortisation of (discount) on investments</t>
  </si>
  <si>
    <t>Other provisions and contingencies</t>
  </si>
  <si>
    <t>Other Current and Non Current Liabilities</t>
  </si>
  <si>
    <t>(Increase) in investments (excluding Held to Maturity Investments)</t>
  </si>
  <si>
    <t>Other Current and Non Current Assets</t>
  </si>
  <si>
    <t>(Increase) in advances</t>
  </si>
  <si>
    <t>Loans And Advances</t>
  </si>
  <si>
    <t>(Increase) in other assets</t>
  </si>
  <si>
    <t>Increase in deposits</t>
  </si>
  <si>
    <t>Fixed Deposits</t>
  </si>
  <si>
    <t>Increase in other liabilities &amp; provisions</t>
  </si>
  <si>
    <t>Direct taxes paid (net of refunds)</t>
  </si>
  <si>
    <t>Income Tax Paid</t>
  </si>
  <si>
    <t>Net cash flow (used in) operating activities</t>
  </si>
  <si>
    <t>Net Cash Flow From Operating Activities</t>
  </si>
  <si>
    <t>Cash flows from investing activities :</t>
  </si>
  <si>
    <t>Purchase of fixed assets and intangible assets</t>
  </si>
  <si>
    <t>Purchase Of Fixed Assets (Tangible / Intangible)</t>
  </si>
  <si>
    <t>Proceeds from sale of fixed assets</t>
  </si>
  <si>
    <t>Sale Of Fixed Assets (Tangible / Intangible)</t>
  </si>
  <si>
    <t>(Increase)/Decrease in Held to Maturity Investments</t>
  </si>
  <si>
    <t>Net cash flow (used in)/from investing activities</t>
  </si>
  <si>
    <t>Net Cash Flow From Investing Activities</t>
  </si>
  <si>
    <t>Cash flows from financing activities</t>
  </si>
  <si>
    <t>Proceeds from Borrowings (net)</t>
  </si>
  <si>
    <t>Proceeds From Long Term Borrowings</t>
  </si>
  <si>
    <t>Net cash flow from financing activities</t>
  </si>
  <si>
    <t>Net Cash Flow From Financing Activities</t>
  </si>
  <si>
    <t>Net Increase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</si>
  <si>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</si>
  <si>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</si>
  <si>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</si>
  <si>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</si>
  <si>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</si>
  <si>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</si>
  <si>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</si>
  <si>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</si>
  <si>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</si>
  <si>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</si>
  <si>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</si>
  <si>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</si>
  <si>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</si>
  <si>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</si>
  <si>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</si>
  <si>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</si>
  <si>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</si>
  <si>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Total Income from Operations (net)</t>
  </si>
  <si>
    <t>Interest Expended</t>
  </si>
  <si>
    <t>Calculated Field</t>
  </si>
  <si>
    <t>Employees Cost</t>
  </si>
  <si>
    <t>Other Expenses</t>
  </si>
  <si>
    <t>Operating Profit/ (Loss) before Provisions and Contingencies</t>
  </si>
  <si>
    <t>Provisions (Other than tax) and Contingencies</t>
  </si>
  <si>
    <t>Net Profit/(Loss) from Ordinary Activities after Tax</t>
  </si>
  <si>
    <t>Percentage of Shares Held by GOI</t>
  </si>
  <si>
    <t>BASEL - III Capital Adequacy (CRAR) (%)</t>
  </si>
  <si>
    <t>Amount of Gross NPA</t>
  </si>
  <si>
    <t>Amount of Net NPA</t>
  </si>
  <si>
    <t>% of Gross NPA</t>
  </si>
  <si>
    <t>% of Net NPA</t>
  </si>
  <si>
    <t>Return on Assets</t>
  </si>
  <si>
    <t>Ignore This Field</t>
  </si>
  <si>
    <t>Debt Equity Ratio (%)</t>
  </si>
  <si>
    <t>Wrongly Capture</t>
  </si>
  <si>
    <t>Segment Revenue</t>
  </si>
  <si>
    <t>Unallocated Income (Expenses)</t>
  </si>
  <si>
    <t>Total Segment Revenue</t>
  </si>
  <si>
    <t>Less: Inter Segment Revenue</t>
  </si>
  <si>
    <t>Segment Results</t>
  </si>
  <si>
    <t>Profit/(Loss) from ordinary activities before tax</t>
  </si>
  <si>
    <t>Segment Assets</t>
  </si>
  <si>
    <t>Unallocable Corporate Assets</t>
  </si>
  <si>
    <t>Total Segment Assets</t>
  </si>
  <si>
    <t>Segment Liabilities</t>
  </si>
  <si>
    <t>Unallocable Corporate Liabilities</t>
  </si>
  <si>
    <t>Total Segment Liabilities</t>
  </si>
  <si>
    <t>Capital Employed</t>
  </si>
  <si>
    <t>Total Capital Employed</t>
  </si>
  <si>
    <t>Depreciation</t>
  </si>
  <si>
    <t>Depreciation on Investments</t>
  </si>
  <si>
    <t>Provision For Non-Performing Advances</t>
  </si>
  <si>
    <t>Provision For Standard Assets</t>
  </si>
  <si>
    <t>Amortisation</t>
  </si>
  <si>
    <t>Provision for Contingencies &amp; Others</t>
  </si>
  <si>
    <t>Increase/Decrease In Investments</t>
  </si>
  <si>
    <t>Increase/Decrease In Advances</t>
  </si>
  <si>
    <t>Increase/Decrease In Other Assets</t>
  </si>
  <si>
    <t>Increase/Decrease In Deposits</t>
  </si>
  <si>
    <t>Increase/Decrease In Other Liablities &amp; Provisions</t>
  </si>
  <si>
    <t>Purchase Of Fixed Assets</t>
  </si>
  <si>
    <t>Sale Of Fixed Assets</t>
  </si>
  <si>
    <t>(Increase)/Decrease in Held to Maturity investments</t>
  </si>
  <si>
    <t>Employees Stock Options Outstanding</t>
  </si>
  <si>
    <t>Reserves And Surplus</t>
  </si>
  <si>
    <t>Other Liabilities And Provisions</t>
  </si>
  <si>
    <t>Balances with banks and money at call and short notice</t>
  </si>
  <si>
    <t>Fixed Assets</t>
  </si>
  <si>
    <t>Other Assets</t>
  </si>
  <si>
    <t>Total Assets</t>
  </si>
  <si>
    <t>(Interest/ discount on advances/ bills + Income on Investments +Interest on balances with Reserve Bank of India and other inter bank funds +Others)</t>
  </si>
  <si>
    <t>Employees cost + Other operating expenses</t>
  </si>
  <si>
    <t>Basic EPS /Basic EPS</t>
  </si>
  <si>
    <t>222 /221</t>
  </si>
  <si>
    <t>Diluted EPS /Diluted EPS</t>
  </si>
  <si>
    <t>234 / 233</t>
  </si>
  <si>
    <t>CAPITAL &amp; LIABILITIES</t>
  </si>
  <si>
    <t>Since the value is Postiive, it should be mapped to ‘Loss On Sale Of Fixed Assets'.</t>
  </si>
  <si>
    <t>It is product Name.</t>
  </si>
  <si>
    <t xml:space="preserve">Ignore this field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</si>
</sst>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2" xfId="0" applyFont="1" applyBorder="1"/>
    <xf numFmtId="9" fontId="0" fillId="0" borderId="0" xfId="1" applyFont="1"/>
    <xf numFmtId="0" fontId="0" fillId="3" borderId="0" xfId="0" applyFill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0" fillId="0" borderId="1" xfId="0" quotePrefix="1" applyBorder="1"/>
    <xf numFmtId="2" fontId="0" fillId="0" borderId="1" xfId="0" applyNumberFormat="1" applyBorder="1"/>
    <xf numFmtId="0" fontId="0" fillId="2" borderId="1" xfId="0" applyFill="1" applyBorder="1"/>
    <xf numFmtId="2" fontId="3" fillId="0" borderId="1" xfId="0" applyNumberFormat="1" applyFont="1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0" customWidth="1"/>
    <col min="2" max="2" width="41.85546875" customWidth="1"/>
    <col min="3" max="3" width="9.7109375" customWidth="1"/>
    <col min="4" max="4" width="42.5703125" bestFit="1" customWidth="1"/>
    <col min="6" max="6" width="40.5703125" bestFit="1" customWidth="1"/>
  </cols>
  <sheetData>
    <row r="1" spans="1:9" x14ac:dyDescent="0.25">
      <c r="A1" s="1" t="s">
        <v>0</v>
      </c>
      <c r="B1" s="1" t="s">
        <v>1</v>
      </c>
      <c r="C1" s="6" t="s">
        <v>158</v>
      </c>
      <c r="D1" s="6" t="s">
        <v>159</v>
      </c>
      <c r="E1" s="7" t="s">
        <v>160</v>
      </c>
      <c r="F1" s="6" t="s">
        <v>161</v>
      </c>
      <c r="H1" s="3" t="s">
        <v>162</v>
      </c>
      <c r="I1">
        <f>COUNTIF(C:C,$H1)</f>
        <v>10</v>
      </c>
    </row>
    <row r="2" spans="1:9" x14ac:dyDescent="0.25">
      <c r="A2" s="5" t="s">
        <v>164</v>
      </c>
      <c r="B2" s="11"/>
      <c r="C2" s="9" t="s">
        <v>163</v>
      </c>
      <c r="D2" s="9" t="s">
        <v>172</v>
      </c>
      <c r="E2" s="12"/>
      <c r="F2" t="s">
        <v>223</v>
      </c>
      <c r="G2" s="8" t="s">
        <v>166</v>
      </c>
      <c r="H2" s="2"/>
    </row>
    <row r="3" spans="1:9" x14ac:dyDescent="0.25">
      <c r="A3" s="10" t="s">
        <v>2</v>
      </c>
      <c r="B3" s="10" t="s">
        <v>3</v>
      </c>
      <c r="C3" s="10" t="s">
        <v>163</v>
      </c>
      <c r="D3" s="10" t="s">
        <v>167</v>
      </c>
      <c r="E3" s="10">
        <v>259</v>
      </c>
      <c r="F3" s="10"/>
      <c r="H3" s="2" t="s">
        <v>163</v>
      </c>
      <c r="I3">
        <f>COUNTIF(C:C,$H3)</f>
        <v>30</v>
      </c>
    </row>
    <row r="4" spans="1:9" x14ac:dyDescent="0.25">
      <c r="A4" s="10" t="s">
        <v>4</v>
      </c>
      <c r="B4" s="10" t="s">
        <v>5</v>
      </c>
      <c r="C4" s="10" t="s">
        <v>163</v>
      </c>
      <c r="D4" s="10" t="s">
        <v>168</v>
      </c>
      <c r="E4" s="10">
        <v>257</v>
      </c>
      <c r="F4" s="10"/>
      <c r="I4" s="4">
        <f>I1/SUM(I1:I3)</f>
        <v>0.25</v>
      </c>
    </row>
    <row r="5" spans="1:9" x14ac:dyDescent="0.25">
      <c r="A5" s="10" t="s">
        <v>6</v>
      </c>
      <c r="B5" s="10" t="s">
        <v>7</v>
      </c>
      <c r="C5" s="10" t="s">
        <v>163</v>
      </c>
      <c r="D5" s="10" t="s">
        <v>169</v>
      </c>
      <c r="E5" s="10">
        <v>261</v>
      </c>
      <c r="F5" s="10"/>
    </row>
    <row r="6" spans="1:9" x14ac:dyDescent="0.25">
      <c r="A6" s="10" t="s">
        <v>8</v>
      </c>
      <c r="B6" s="10" t="s">
        <v>9</v>
      </c>
      <c r="C6" s="10" t="s">
        <v>163</v>
      </c>
      <c r="D6" s="10" t="s">
        <v>8</v>
      </c>
      <c r="E6" s="10">
        <v>280</v>
      </c>
      <c r="F6" s="10"/>
    </row>
    <row r="7" spans="1:9" x14ac:dyDescent="0.25">
      <c r="A7" s="10" t="s">
        <v>10</v>
      </c>
      <c r="B7" s="10" t="s">
        <v>11</v>
      </c>
      <c r="C7" s="10" t="s">
        <v>162</v>
      </c>
      <c r="D7" s="14" t="s">
        <v>11</v>
      </c>
      <c r="E7" s="15">
        <v>265</v>
      </c>
      <c r="F7" s="10"/>
    </row>
    <row r="8" spans="1:9" x14ac:dyDescent="0.25">
      <c r="A8" s="10" t="s">
        <v>12</v>
      </c>
      <c r="B8" s="10" t="s">
        <v>12</v>
      </c>
      <c r="C8" s="10" t="s">
        <v>163</v>
      </c>
      <c r="D8" s="10" t="s">
        <v>170</v>
      </c>
      <c r="E8" s="10">
        <v>266</v>
      </c>
      <c r="F8" s="10"/>
    </row>
    <row r="9" spans="1:9" x14ac:dyDescent="0.25">
      <c r="A9" s="10" t="s">
        <v>13</v>
      </c>
      <c r="B9" s="10" t="s">
        <v>14</v>
      </c>
      <c r="C9" s="10" t="s">
        <v>163</v>
      </c>
      <c r="D9" s="10" t="s">
        <v>171</v>
      </c>
      <c r="E9" s="10">
        <v>246</v>
      </c>
      <c r="F9" s="10"/>
    </row>
    <row r="10" spans="1:9" x14ac:dyDescent="0.25">
      <c r="A10" s="10" t="s">
        <v>15</v>
      </c>
      <c r="B10" s="10" t="s">
        <v>16</v>
      </c>
      <c r="C10" s="10" t="s">
        <v>163</v>
      </c>
      <c r="D10" s="10" t="s">
        <v>172</v>
      </c>
      <c r="E10" s="10"/>
      <c r="F10" s="13" t="s">
        <v>224</v>
      </c>
    </row>
    <row r="11" spans="1:9" x14ac:dyDescent="0.25">
      <c r="A11" s="10" t="s">
        <v>17</v>
      </c>
      <c r="B11" s="10" t="s">
        <v>18</v>
      </c>
      <c r="C11" s="10" t="s">
        <v>163</v>
      </c>
      <c r="D11" s="10" t="s">
        <v>173</v>
      </c>
      <c r="E11" s="10">
        <v>238</v>
      </c>
      <c r="F11" s="10"/>
    </row>
    <row r="12" spans="1:9" x14ac:dyDescent="0.25">
      <c r="A12" s="10" t="s">
        <v>19</v>
      </c>
      <c r="B12" s="10" t="s">
        <v>16</v>
      </c>
      <c r="C12" s="10" t="s">
        <v>163</v>
      </c>
      <c r="D12" s="10" t="s">
        <v>174</v>
      </c>
      <c r="E12" s="10">
        <v>279</v>
      </c>
      <c r="F12" s="10"/>
    </row>
    <row r="13" spans="1:9" x14ac:dyDescent="0.25">
      <c r="A13" s="10" t="s">
        <v>20</v>
      </c>
      <c r="B13" s="10" t="s">
        <v>21</v>
      </c>
      <c r="C13" s="10" t="s">
        <v>163</v>
      </c>
      <c r="D13" s="10" t="s">
        <v>172</v>
      </c>
      <c r="E13" s="10"/>
      <c r="F13" s="10"/>
    </row>
    <row r="14" spans="1:9" x14ac:dyDescent="0.25">
      <c r="A14" s="10" t="s">
        <v>22</v>
      </c>
      <c r="B14" s="10" t="s">
        <v>23</v>
      </c>
      <c r="C14" s="10" t="s">
        <v>163</v>
      </c>
      <c r="D14" s="10" t="s">
        <v>175</v>
      </c>
      <c r="E14" s="10">
        <v>277</v>
      </c>
      <c r="F14" s="10"/>
    </row>
    <row r="15" spans="1:9" x14ac:dyDescent="0.25">
      <c r="A15" s="10" t="s">
        <v>24</v>
      </c>
      <c r="B15" s="10" t="s">
        <v>25</v>
      </c>
      <c r="C15" s="10" t="s">
        <v>163</v>
      </c>
      <c r="D15" s="10" t="s">
        <v>176</v>
      </c>
      <c r="E15" s="10">
        <v>303</v>
      </c>
      <c r="F15" s="10"/>
    </row>
    <row r="16" spans="1:9" x14ac:dyDescent="0.25">
      <c r="A16" s="10" t="s">
        <v>26</v>
      </c>
      <c r="B16" s="10" t="s">
        <v>27</v>
      </c>
      <c r="C16" s="10" t="s">
        <v>162</v>
      </c>
      <c r="D16" s="14" t="s">
        <v>27</v>
      </c>
      <c r="E16" s="15">
        <v>278</v>
      </c>
      <c r="F16" s="10"/>
    </row>
    <row r="17" spans="1:6" x14ac:dyDescent="0.25">
      <c r="A17" s="10" t="s">
        <v>28</v>
      </c>
      <c r="B17" s="10" t="s">
        <v>21</v>
      </c>
      <c r="C17" s="10" t="s">
        <v>162</v>
      </c>
      <c r="D17" s="16" t="s">
        <v>21</v>
      </c>
      <c r="E17" s="17">
        <v>296</v>
      </c>
      <c r="F17" s="10"/>
    </row>
    <row r="18" spans="1:6" x14ac:dyDescent="0.25">
      <c r="A18" s="10" t="s">
        <v>29</v>
      </c>
      <c r="B18" s="10" t="s">
        <v>7</v>
      </c>
      <c r="C18" s="10" t="s">
        <v>163</v>
      </c>
      <c r="D18" s="10" t="s">
        <v>56</v>
      </c>
      <c r="E18" s="10">
        <v>318</v>
      </c>
      <c r="F18" s="10"/>
    </row>
    <row r="19" spans="1:6" x14ac:dyDescent="0.25">
      <c r="A19" s="10" t="s">
        <v>30</v>
      </c>
      <c r="B19" s="10" t="s">
        <v>21</v>
      </c>
      <c r="C19" s="10" t="s">
        <v>163</v>
      </c>
      <c r="D19" s="16" t="s">
        <v>177</v>
      </c>
      <c r="E19" s="17">
        <v>270</v>
      </c>
      <c r="F19" s="10"/>
    </row>
    <row r="20" spans="1:6" x14ac:dyDescent="0.25">
      <c r="A20" s="10" t="s">
        <v>31</v>
      </c>
      <c r="B20" s="10" t="s">
        <v>14</v>
      </c>
      <c r="C20" s="10" t="s">
        <v>162</v>
      </c>
      <c r="D20" s="10"/>
      <c r="E20" s="10"/>
      <c r="F20" s="10"/>
    </row>
    <row r="21" spans="1:6" x14ac:dyDescent="0.25">
      <c r="A21" s="10" t="s">
        <v>32</v>
      </c>
      <c r="B21" s="10" t="s">
        <v>33</v>
      </c>
      <c r="C21" s="10" t="s">
        <v>162</v>
      </c>
      <c r="D21" s="10"/>
      <c r="E21" s="10"/>
      <c r="F21" s="10"/>
    </row>
    <row r="22" spans="1:6" x14ac:dyDescent="0.25">
      <c r="A22" s="10" t="s">
        <v>34</v>
      </c>
      <c r="B22" s="10" t="s">
        <v>35</v>
      </c>
      <c r="C22" s="10" t="s">
        <v>162</v>
      </c>
      <c r="D22" s="10"/>
      <c r="E22" s="10"/>
      <c r="F22" s="10"/>
    </row>
    <row r="23" spans="1:6" x14ac:dyDescent="0.25">
      <c r="A23" s="10" t="s">
        <v>36</v>
      </c>
      <c r="B23" s="10" t="s">
        <v>37</v>
      </c>
      <c r="C23" s="10" t="s">
        <v>162</v>
      </c>
      <c r="D23" s="10"/>
      <c r="E23" s="10"/>
      <c r="F23" s="10"/>
    </row>
    <row r="24" spans="1:6" x14ac:dyDescent="0.25">
      <c r="A24" s="10" t="s">
        <v>38</v>
      </c>
      <c r="B24" s="10" t="s">
        <v>7</v>
      </c>
      <c r="C24" s="10" t="s">
        <v>162</v>
      </c>
      <c r="D24" s="10"/>
      <c r="E24" s="10"/>
      <c r="F24" s="10"/>
    </row>
    <row r="25" spans="1:6" x14ac:dyDescent="0.25">
      <c r="A25" s="10" t="s">
        <v>39</v>
      </c>
      <c r="B25" s="10" t="s">
        <v>7</v>
      </c>
      <c r="C25" s="10" t="s">
        <v>163</v>
      </c>
      <c r="D25" s="10" t="s">
        <v>178</v>
      </c>
      <c r="E25" s="10">
        <v>290</v>
      </c>
      <c r="F25" s="10"/>
    </row>
    <row r="26" spans="1:6" x14ac:dyDescent="0.25">
      <c r="A26" s="10" t="s">
        <v>40</v>
      </c>
      <c r="B26" s="10" t="s">
        <v>7</v>
      </c>
      <c r="C26" s="10" t="s">
        <v>163</v>
      </c>
      <c r="D26" s="10" t="s">
        <v>179</v>
      </c>
      <c r="E26" s="10">
        <v>220</v>
      </c>
      <c r="F26" s="10"/>
    </row>
    <row r="27" spans="1:6" x14ac:dyDescent="0.25">
      <c r="A27" s="10" t="s">
        <v>41</v>
      </c>
      <c r="B27" s="10" t="s">
        <v>7</v>
      </c>
      <c r="C27" s="10" t="s">
        <v>162</v>
      </c>
      <c r="D27" s="10"/>
      <c r="E27" s="10"/>
      <c r="F27" s="10"/>
    </row>
    <row r="28" spans="1:6" x14ac:dyDescent="0.25">
      <c r="A28" s="10" t="s">
        <v>42</v>
      </c>
      <c r="B28" s="10" t="s">
        <v>43</v>
      </c>
      <c r="C28" s="10" t="s">
        <v>163</v>
      </c>
      <c r="D28" s="10" t="s">
        <v>225</v>
      </c>
      <c r="E28" s="10" t="s">
        <v>226</v>
      </c>
      <c r="F28" s="10"/>
    </row>
    <row r="29" spans="1:6" x14ac:dyDescent="0.25">
      <c r="A29" s="10" t="s">
        <v>44</v>
      </c>
      <c r="B29" s="10" t="s">
        <v>43</v>
      </c>
      <c r="C29" s="10" t="s">
        <v>162</v>
      </c>
      <c r="D29" s="10" t="s">
        <v>227</v>
      </c>
      <c r="E29" s="10" t="s">
        <v>228</v>
      </c>
      <c r="F29" s="10"/>
    </row>
    <row r="30" spans="1:6" x14ac:dyDescent="0.25">
      <c r="A30" s="10" t="s">
        <v>45</v>
      </c>
      <c r="B30" s="10" t="s">
        <v>46</v>
      </c>
      <c r="C30" s="10" t="s">
        <v>163</v>
      </c>
      <c r="D30" s="10" t="s">
        <v>165</v>
      </c>
      <c r="E30" s="10"/>
      <c r="F30" s="10"/>
    </row>
    <row r="31" spans="1:6" x14ac:dyDescent="0.25">
      <c r="A31" s="10" t="s">
        <v>47</v>
      </c>
      <c r="B31" s="10" t="s">
        <v>48</v>
      </c>
      <c r="C31" s="10" t="s">
        <v>163</v>
      </c>
      <c r="D31" s="10" t="s">
        <v>180</v>
      </c>
      <c r="E31" s="10">
        <v>255</v>
      </c>
      <c r="F31" s="10"/>
    </row>
    <row r="32" spans="1:6" x14ac:dyDescent="0.25">
      <c r="A32" s="10" t="s">
        <v>49</v>
      </c>
      <c r="B32" s="10" t="s">
        <v>50</v>
      </c>
      <c r="C32" s="10" t="s">
        <v>163</v>
      </c>
      <c r="D32" s="10" t="s">
        <v>181</v>
      </c>
      <c r="E32" s="10">
        <v>267</v>
      </c>
      <c r="F32" s="10"/>
    </row>
    <row r="33" spans="1:6" x14ac:dyDescent="0.25">
      <c r="A33" s="10" t="s">
        <v>51</v>
      </c>
      <c r="B33" s="10" t="s">
        <v>27</v>
      </c>
      <c r="C33" s="10" t="s">
        <v>163</v>
      </c>
      <c r="D33" s="10" t="s">
        <v>182</v>
      </c>
      <c r="E33" s="10">
        <v>283</v>
      </c>
      <c r="F33" s="10"/>
    </row>
    <row r="34" spans="1:6" x14ac:dyDescent="0.25">
      <c r="A34" s="10" t="s">
        <v>52</v>
      </c>
      <c r="B34" s="10" t="s">
        <v>53</v>
      </c>
      <c r="C34" s="10" t="s">
        <v>163</v>
      </c>
      <c r="D34" s="10" t="s">
        <v>183</v>
      </c>
      <c r="E34" s="10">
        <v>284</v>
      </c>
      <c r="F34" s="10"/>
    </row>
    <row r="35" spans="1:6" x14ac:dyDescent="0.25">
      <c r="A35" s="10" t="s">
        <v>54</v>
      </c>
      <c r="B35" s="10" t="s">
        <v>33</v>
      </c>
      <c r="C35" s="10" t="s">
        <v>163</v>
      </c>
      <c r="D35" s="10" t="s">
        <v>184</v>
      </c>
      <c r="E35" s="10">
        <v>312</v>
      </c>
      <c r="F35" s="10"/>
    </row>
    <row r="36" spans="1:6" x14ac:dyDescent="0.25">
      <c r="A36" s="10" t="s">
        <v>55</v>
      </c>
      <c r="B36" s="10" t="s">
        <v>56</v>
      </c>
      <c r="C36" s="10" t="s">
        <v>163</v>
      </c>
      <c r="D36" s="10"/>
      <c r="E36" s="10"/>
      <c r="F36" s="10" t="s">
        <v>185</v>
      </c>
    </row>
    <row r="37" spans="1:6" x14ac:dyDescent="0.25">
      <c r="A37" s="10" t="s">
        <v>57</v>
      </c>
      <c r="B37" s="10" t="s">
        <v>7</v>
      </c>
      <c r="C37" s="10" t="s">
        <v>163</v>
      </c>
      <c r="D37" s="10"/>
      <c r="E37" s="10"/>
      <c r="F37" s="10" t="s">
        <v>185</v>
      </c>
    </row>
    <row r="38" spans="1:6" x14ac:dyDescent="0.25">
      <c r="A38" s="10" t="s">
        <v>58</v>
      </c>
      <c r="B38" s="10" t="s">
        <v>35</v>
      </c>
      <c r="C38" s="10" t="s">
        <v>163</v>
      </c>
      <c r="D38" s="10"/>
      <c r="E38" s="10"/>
      <c r="F38" s="10" t="s">
        <v>185</v>
      </c>
    </row>
    <row r="39" spans="1:6" x14ac:dyDescent="0.25">
      <c r="A39" s="10" t="s">
        <v>59</v>
      </c>
      <c r="B39" s="10" t="s">
        <v>60</v>
      </c>
      <c r="C39" s="10" t="s">
        <v>163</v>
      </c>
      <c r="D39" s="10"/>
      <c r="E39" s="10"/>
      <c r="F39" s="10" t="s">
        <v>185</v>
      </c>
    </row>
    <row r="40" spans="1:6" x14ac:dyDescent="0.25">
      <c r="A40" s="10" t="s">
        <v>61</v>
      </c>
      <c r="B40" s="10" t="s">
        <v>7</v>
      </c>
      <c r="C40" s="10" t="s">
        <v>163</v>
      </c>
      <c r="D40" s="10" t="s">
        <v>186</v>
      </c>
      <c r="E40" s="10">
        <v>24697</v>
      </c>
      <c r="F40" s="10"/>
    </row>
    <row r="41" spans="1:6" x14ac:dyDescent="0.25">
      <c r="A41" s="10" t="s">
        <v>62</v>
      </c>
      <c r="B41" s="10" t="s">
        <v>63</v>
      </c>
      <c r="C41" s="10" t="s">
        <v>163</v>
      </c>
      <c r="D41" s="10"/>
      <c r="E41" s="10"/>
      <c r="F41" s="10" t="s">
        <v>185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8.7109375" bestFit="1" customWidth="1"/>
    <col min="2" max="2" width="32.85546875" bestFit="1" customWidth="1"/>
    <col min="4" max="4" width="26.28515625" customWidth="1"/>
    <col min="6" max="6" width="31.28515625" customWidth="1"/>
  </cols>
  <sheetData>
    <row r="1" spans="1:9" x14ac:dyDescent="0.25">
      <c r="A1" s="1" t="s">
        <v>0</v>
      </c>
      <c r="B1" s="1" t="s">
        <v>1</v>
      </c>
      <c r="C1" s="6" t="s">
        <v>158</v>
      </c>
      <c r="D1" s="6" t="s">
        <v>159</v>
      </c>
      <c r="E1" s="7" t="s">
        <v>160</v>
      </c>
      <c r="F1" s="6" t="s">
        <v>161</v>
      </c>
      <c r="H1" s="3" t="s">
        <v>162</v>
      </c>
      <c r="I1">
        <f>COUNTIF(C:C,$H1)</f>
        <v>4</v>
      </c>
    </row>
    <row r="2" spans="1:9" x14ac:dyDescent="0.25">
      <c r="A2" s="8" t="s">
        <v>229</v>
      </c>
      <c r="B2" s="11"/>
      <c r="C2" s="9" t="s">
        <v>163</v>
      </c>
      <c r="D2" s="9" t="s">
        <v>165</v>
      </c>
      <c r="E2" s="12"/>
      <c r="F2" s="8" t="s">
        <v>166</v>
      </c>
      <c r="H2" s="2" t="s">
        <v>163</v>
      </c>
      <c r="I2">
        <f>COUNTIF(C:C,$H2)</f>
        <v>12</v>
      </c>
    </row>
    <row r="3" spans="1:9" x14ac:dyDescent="0.25">
      <c r="A3" s="10" t="s">
        <v>85</v>
      </c>
      <c r="B3" s="10" t="s">
        <v>86</v>
      </c>
      <c r="C3" s="10" t="s">
        <v>162</v>
      </c>
      <c r="D3" s="10" t="s">
        <v>86</v>
      </c>
      <c r="E3" s="15">
        <v>13765</v>
      </c>
      <c r="F3" s="10"/>
      <c r="I3" s="4">
        <f>I1/SUM(I1:I2)</f>
        <v>0.25</v>
      </c>
    </row>
    <row r="4" spans="1:9" x14ac:dyDescent="0.25">
      <c r="A4" s="10" t="s">
        <v>87</v>
      </c>
      <c r="B4" s="10" t="s">
        <v>88</v>
      </c>
      <c r="C4" s="10" t="s">
        <v>163</v>
      </c>
      <c r="D4" s="10" t="s">
        <v>216</v>
      </c>
      <c r="E4" s="10">
        <v>13729</v>
      </c>
      <c r="F4" s="10"/>
    </row>
    <row r="5" spans="1:9" x14ac:dyDescent="0.25">
      <c r="A5" s="10" t="s">
        <v>89</v>
      </c>
      <c r="B5" s="10" t="s">
        <v>90</v>
      </c>
      <c r="C5" s="10" t="s">
        <v>163</v>
      </c>
      <c r="D5" s="10" t="s">
        <v>217</v>
      </c>
      <c r="E5" s="10">
        <v>13762</v>
      </c>
      <c r="F5" s="10"/>
    </row>
    <row r="6" spans="1:9" x14ac:dyDescent="0.25">
      <c r="A6" s="10" t="s">
        <v>91</v>
      </c>
      <c r="B6" s="10" t="s">
        <v>92</v>
      </c>
      <c r="C6" s="10" t="s">
        <v>163</v>
      </c>
      <c r="D6" s="10" t="s">
        <v>91</v>
      </c>
      <c r="E6" s="10">
        <v>13728</v>
      </c>
      <c r="F6" s="10"/>
    </row>
    <row r="7" spans="1:9" x14ac:dyDescent="0.25">
      <c r="A7" s="10" t="s">
        <v>93</v>
      </c>
      <c r="B7" s="10" t="s">
        <v>93</v>
      </c>
      <c r="C7" s="10" t="s">
        <v>162</v>
      </c>
      <c r="D7" s="10" t="s">
        <v>93</v>
      </c>
      <c r="E7" s="15">
        <v>13718</v>
      </c>
      <c r="F7" s="10"/>
    </row>
    <row r="8" spans="1:9" x14ac:dyDescent="0.25">
      <c r="A8" s="10" t="s">
        <v>94</v>
      </c>
      <c r="B8" s="10" t="s">
        <v>95</v>
      </c>
      <c r="C8" s="10" t="s">
        <v>163</v>
      </c>
      <c r="D8" s="10" t="s">
        <v>218</v>
      </c>
      <c r="E8" s="10">
        <v>13752</v>
      </c>
      <c r="F8" s="10"/>
    </row>
    <row r="9" spans="1:9" x14ac:dyDescent="0.25">
      <c r="A9" s="10" t="s">
        <v>81</v>
      </c>
      <c r="B9" s="10" t="s">
        <v>96</v>
      </c>
      <c r="C9" s="10" t="s">
        <v>162</v>
      </c>
      <c r="D9" s="6" t="s">
        <v>96</v>
      </c>
      <c r="E9" s="17">
        <v>13776</v>
      </c>
      <c r="F9" s="10"/>
    </row>
    <row r="10" spans="1:9" x14ac:dyDescent="0.25">
      <c r="A10" s="10" t="s">
        <v>97</v>
      </c>
      <c r="B10" s="10" t="s">
        <v>7</v>
      </c>
      <c r="C10" s="10" t="s">
        <v>162</v>
      </c>
      <c r="D10" s="10"/>
      <c r="E10" s="10"/>
      <c r="F10" s="10"/>
    </row>
    <row r="11" spans="1:9" x14ac:dyDescent="0.25">
      <c r="A11" s="10" t="s">
        <v>98</v>
      </c>
      <c r="B11" s="10" t="s">
        <v>99</v>
      </c>
      <c r="C11" s="10" t="s">
        <v>163</v>
      </c>
      <c r="D11" s="10" t="s">
        <v>98</v>
      </c>
      <c r="E11" s="10">
        <v>13721</v>
      </c>
      <c r="F11" s="10"/>
    </row>
    <row r="12" spans="1:9" x14ac:dyDescent="0.25">
      <c r="A12" s="10" t="s">
        <v>100</v>
      </c>
      <c r="B12" s="10" t="s">
        <v>46</v>
      </c>
      <c r="C12" s="10" t="s">
        <v>163</v>
      </c>
      <c r="D12" s="10" t="s">
        <v>219</v>
      </c>
      <c r="E12" s="10">
        <v>13717</v>
      </c>
      <c r="F12" s="10"/>
    </row>
    <row r="13" spans="1:9" x14ac:dyDescent="0.25">
      <c r="A13" s="10" t="s">
        <v>101</v>
      </c>
      <c r="B13" s="10" t="s">
        <v>102</v>
      </c>
      <c r="C13" s="10" t="s">
        <v>163</v>
      </c>
      <c r="D13" s="10" t="s">
        <v>101</v>
      </c>
      <c r="E13" s="10">
        <v>13738</v>
      </c>
      <c r="F13" s="10"/>
    </row>
    <row r="14" spans="1:9" x14ac:dyDescent="0.25">
      <c r="A14" s="10" t="s">
        <v>103</v>
      </c>
      <c r="B14" s="10" t="s">
        <v>104</v>
      </c>
      <c r="C14" s="10" t="s">
        <v>163</v>
      </c>
      <c r="D14" s="10" t="s">
        <v>103</v>
      </c>
      <c r="E14" s="10">
        <v>13716</v>
      </c>
      <c r="F14" s="10"/>
    </row>
    <row r="15" spans="1:9" x14ac:dyDescent="0.25">
      <c r="A15" s="10" t="s">
        <v>105</v>
      </c>
      <c r="B15" s="10" t="s">
        <v>7</v>
      </c>
      <c r="C15" s="10" t="s">
        <v>163</v>
      </c>
      <c r="D15" s="10" t="s">
        <v>220</v>
      </c>
      <c r="E15" s="10">
        <v>13772</v>
      </c>
      <c r="F15" s="10"/>
    </row>
    <row r="16" spans="1:9" x14ac:dyDescent="0.25">
      <c r="A16" s="10" t="s">
        <v>106</v>
      </c>
      <c r="B16" s="10" t="s">
        <v>107</v>
      </c>
      <c r="C16" s="10" t="s">
        <v>163</v>
      </c>
      <c r="D16" s="10" t="s">
        <v>221</v>
      </c>
      <c r="E16" s="10">
        <v>13749</v>
      </c>
      <c r="F16" s="10"/>
    </row>
    <row r="17" spans="1:6" x14ac:dyDescent="0.25">
      <c r="A17" s="10" t="s">
        <v>81</v>
      </c>
      <c r="B17" s="10" t="s">
        <v>96</v>
      </c>
      <c r="C17" s="10" t="s">
        <v>163</v>
      </c>
      <c r="D17" s="10" t="s">
        <v>222</v>
      </c>
      <c r="E17" s="10">
        <v>13771</v>
      </c>
      <c r="F1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1.7109375" customWidth="1"/>
    <col min="2" max="2" width="39.7109375" customWidth="1"/>
    <col min="4" max="4" width="31.28515625" customWidth="1"/>
    <col min="5" max="5" width="12.140625" customWidth="1"/>
    <col min="6" max="6" width="74.28515625" bestFit="1" customWidth="1"/>
  </cols>
  <sheetData>
    <row r="1" spans="1:9" x14ac:dyDescent="0.25">
      <c r="A1" s="1" t="s">
        <v>0</v>
      </c>
      <c r="B1" s="1" t="s">
        <v>1</v>
      </c>
      <c r="C1" s="6" t="s">
        <v>158</v>
      </c>
      <c r="D1" s="6" t="s">
        <v>159</v>
      </c>
      <c r="E1" s="7" t="s">
        <v>160</v>
      </c>
      <c r="F1" s="6" t="s">
        <v>161</v>
      </c>
      <c r="H1" s="3" t="s">
        <v>162</v>
      </c>
      <c r="I1">
        <f>COUNTIF(C:C,$H1)</f>
        <v>16</v>
      </c>
    </row>
    <row r="2" spans="1:9" x14ac:dyDescent="0.25">
      <c r="A2" s="10" t="s">
        <v>108</v>
      </c>
      <c r="B2" s="10" t="s">
        <v>7</v>
      </c>
      <c r="C2" s="10" t="s">
        <v>162</v>
      </c>
      <c r="D2" s="10"/>
      <c r="E2" s="10"/>
      <c r="F2" s="10"/>
      <c r="H2" s="2" t="s">
        <v>163</v>
      </c>
      <c r="I2">
        <f>COUNTIF(C:C,$H2)</f>
        <v>14</v>
      </c>
    </row>
    <row r="3" spans="1:9" x14ac:dyDescent="0.25">
      <c r="A3" s="10" t="s">
        <v>109</v>
      </c>
      <c r="B3" s="10" t="s">
        <v>110</v>
      </c>
      <c r="C3" s="10" t="s">
        <v>162</v>
      </c>
      <c r="D3" s="10"/>
      <c r="E3" s="10"/>
      <c r="F3" s="10"/>
      <c r="I3" s="4">
        <f>I1/SUM(I1:I2)</f>
        <v>0.53333333333333333</v>
      </c>
    </row>
    <row r="4" spans="1:9" x14ac:dyDescent="0.25">
      <c r="A4" s="10" t="s">
        <v>111</v>
      </c>
      <c r="B4" s="10" t="s">
        <v>7</v>
      </c>
      <c r="C4" s="10" t="s">
        <v>162</v>
      </c>
      <c r="D4" s="10"/>
      <c r="E4" s="10"/>
      <c r="F4" s="10"/>
    </row>
    <row r="5" spans="1:9" x14ac:dyDescent="0.25">
      <c r="A5" s="10" t="s">
        <v>112</v>
      </c>
      <c r="B5" s="10" t="s">
        <v>113</v>
      </c>
      <c r="C5" s="10" t="s">
        <v>163</v>
      </c>
      <c r="D5" s="10" t="s">
        <v>202</v>
      </c>
      <c r="E5" s="10">
        <v>30399</v>
      </c>
      <c r="F5" s="10"/>
    </row>
    <row r="6" spans="1:9" x14ac:dyDescent="0.25">
      <c r="A6" s="10" t="s">
        <v>114</v>
      </c>
      <c r="B6" s="10" t="s">
        <v>115</v>
      </c>
      <c r="C6" s="10" t="s">
        <v>163</v>
      </c>
      <c r="D6" s="6" t="s">
        <v>203</v>
      </c>
      <c r="E6" s="6">
        <v>30396</v>
      </c>
      <c r="F6" s="10"/>
    </row>
    <row r="7" spans="1:9" x14ac:dyDescent="0.25">
      <c r="A7" s="10" t="s">
        <v>116</v>
      </c>
      <c r="B7" s="10" t="s">
        <v>117</v>
      </c>
      <c r="C7" s="10" t="s">
        <v>163</v>
      </c>
      <c r="D7" s="10" t="s">
        <v>204</v>
      </c>
      <c r="E7" s="10">
        <v>30633</v>
      </c>
      <c r="F7" s="10"/>
    </row>
    <row r="8" spans="1:9" x14ac:dyDescent="0.25">
      <c r="A8" s="10" t="s">
        <v>118</v>
      </c>
      <c r="B8" s="10" t="s">
        <v>119</v>
      </c>
      <c r="C8" s="10" t="s">
        <v>163</v>
      </c>
      <c r="D8" s="10" t="s">
        <v>205</v>
      </c>
      <c r="E8" s="10">
        <v>30635</v>
      </c>
      <c r="F8" s="10"/>
    </row>
    <row r="9" spans="1:9" x14ac:dyDescent="0.25">
      <c r="A9" s="10" t="s">
        <v>120</v>
      </c>
      <c r="B9" s="10" t="s">
        <v>121</v>
      </c>
      <c r="C9" s="10" t="s">
        <v>162</v>
      </c>
      <c r="D9" s="10" t="s">
        <v>121</v>
      </c>
      <c r="E9" s="15">
        <v>30407</v>
      </c>
      <c r="F9" s="10"/>
    </row>
    <row r="10" spans="1:9" x14ac:dyDescent="0.25">
      <c r="A10" s="10" t="s">
        <v>122</v>
      </c>
      <c r="B10" s="10" t="s">
        <v>123</v>
      </c>
      <c r="C10" s="10" t="s">
        <v>162</v>
      </c>
      <c r="D10" s="10"/>
      <c r="E10" s="10"/>
      <c r="F10" s="10" t="s">
        <v>230</v>
      </c>
    </row>
    <row r="11" spans="1:9" x14ac:dyDescent="0.25">
      <c r="A11" s="10" t="s">
        <v>124</v>
      </c>
      <c r="B11" s="10" t="s">
        <v>113</v>
      </c>
      <c r="C11" s="10" t="s">
        <v>163</v>
      </c>
      <c r="D11" s="10" t="s">
        <v>206</v>
      </c>
      <c r="E11" s="10">
        <v>30359</v>
      </c>
      <c r="F11" s="10"/>
    </row>
    <row r="12" spans="1:9" x14ac:dyDescent="0.25">
      <c r="A12" s="10" t="s">
        <v>125</v>
      </c>
      <c r="B12" s="10" t="s">
        <v>126</v>
      </c>
      <c r="C12" s="10" t="s">
        <v>163</v>
      </c>
      <c r="D12" s="10" t="s">
        <v>207</v>
      </c>
      <c r="E12" s="10">
        <v>30628</v>
      </c>
      <c r="F12" s="10"/>
    </row>
    <row r="13" spans="1:9" x14ac:dyDescent="0.25">
      <c r="A13" s="10" t="s">
        <v>111</v>
      </c>
      <c r="B13" s="10" t="s">
        <v>7</v>
      </c>
      <c r="C13" s="10" t="s">
        <v>162</v>
      </c>
      <c r="D13" s="10"/>
      <c r="E13" s="10"/>
      <c r="F13" s="10"/>
    </row>
    <row r="14" spans="1:9" x14ac:dyDescent="0.25">
      <c r="A14" s="10" t="s">
        <v>127</v>
      </c>
      <c r="B14" s="10" t="s">
        <v>128</v>
      </c>
      <c r="C14" s="10" t="s">
        <v>163</v>
      </c>
      <c r="D14" s="10" t="s">
        <v>208</v>
      </c>
      <c r="E14" s="10">
        <v>30433</v>
      </c>
      <c r="F14" s="10"/>
    </row>
    <row r="15" spans="1:9" x14ac:dyDescent="0.25">
      <c r="A15" s="10" t="s">
        <v>129</v>
      </c>
      <c r="B15" s="10" t="s">
        <v>130</v>
      </c>
      <c r="C15" s="10" t="s">
        <v>163</v>
      </c>
      <c r="D15" s="10" t="s">
        <v>209</v>
      </c>
      <c r="E15" s="10">
        <v>30429</v>
      </c>
      <c r="F15" s="10"/>
    </row>
    <row r="16" spans="1:9" x14ac:dyDescent="0.25">
      <c r="A16" s="10" t="s">
        <v>131</v>
      </c>
      <c r="B16" s="10" t="s">
        <v>128</v>
      </c>
      <c r="C16" s="10" t="s">
        <v>163</v>
      </c>
      <c r="D16" s="10" t="s">
        <v>210</v>
      </c>
      <c r="E16" s="10">
        <v>30448</v>
      </c>
      <c r="F16" s="10"/>
    </row>
    <row r="17" spans="1:6" x14ac:dyDescent="0.25">
      <c r="A17" s="10" t="s">
        <v>132</v>
      </c>
      <c r="B17" s="10" t="s">
        <v>133</v>
      </c>
      <c r="C17" s="10" t="s">
        <v>163</v>
      </c>
      <c r="D17" s="10" t="s">
        <v>211</v>
      </c>
      <c r="E17" s="10">
        <v>30431</v>
      </c>
      <c r="F17" s="10"/>
    </row>
    <row r="18" spans="1:6" x14ac:dyDescent="0.25">
      <c r="A18" s="10" t="s">
        <v>134</v>
      </c>
      <c r="B18" s="10" t="s">
        <v>126</v>
      </c>
      <c r="C18" s="10" t="s">
        <v>163</v>
      </c>
      <c r="D18" s="10" t="s">
        <v>212</v>
      </c>
      <c r="E18" s="10">
        <v>30449</v>
      </c>
      <c r="F18" s="10"/>
    </row>
    <row r="19" spans="1:6" x14ac:dyDescent="0.25">
      <c r="A19" s="10" t="s">
        <v>135</v>
      </c>
      <c r="B19" s="10" t="s">
        <v>136</v>
      </c>
      <c r="C19" s="10" t="s">
        <v>162</v>
      </c>
      <c r="D19" s="10"/>
      <c r="E19" s="10"/>
      <c r="F19" s="10"/>
    </row>
    <row r="20" spans="1:6" x14ac:dyDescent="0.25">
      <c r="A20" s="10" t="s">
        <v>137</v>
      </c>
      <c r="B20" s="10" t="s">
        <v>138</v>
      </c>
      <c r="C20" s="10" t="s">
        <v>162</v>
      </c>
      <c r="D20" s="6" t="s">
        <v>138</v>
      </c>
      <c r="E20" s="17">
        <v>17538</v>
      </c>
      <c r="F20" s="10"/>
    </row>
    <row r="21" spans="1:6" x14ac:dyDescent="0.25">
      <c r="A21" s="10" t="s">
        <v>139</v>
      </c>
      <c r="B21" s="10" t="s">
        <v>7</v>
      </c>
      <c r="C21" s="10" t="s">
        <v>162</v>
      </c>
      <c r="D21" s="10"/>
      <c r="E21" s="10"/>
      <c r="F21" s="10"/>
    </row>
    <row r="22" spans="1:6" x14ac:dyDescent="0.25">
      <c r="A22" s="10" t="s">
        <v>140</v>
      </c>
      <c r="B22" s="10" t="s">
        <v>141</v>
      </c>
      <c r="C22" s="10" t="s">
        <v>163</v>
      </c>
      <c r="D22" s="10" t="s">
        <v>213</v>
      </c>
      <c r="E22" s="10">
        <v>17556</v>
      </c>
      <c r="F22" s="10"/>
    </row>
    <row r="23" spans="1:6" x14ac:dyDescent="0.25">
      <c r="A23" s="10" t="s">
        <v>142</v>
      </c>
      <c r="B23" s="10" t="s">
        <v>143</v>
      </c>
      <c r="C23" s="10" t="s">
        <v>163</v>
      </c>
      <c r="D23" s="10" t="s">
        <v>214</v>
      </c>
      <c r="E23" s="10">
        <v>30662</v>
      </c>
      <c r="F23" s="10"/>
    </row>
    <row r="24" spans="1:6" x14ac:dyDescent="0.25">
      <c r="A24" s="10" t="s">
        <v>144</v>
      </c>
      <c r="B24" s="10" t="s">
        <v>128</v>
      </c>
      <c r="C24" s="10" t="s">
        <v>163</v>
      </c>
      <c r="D24" s="10" t="s">
        <v>215</v>
      </c>
      <c r="E24" s="10">
        <v>30432</v>
      </c>
      <c r="F24" s="10"/>
    </row>
    <row r="25" spans="1:6" x14ac:dyDescent="0.25">
      <c r="A25" s="10" t="s">
        <v>145</v>
      </c>
      <c r="B25" s="10" t="s">
        <v>146</v>
      </c>
      <c r="C25" s="10" t="s">
        <v>162</v>
      </c>
      <c r="D25" s="6" t="s">
        <v>146</v>
      </c>
      <c r="E25" s="17">
        <v>17537</v>
      </c>
      <c r="F25" s="10"/>
    </row>
    <row r="26" spans="1:6" x14ac:dyDescent="0.25">
      <c r="A26" s="10" t="s">
        <v>147</v>
      </c>
      <c r="B26" s="10" t="s">
        <v>7</v>
      </c>
      <c r="C26" s="10" t="s">
        <v>162</v>
      </c>
      <c r="D26" s="10"/>
      <c r="E26" s="10"/>
      <c r="F26" s="10"/>
    </row>
    <row r="27" spans="1:6" x14ac:dyDescent="0.25">
      <c r="A27" s="10" t="s">
        <v>148</v>
      </c>
      <c r="B27" s="10" t="s">
        <v>149</v>
      </c>
      <c r="C27" s="10" t="s">
        <v>162</v>
      </c>
      <c r="D27" s="10"/>
      <c r="E27" s="10"/>
      <c r="F27" s="10"/>
    </row>
    <row r="28" spans="1:6" x14ac:dyDescent="0.25">
      <c r="A28" s="10" t="s">
        <v>150</v>
      </c>
      <c r="B28" s="10" t="s">
        <v>151</v>
      </c>
      <c r="C28" s="10" t="s">
        <v>162</v>
      </c>
      <c r="D28" s="6" t="s">
        <v>151</v>
      </c>
      <c r="E28" s="17">
        <v>17536</v>
      </c>
      <c r="F28" s="10"/>
    </row>
    <row r="29" spans="1:6" x14ac:dyDescent="0.25">
      <c r="A29" s="10" t="s">
        <v>152</v>
      </c>
      <c r="B29" s="10" t="s">
        <v>153</v>
      </c>
      <c r="C29" s="10" t="s">
        <v>162</v>
      </c>
      <c r="D29" s="6" t="s">
        <v>153</v>
      </c>
      <c r="E29" s="17">
        <v>17541</v>
      </c>
      <c r="F29" s="10"/>
    </row>
    <row r="30" spans="1:6" x14ac:dyDescent="0.25">
      <c r="A30" s="10" t="s">
        <v>154</v>
      </c>
      <c r="B30" s="10" t="s">
        <v>155</v>
      </c>
      <c r="C30" s="10" t="s">
        <v>162</v>
      </c>
      <c r="D30" s="10"/>
      <c r="E30" s="10"/>
      <c r="F30" s="10"/>
    </row>
    <row r="31" spans="1:6" x14ac:dyDescent="0.25">
      <c r="A31" s="10" t="s">
        <v>156</v>
      </c>
      <c r="B31" s="10" t="s">
        <v>157</v>
      </c>
      <c r="C31" s="10" t="s">
        <v>162</v>
      </c>
      <c r="D31" s="10"/>
      <c r="E31" s="10"/>
      <c r="F3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5.42578125" bestFit="1" customWidth="1"/>
    <col min="2" max="2" width="37.42578125" customWidth="1"/>
    <col min="4" max="4" width="29.28515625" bestFit="1" customWidth="1"/>
    <col min="5" max="5" width="16" bestFit="1" customWidth="1"/>
    <col min="6" max="6" width="22.5703125" customWidth="1"/>
    <col min="7" max="7" width="16" bestFit="1" customWidth="1"/>
  </cols>
  <sheetData>
    <row r="1" spans="1:9" x14ac:dyDescent="0.25">
      <c r="A1" s="1" t="s">
        <v>0</v>
      </c>
      <c r="B1" s="1" t="s">
        <v>1</v>
      </c>
      <c r="C1" s="6" t="s">
        <v>158</v>
      </c>
      <c r="D1" s="6" t="s">
        <v>159</v>
      </c>
      <c r="E1" s="7" t="s">
        <v>160</v>
      </c>
      <c r="F1" s="6" t="s">
        <v>161</v>
      </c>
      <c r="H1" s="3" t="s">
        <v>162</v>
      </c>
      <c r="I1">
        <f>COUNTIF(C:C,$H1)</f>
        <v>4</v>
      </c>
    </row>
    <row r="2" spans="1:9" x14ac:dyDescent="0.25">
      <c r="A2" s="8" t="s">
        <v>64</v>
      </c>
      <c r="B2" s="8" t="s">
        <v>65</v>
      </c>
      <c r="C2" s="8" t="s">
        <v>163</v>
      </c>
      <c r="D2" s="8"/>
      <c r="E2" s="8"/>
      <c r="F2" s="8" t="s">
        <v>232</v>
      </c>
      <c r="G2" s="8" t="s">
        <v>187</v>
      </c>
      <c r="H2" s="2" t="s">
        <v>163</v>
      </c>
      <c r="I2">
        <f>COUNTIF(C:C,$H2)</f>
        <v>36</v>
      </c>
    </row>
    <row r="3" spans="1:9" x14ac:dyDescent="0.25">
      <c r="A3" s="8" t="s">
        <v>0</v>
      </c>
      <c r="B3" s="8" t="s">
        <v>7</v>
      </c>
      <c r="C3" s="8" t="s">
        <v>163</v>
      </c>
      <c r="D3" s="8"/>
      <c r="E3" s="8"/>
      <c r="F3" s="8" t="s">
        <v>232</v>
      </c>
      <c r="G3" s="8" t="s">
        <v>187</v>
      </c>
      <c r="I3" s="4">
        <f>I1/SUM(I1:I2)</f>
        <v>0.1</v>
      </c>
    </row>
    <row r="4" spans="1:9" x14ac:dyDescent="0.25">
      <c r="A4" s="10" t="s">
        <v>66</v>
      </c>
      <c r="B4" s="10" t="s">
        <v>7</v>
      </c>
      <c r="C4" s="10" t="s">
        <v>162</v>
      </c>
      <c r="D4" s="10"/>
      <c r="E4" s="10"/>
      <c r="F4" s="10"/>
    </row>
    <row r="5" spans="1:9" x14ac:dyDescent="0.25">
      <c r="A5" s="10" t="s">
        <v>67</v>
      </c>
      <c r="B5" s="10" t="s">
        <v>7</v>
      </c>
      <c r="C5" s="10" t="s">
        <v>163</v>
      </c>
      <c r="D5" s="10" t="s">
        <v>188</v>
      </c>
      <c r="E5" s="10">
        <v>8920</v>
      </c>
      <c r="F5" s="10" t="s">
        <v>231</v>
      </c>
    </row>
    <row r="6" spans="1:9" x14ac:dyDescent="0.25">
      <c r="A6" s="10" t="s">
        <v>68</v>
      </c>
      <c r="B6" s="10" t="s">
        <v>69</v>
      </c>
      <c r="C6" s="10" t="s">
        <v>163</v>
      </c>
      <c r="D6" s="10" t="s">
        <v>188</v>
      </c>
      <c r="E6" s="10">
        <v>8920</v>
      </c>
      <c r="F6" s="10" t="s">
        <v>231</v>
      </c>
    </row>
    <row r="7" spans="1:9" x14ac:dyDescent="0.25">
      <c r="A7" s="10" t="s">
        <v>70</v>
      </c>
      <c r="B7" s="10" t="s">
        <v>5</v>
      </c>
      <c r="C7" s="10" t="s">
        <v>163</v>
      </c>
      <c r="D7" s="10" t="s">
        <v>188</v>
      </c>
      <c r="E7" s="10">
        <v>8920</v>
      </c>
      <c r="F7" s="10" t="s">
        <v>231</v>
      </c>
    </row>
    <row r="8" spans="1:9" x14ac:dyDescent="0.25">
      <c r="A8" s="10" t="s">
        <v>71</v>
      </c>
      <c r="B8" s="10" t="s">
        <v>72</v>
      </c>
      <c r="C8" s="10" t="s">
        <v>163</v>
      </c>
      <c r="D8" s="10" t="s">
        <v>188</v>
      </c>
      <c r="E8" s="10">
        <v>8920</v>
      </c>
      <c r="F8" s="10" t="s">
        <v>231</v>
      </c>
    </row>
    <row r="9" spans="1:9" x14ac:dyDescent="0.25">
      <c r="A9" s="10" t="s">
        <v>73</v>
      </c>
      <c r="B9" s="10" t="s">
        <v>50</v>
      </c>
      <c r="C9" s="10" t="s">
        <v>163</v>
      </c>
      <c r="D9" s="10" t="s">
        <v>189</v>
      </c>
      <c r="E9" s="10">
        <v>8925</v>
      </c>
      <c r="F9" s="10"/>
    </row>
    <row r="10" spans="1:9" x14ac:dyDescent="0.25">
      <c r="A10" s="10" t="s">
        <v>74</v>
      </c>
      <c r="B10" s="10" t="s">
        <v>12</v>
      </c>
      <c r="C10" s="10" t="s">
        <v>163</v>
      </c>
      <c r="D10" s="10" t="s">
        <v>172</v>
      </c>
      <c r="E10" s="10"/>
      <c r="F10" s="10"/>
    </row>
    <row r="11" spans="1:9" x14ac:dyDescent="0.25">
      <c r="A11" s="10" t="s">
        <v>75</v>
      </c>
      <c r="B11" s="10" t="s">
        <v>53</v>
      </c>
      <c r="C11" s="10" t="s">
        <v>163</v>
      </c>
      <c r="D11" s="10" t="s">
        <v>191</v>
      </c>
      <c r="E11" s="10">
        <v>8924</v>
      </c>
      <c r="F11" s="10"/>
    </row>
    <row r="12" spans="1:9" x14ac:dyDescent="0.25">
      <c r="A12" s="10" t="s">
        <v>76</v>
      </c>
      <c r="B12" s="10" t="s">
        <v>9</v>
      </c>
      <c r="C12" s="10" t="s">
        <v>163</v>
      </c>
      <c r="D12" s="10" t="s">
        <v>190</v>
      </c>
      <c r="E12" s="10">
        <v>8931</v>
      </c>
      <c r="F12" s="10"/>
    </row>
    <row r="13" spans="1:9" x14ac:dyDescent="0.25">
      <c r="A13" s="10" t="s">
        <v>77</v>
      </c>
      <c r="B13" s="10" t="s">
        <v>78</v>
      </c>
      <c r="C13" s="10" t="s">
        <v>163</v>
      </c>
      <c r="D13" s="10" t="s">
        <v>165</v>
      </c>
      <c r="E13" s="10"/>
      <c r="F13" s="10"/>
    </row>
    <row r="14" spans="1:9" x14ac:dyDescent="0.25">
      <c r="A14" s="10" t="s">
        <v>67</v>
      </c>
      <c r="B14" s="10" t="s">
        <v>7</v>
      </c>
      <c r="C14" s="10" t="s">
        <v>163</v>
      </c>
      <c r="D14" s="10" t="s">
        <v>192</v>
      </c>
      <c r="E14" s="10">
        <v>8919</v>
      </c>
      <c r="F14" s="10" t="s">
        <v>231</v>
      </c>
    </row>
    <row r="15" spans="1:9" x14ac:dyDescent="0.25">
      <c r="A15" s="10" t="s">
        <v>68</v>
      </c>
      <c r="B15" s="10" t="s">
        <v>69</v>
      </c>
      <c r="C15" s="10" t="s">
        <v>163</v>
      </c>
      <c r="D15" s="10" t="s">
        <v>192</v>
      </c>
      <c r="E15" s="10">
        <v>8919</v>
      </c>
      <c r="F15" s="10" t="s">
        <v>231</v>
      </c>
    </row>
    <row r="16" spans="1:9" x14ac:dyDescent="0.25">
      <c r="A16" s="10" t="s">
        <v>70</v>
      </c>
      <c r="B16" s="10" t="s">
        <v>5</v>
      </c>
      <c r="C16" s="10" t="s">
        <v>163</v>
      </c>
      <c r="D16" s="10" t="s">
        <v>192</v>
      </c>
      <c r="E16" s="10">
        <v>8919</v>
      </c>
      <c r="F16" s="10" t="s">
        <v>231</v>
      </c>
    </row>
    <row r="17" spans="1:6" x14ac:dyDescent="0.25">
      <c r="A17" s="10" t="s">
        <v>71</v>
      </c>
      <c r="B17" s="10" t="s">
        <v>72</v>
      </c>
      <c r="C17" s="10" t="s">
        <v>163</v>
      </c>
      <c r="D17" s="10" t="s">
        <v>192</v>
      </c>
      <c r="E17" s="10">
        <v>8919</v>
      </c>
      <c r="F17" s="10" t="s">
        <v>231</v>
      </c>
    </row>
    <row r="18" spans="1:6" x14ac:dyDescent="0.25">
      <c r="A18" s="10" t="s">
        <v>73</v>
      </c>
      <c r="B18" s="10" t="s">
        <v>50</v>
      </c>
      <c r="C18" s="10" t="s">
        <v>163</v>
      </c>
      <c r="D18" s="10" t="s">
        <v>189</v>
      </c>
      <c r="E18" s="10">
        <v>8929</v>
      </c>
      <c r="F18" s="10"/>
    </row>
    <row r="19" spans="1:6" x14ac:dyDescent="0.25">
      <c r="A19" s="10" t="s">
        <v>79</v>
      </c>
      <c r="B19" s="10" t="s">
        <v>23</v>
      </c>
      <c r="C19" s="10" t="s">
        <v>163</v>
      </c>
      <c r="D19" s="10" t="s">
        <v>193</v>
      </c>
      <c r="E19" s="10">
        <v>8911</v>
      </c>
      <c r="F19" s="10"/>
    </row>
    <row r="20" spans="1:6" x14ac:dyDescent="0.25">
      <c r="A20" s="10" t="s">
        <v>80</v>
      </c>
      <c r="B20" s="10" t="s">
        <v>7</v>
      </c>
      <c r="C20" s="10" t="s">
        <v>162</v>
      </c>
      <c r="D20" s="10"/>
      <c r="E20" s="10"/>
      <c r="F20" s="10"/>
    </row>
    <row r="21" spans="1:6" x14ac:dyDescent="0.25">
      <c r="A21" s="10" t="s">
        <v>67</v>
      </c>
      <c r="B21" s="10" t="s">
        <v>7</v>
      </c>
      <c r="C21" s="10" t="s">
        <v>163</v>
      </c>
      <c r="D21" s="10" t="s">
        <v>194</v>
      </c>
      <c r="E21" s="10">
        <v>18571</v>
      </c>
      <c r="F21" s="10" t="s">
        <v>231</v>
      </c>
    </row>
    <row r="22" spans="1:6" x14ac:dyDescent="0.25">
      <c r="A22" s="10" t="s">
        <v>68</v>
      </c>
      <c r="B22" s="10" t="s">
        <v>69</v>
      </c>
      <c r="C22" s="10" t="s">
        <v>163</v>
      </c>
      <c r="D22" s="10" t="s">
        <v>194</v>
      </c>
      <c r="E22" s="10">
        <v>18571</v>
      </c>
      <c r="F22" s="10" t="s">
        <v>231</v>
      </c>
    </row>
    <row r="23" spans="1:6" x14ac:dyDescent="0.25">
      <c r="A23" s="10" t="s">
        <v>70</v>
      </c>
      <c r="B23" s="10" t="s">
        <v>5</v>
      </c>
      <c r="C23" s="10" t="s">
        <v>163</v>
      </c>
      <c r="D23" s="10" t="s">
        <v>194</v>
      </c>
      <c r="E23" s="10">
        <v>18571</v>
      </c>
      <c r="F23" s="10" t="s">
        <v>231</v>
      </c>
    </row>
    <row r="24" spans="1:6" x14ac:dyDescent="0.25">
      <c r="A24" s="10" t="s">
        <v>71</v>
      </c>
      <c r="B24" s="10" t="s">
        <v>72</v>
      </c>
      <c r="C24" s="10" t="s">
        <v>163</v>
      </c>
      <c r="D24" s="10" t="s">
        <v>194</v>
      </c>
      <c r="E24" s="10">
        <v>18571</v>
      </c>
      <c r="F24" s="10" t="s">
        <v>231</v>
      </c>
    </row>
    <row r="25" spans="1:6" x14ac:dyDescent="0.25">
      <c r="A25" s="10" t="s">
        <v>73</v>
      </c>
      <c r="B25" s="10" t="s">
        <v>50</v>
      </c>
      <c r="C25" s="10" t="s">
        <v>163</v>
      </c>
      <c r="D25" s="10" t="s">
        <v>195</v>
      </c>
      <c r="E25" s="10">
        <v>18580</v>
      </c>
      <c r="F25" s="10"/>
    </row>
    <row r="26" spans="1:6" x14ac:dyDescent="0.25">
      <c r="A26" s="10" t="s">
        <v>81</v>
      </c>
      <c r="B26" s="10" t="s">
        <v>7</v>
      </c>
      <c r="C26" s="10" t="s">
        <v>163</v>
      </c>
      <c r="D26" s="10" t="s">
        <v>196</v>
      </c>
      <c r="E26" s="10">
        <v>18578</v>
      </c>
      <c r="F26" s="10"/>
    </row>
    <row r="27" spans="1:6" x14ac:dyDescent="0.25">
      <c r="A27" s="10" t="s">
        <v>82</v>
      </c>
      <c r="B27" s="10" t="s">
        <v>7</v>
      </c>
      <c r="C27" s="10" t="s">
        <v>162</v>
      </c>
      <c r="D27" s="10"/>
      <c r="E27" s="10"/>
      <c r="F27" s="10"/>
    </row>
    <row r="28" spans="1:6" x14ac:dyDescent="0.25">
      <c r="A28" s="10" t="s">
        <v>67</v>
      </c>
      <c r="B28" s="10" t="s">
        <v>7</v>
      </c>
      <c r="C28" s="10" t="s">
        <v>163</v>
      </c>
      <c r="D28" s="10" t="s">
        <v>197</v>
      </c>
      <c r="E28" s="10">
        <v>18573</v>
      </c>
      <c r="F28" s="10" t="s">
        <v>231</v>
      </c>
    </row>
    <row r="29" spans="1:6" x14ac:dyDescent="0.25">
      <c r="A29" s="10" t="s">
        <v>68</v>
      </c>
      <c r="B29" s="10" t="s">
        <v>69</v>
      </c>
      <c r="C29" s="10" t="s">
        <v>163</v>
      </c>
      <c r="D29" s="10" t="s">
        <v>197</v>
      </c>
      <c r="E29" s="10">
        <v>18573</v>
      </c>
      <c r="F29" s="10" t="s">
        <v>231</v>
      </c>
    </row>
    <row r="30" spans="1:6" x14ac:dyDescent="0.25">
      <c r="A30" s="10" t="s">
        <v>70</v>
      </c>
      <c r="B30" s="10" t="s">
        <v>5</v>
      </c>
      <c r="C30" s="10" t="s">
        <v>163</v>
      </c>
      <c r="D30" s="10" t="s">
        <v>197</v>
      </c>
      <c r="E30" s="10">
        <v>18573</v>
      </c>
      <c r="F30" s="10" t="s">
        <v>231</v>
      </c>
    </row>
    <row r="31" spans="1:6" x14ac:dyDescent="0.25">
      <c r="A31" s="10" t="s">
        <v>71</v>
      </c>
      <c r="B31" s="10" t="s">
        <v>72</v>
      </c>
      <c r="C31" s="10" t="s">
        <v>163</v>
      </c>
      <c r="D31" s="10" t="s">
        <v>197</v>
      </c>
      <c r="E31" s="10">
        <v>18573</v>
      </c>
      <c r="F31" s="10" t="s">
        <v>231</v>
      </c>
    </row>
    <row r="32" spans="1:6" x14ac:dyDescent="0.25">
      <c r="A32" s="10" t="s">
        <v>73</v>
      </c>
      <c r="B32" s="10" t="s">
        <v>50</v>
      </c>
      <c r="C32" s="10" t="s">
        <v>163</v>
      </c>
      <c r="D32" s="10" t="s">
        <v>198</v>
      </c>
      <c r="E32" s="10">
        <v>18581</v>
      </c>
      <c r="F32" s="10"/>
    </row>
    <row r="33" spans="1:6" x14ac:dyDescent="0.25">
      <c r="A33" s="10" t="s">
        <v>81</v>
      </c>
      <c r="B33" s="10" t="s">
        <v>7</v>
      </c>
      <c r="C33" s="10" t="s">
        <v>163</v>
      </c>
      <c r="D33" s="10" t="s">
        <v>199</v>
      </c>
      <c r="E33" s="10">
        <v>18579</v>
      </c>
      <c r="F33" s="10"/>
    </row>
    <row r="34" spans="1:6" x14ac:dyDescent="0.25">
      <c r="A34" s="10" t="s">
        <v>83</v>
      </c>
      <c r="B34" s="10" t="s">
        <v>7</v>
      </c>
      <c r="C34" s="10" t="s">
        <v>162</v>
      </c>
      <c r="D34" s="10"/>
      <c r="E34" s="10"/>
      <c r="F34" s="10"/>
    </row>
    <row r="35" spans="1:6" x14ac:dyDescent="0.25">
      <c r="A35" s="10" t="s">
        <v>84</v>
      </c>
      <c r="B35" s="10" t="s">
        <v>60</v>
      </c>
      <c r="C35" s="10" t="s">
        <v>163</v>
      </c>
      <c r="D35" s="10" t="s">
        <v>165</v>
      </c>
      <c r="E35" s="10"/>
      <c r="F35" s="10"/>
    </row>
    <row r="36" spans="1:6" x14ac:dyDescent="0.25">
      <c r="A36" s="10" t="s">
        <v>67</v>
      </c>
      <c r="B36" s="10" t="s">
        <v>7</v>
      </c>
      <c r="C36" s="10" t="s">
        <v>163</v>
      </c>
      <c r="D36" s="10" t="s">
        <v>200</v>
      </c>
      <c r="E36" s="10">
        <v>8899</v>
      </c>
      <c r="F36" s="10" t="s">
        <v>231</v>
      </c>
    </row>
    <row r="37" spans="1:6" x14ac:dyDescent="0.25">
      <c r="A37" s="10" t="s">
        <v>68</v>
      </c>
      <c r="B37" s="10" t="s">
        <v>69</v>
      </c>
      <c r="C37" s="10" t="s">
        <v>163</v>
      </c>
      <c r="D37" s="10" t="s">
        <v>200</v>
      </c>
      <c r="E37" s="10">
        <v>8899</v>
      </c>
      <c r="F37" s="10" t="s">
        <v>231</v>
      </c>
    </row>
    <row r="38" spans="1:6" x14ac:dyDescent="0.25">
      <c r="A38" s="10" t="s">
        <v>70</v>
      </c>
      <c r="B38" s="10" t="s">
        <v>5</v>
      </c>
      <c r="C38" s="10" t="s">
        <v>163</v>
      </c>
      <c r="D38" s="10" t="s">
        <v>200</v>
      </c>
      <c r="E38" s="10">
        <v>8899</v>
      </c>
      <c r="F38" s="10" t="s">
        <v>231</v>
      </c>
    </row>
    <row r="39" spans="1:6" x14ac:dyDescent="0.25">
      <c r="A39" s="10" t="s">
        <v>71</v>
      </c>
      <c r="B39" s="10" t="s">
        <v>72</v>
      </c>
      <c r="C39" s="10" t="s">
        <v>163</v>
      </c>
      <c r="D39" s="10" t="s">
        <v>200</v>
      </c>
      <c r="E39" s="10">
        <v>8899</v>
      </c>
      <c r="F39" s="10" t="s">
        <v>231</v>
      </c>
    </row>
    <row r="40" spans="1:6" x14ac:dyDescent="0.25">
      <c r="A40" s="10" t="s">
        <v>73</v>
      </c>
      <c r="B40" s="10" t="s">
        <v>50</v>
      </c>
      <c r="C40" s="10" t="s">
        <v>163</v>
      </c>
      <c r="D40" s="10" t="s">
        <v>189</v>
      </c>
      <c r="E40" s="10">
        <v>8918</v>
      </c>
      <c r="F40" s="10"/>
    </row>
    <row r="41" spans="1:6" x14ac:dyDescent="0.25">
      <c r="A41" s="10" t="s">
        <v>81</v>
      </c>
      <c r="B41" s="10" t="s">
        <v>7</v>
      </c>
      <c r="C41" s="10" t="s">
        <v>163</v>
      </c>
      <c r="D41" s="10" t="s">
        <v>201</v>
      </c>
      <c r="E41" s="10">
        <v>8930</v>
      </c>
      <c r="F4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Finance -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2026-06-03T06:56:29Z</dcterms:created>
  <dcterms:modified xsi:type="dcterms:W3CDTF">2026-06-09T03:06:01Z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2026-06-05T06:03:48Z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1479aee2-8acf-47c9-bd03-cd80cf1e9fe4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