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Quarterly\Banking\Banking Excel Files_20260603\"/>
    </mc:Choice>
  </mc:AlternateContent>
  <xr:revisionPtr revIDLastSave="0" documentId="13_ncr:1_{89EE5AD4-D06F-433D-9A78-A4454E894CC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3" r:id="rId2"/>
    <sheet name="Standalone Cash Flow" sheetId="4" r:id="rId3"/>
    <sheet name="Segment Finance - Standalone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I1" i="2"/>
  <c r="I2" i="4"/>
  <c r="I1" i="4"/>
  <c r="I2" i="3"/>
  <c r="I1" i="3"/>
  <c r="I2" i="1"/>
  <c r="I1" i="1"/>
  <c r="I3" i="2" l="1"/>
  <c r="I3" i="4"/>
  <c r="I3" i="3"/>
  <c r="I3" i="1"/>
</calcChain>
</file>

<file path=xl/sharedStrings.xml><?xml version="1.0" encoding="utf-8"?>
<sst xmlns="http://schemas.openxmlformats.org/spreadsheetml/2006/main" count="411" uniqueCount="227">
  <si>
    <t>Particulars</t>
  </si>
  <si>
    <t>Cogencis Field</t>
  </si>
  <si>
    <t>Interest/ discount on advances/ bills</t>
  </si>
  <si>
    <t>Interest Service Coverage ratio (%)</t>
  </si>
  <si>
    <t>Income on Investments</t>
  </si>
  <si>
    <t>Interest Income</t>
  </si>
  <si>
    <t>Interest on balances with Reserve Bank of India and other Interbank funds</t>
  </si>
  <si>
    <t>Lable</t>
  </si>
  <si>
    <t>Others</t>
  </si>
  <si>
    <t>Gross Sales/Income from Operations</t>
  </si>
  <si>
    <t>Other income</t>
  </si>
  <si>
    <t>Miscellaneous Income</t>
  </si>
  <si>
    <t>Total income</t>
  </si>
  <si>
    <t>Total Income</t>
  </si>
  <si>
    <t>Interest expended</t>
  </si>
  <si>
    <t>Extraordinary Items</t>
  </si>
  <si>
    <t>Operating expenses</t>
  </si>
  <si>
    <t>Operating Expenses</t>
  </si>
  <si>
    <t>Employees cost</t>
  </si>
  <si>
    <t>Employee Benefit Expense</t>
  </si>
  <si>
    <t>Other operating expenses</t>
  </si>
  <si>
    <t>Total expenditure [excluding provisions and contingencies]</t>
  </si>
  <si>
    <t>Profit/(Loss) from Ordinary Activities after Finance Costs but before Exceptional Items</t>
  </si>
  <si>
    <t>Operating profit before provisions and contingencies</t>
  </si>
  <si>
    <t>Provisions (other than tax) and contingencies</t>
  </si>
  <si>
    <t>Changes in Inventories of Finished Goods, Work-In-Progress and Stock-In-Trade</t>
  </si>
  <si>
    <t>Exceptional items</t>
  </si>
  <si>
    <t>Other Exceptional Items</t>
  </si>
  <si>
    <t>Profit from ordinary activities before tax</t>
  </si>
  <si>
    <t>Profit/(Loss) From Ordinary Activities before Tax</t>
  </si>
  <si>
    <t>Tax expense</t>
  </si>
  <si>
    <t>Net profit from ordinary activities after tax</t>
  </si>
  <si>
    <t>Extraordinary items (net of tax expense)</t>
  </si>
  <si>
    <t>Net profit for the period/ year</t>
  </si>
  <si>
    <t>Net Profit/(Loss) for the Period</t>
  </si>
  <si>
    <t xml:space="preserve">Paid up equity share capital (Face value of Rs.10/- each) </t>
  </si>
  <si>
    <t>Paid-Up Equity Share Capital</t>
  </si>
  <si>
    <t>Reserves excluding revaluation reserves</t>
  </si>
  <si>
    <t>Reserve excluding Revaluation Reserves (as per Balance Sheet of Previous Accounting Year)</t>
  </si>
  <si>
    <t>Analytical ratios and other disclosure</t>
  </si>
  <si>
    <t>Items that will be reclassified to Profit or Loss</t>
  </si>
  <si>
    <t>Percentage of shares held by Government of India</t>
  </si>
  <si>
    <t>Capital Adequacy Ratio</t>
  </si>
  <si>
    <t>Earnings per share (before and after extraordinary items, net of tax expenses) (Face value of Rs. 10/- each)</t>
  </si>
  <si>
    <t>Basic EPS (Rs)</t>
  </si>
  <si>
    <t>Basic EPS</t>
  </si>
  <si>
    <t>Diluted EPS (Rs)</t>
  </si>
  <si>
    <t>Diluted EPS</t>
  </si>
  <si>
    <t>NPA Ratios</t>
  </si>
  <si>
    <t>Minority Interest</t>
  </si>
  <si>
    <t>Gross NPAs</t>
  </si>
  <si>
    <t>NOVAL</t>
  </si>
  <si>
    <t>Net NPAs</t>
  </si>
  <si>
    <t>Deferred Tax</t>
  </si>
  <si>
    <t>% of Gross NPAs to Gross advances</t>
  </si>
  <si>
    <t>% of Net NPAs to Net advances</t>
  </si>
  <si>
    <t>Return on assets (average)</t>
  </si>
  <si>
    <t>Debt-equity ratio</t>
  </si>
  <si>
    <t>Total debt to total assets</t>
  </si>
  <si>
    <t>Total Field</t>
  </si>
  <si>
    <t>Net worth</t>
  </si>
  <si>
    <t>COMMA No . 27COMMA 3rd " A " Cross</t>
  </si>
  <si>
    <t>Income Tax related to items that will not be reclassified to Profit or Loss</t>
  </si>
  <si>
    <t>COMMA 18th Main</t>
  </si>
  <si>
    <t>COMMA 6th Block</t>
  </si>
  <si>
    <t>COMMA Koramangala</t>
  </si>
  <si>
    <t>COMMA Bengaluru - 560095COMMA Karnataka</t>
  </si>
  <si>
    <t>Website : www.ujjivansfb.in Phone : +91 80 4071 2121</t>
  </si>
  <si>
    <t>Tax Expense</t>
  </si>
  <si>
    <t>Segment information in accordance with the RBI guidelines and Accounting Standard on Segment Reporting of the operating segment of the Bank is as under:(Rs . in Lakh )</t>
  </si>
  <si>
    <t>Business Segments have been identified and reported taking into account the target customer profile</t>
  </si>
  <si>
    <t>COMMA the nature of products and services</t>
  </si>
  <si>
    <t>Selling Expenses</t>
  </si>
  <si>
    <t>COMMA the differing risks and returns</t>
  </si>
  <si>
    <t>COMMAthe organisation structure and guidelines prescribed by the RBI and in compliance with the Accounting Standard 17 - " Segment Reporting " . The business operations of the</t>
  </si>
  <si>
    <t>Bank are in India and for the purpose of segment reporting as per Accounting Standard-17 ( Segment reporting ) the Bank is considered to operate only in domestic segment . A ) Treasury : The Treasury Segment primarily consists of net interest earnings from the Bank 's Investment portfolio</t>
  </si>
  <si>
    <t>Dividend Income</t>
  </si>
  <si>
    <t>COMMA money market borrowing and lending</t>
  </si>
  <si>
    <t>COMMA gains or losses on</t>
  </si>
  <si>
    <t>Items that will not be reclassified to Profit or Loss</t>
  </si>
  <si>
    <t>Investment operations/ foreign exchange trading and a portion of income / loss from sale / purchase of Priority Sector Lending Certificates ( " PSLC").B ) Retail Banking : The Retail Banking Segment serves retail customers through a branch network and other delivery channels . Retail Banking includes lending to anddeposits from retail customers and identified earnings and expenses of the segment . This segment raises deposits from customers and provides loans and other services tocustomers . Revenues of the Retail Banking Segment are derived from interest earned on retail loans</t>
  </si>
  <si>
    <t>COMMA processing fees earned</t>
  </si>
  <si>
    <t>COMMA other related incomes and a portion ofincome / loss from sale / purchase of Priority Sector Lending Certificates ( " PSLC " ) . Expenses of this segment primarily comprises of interest expense on deposits andborrowings</t>
  </si>
  <si>
    <t>COMMA infrastructure and premises expenses for operating the branch network and other delivery channels</t>
  </si>
  <si>
    <t>COMMA personnel costs</t>
  </si>
  <si>
    <t>COMMA other direct overheads and allocatedexpenses .</t>
  </si>
  <si>
    <t>Purchase of Stock-in-Trade</t>
  </si>
  <si>
    <t>Capital</t>
  </si>
  <si>
    <t>Share Capital</t>
  </si>
  <si>
    <t>Employees stock options outstanding</t>
  </si>
  <si>
    <t>Total Share Holder's Funds</t>
  </si>
  <si>
    <t>Reserves and surplus</t>
  </si>
  <si>
    <t>Reserves And Surplus/Other Equity</t>
  </si>
  <si>
    <t>Deposits</t>
  </si>
  <si>
    <t>Other Current Assets</t>
  </si>
  <si>
    <t>Borrowings</t>
  </si>
  <si>
    <t>Other liabilities and provisions</t>
  </si>
  <si>
    <t>Other Current Financial Liabilities</t>
  </si>
  <si>
    <t>Total</t>
  </si>
  <si>
    <t>Total Equity And Liabilities</t>
  </si>
  <si>
    <t>ASSETS</t>
  </si>
  <si>
    <t>Cash and balances with Reserve Bank of India</t>
  </si>
  <si>
    <t>Other Non-Current Financial Assets</t>
  </si>
  <si>
    <t>Balances with Banks and money at call and short notice</t>
  </si>
  <si>
    <t>Investments</t>
  </si>
  <si>
    <t>Non-Current Investments</t>
  </si>
  <si>
    <t>Advances</t>
  </si>
  <si>
    <t>Other liabilities</t>
  </si>
  <si>
    <t>Fixed assets</t>
  </si>
  <si>
    <t>Other assets</t>
  </si>
  <si>
    <t>Other Non-Current Assets</t>
  </si>
  <si>
    <t>Profit before tax</t>
  </si>
  <si>
    <t>Net Profit Before Tax And Exceptional Item</t>
  </si>
  <si>
    <t>Adjustments for</t>
  </si>
  <si>
    <t>Depreciation on Bank's Property</t>
  </si>
  <si>
    <t>Depreciation and Amortisation Expense</t>
  </si>
  <si>
    <t>(Profit)/Loss on sale of Land, Building &amp; Other assets (net)</t>
  </si>
  <si>
    <t>Profit On Sale Of Fixed Assets</t>
  </si>
  <si>
    <t>Expense on employee stock option</t>
  </si>
  <si>
    <t>Employees Stock Options Grants</t>
  </si>
  <si>
    <t>Provision for Non Performing Assets (incl. loans written off)</t>
  </si>
  <si>
    <t>Provision For Doubtful Debts</t>
  </si>
  <si>
    <t>Provision for Standard Assets</t>
  </si>
  <si>
    <t>(Profit)/ Loss on Revaluation of Investments (net)</t>
  </si>
  <si>
    <t>Loss On Sale Of Fixed Assets</t>
  </si>
  <si>
    <t>(Profit)/loss on sale of investments other than HTM securities</t>
  </si>
  <si>
    <t>Profit On Sale Of Investments</t>
  </si>
  <si>
    <t>Amortisation of premium on investments</t>
  </si>
  <si>
    <t>Operating Profit before working capital changes</t>
  </si>
  <si>
    <t>Operating Profit Before Working Capital Changes</t>
  </si>
  <si>
    <t>(Increase)/Decrease in Advances</t>
  </si>
  <si>
    <t>Loans And Advances</t>
  </si>
  <si>
    <t>Decrease/(Increase) in Investments in other than HTM securities</t>
  </si>
  <si>
    <t>Other Current and Non Current Assets</t>
  </si>
  <si>
    <t>Decrease/(Increase) in Other assets</t>
  </si>
  <si>
    <t>(Decrease)/Increase in Deposits</t>
  </si>
  <si>
    <t>Fixed Deposits</t>
  </si>
  <si>
    <t>(Decrease)/Increase in Other liabilities and provisions</t>
  </si>
  <si>
    <t>Other Current and Non Current Liabilities</t>
  </si>
  <si>
    <t>Cash Flow from Operating Activities</t>
  </si>
  <si>
    <t>Direct taxes paid (net of refunds)</t>
  </si>
  <si>
    <t>Income Tax Paid</t>
  </si>
  <si>
    <t>Net Cash Flow generated from Operating Activities</t>
  </si>
  <si>
    <t>Net Cash Flow From Operating Activities</t>
  </si>
  <si>
    <t>Cash Flow from Investing Activities</t>
  </si>
  <si>
    <t>Net Cash Flow From Investing Activities</t>
  </si>
  <si>
    <t>Proceeds from sale of Fixed assets</t>
  </si>
  <si>
    <t>Sale Of Fixed Assets (Tangible / Intangible)</t>
  </si>
  <si>
    <t>Investment in HTM securities (net)</t>
  </si>
  <si>
    <t>Purchase Of Investments</t>
  </si>
  <si>
    <t>Purchase of Fixed Assets including Capital work in progress</t>
  </si>
  <si>
    <t>Purchase Of Fixed Assets (Tangible / Intangible)</t>
  </si>
  <si>
    <t>Net Cash Flow used in Investing Activities</t>
  </si>
  <si>
    <t>Cash Flow from Financing Activities</t>
  </si>
  <si>
    <t>Proceeds from issue of equity shares</t>
  </si>
  <si>
    <t>Proceeds From Issue Of Equity Shares (Inclu Share Premium)</t>
  </si>
  <si>
    <t>Increase / (decrease) in Borrowings (net)</t>
  </si>
  <si>
    <t>Increase/Decrease In Borrowings</t>
  </si>
  <si>
    <t>Dividend paid during the year</t>
  </si>
  <si>
    <t>Dividend Paid</t>
  </si>
  <si>
    <t>Net Cash Flow generated from Financing Activities</t>
  </si>
  <si>
    <t>Net Cash Flow From Financing Activities</t>
  </si>
  <si>
    <t>Net Increase / (decrease) in Cash and Cash Equivalents</t>
  </si>
  <si>
    <t>Net Increase in Cash and Cash Equivalents</t>
  </si>
  <si>
    <t>Cash and Cash Equivalents at the beginning of the year</t>
  </si>
  <si>
    <t>Cash and Cash Equivalents at the Beginning of the Year</t>
  </si>
  <si>
    <t>Cash and Cash Equivalents at the end of the year*</t>
  </si>
  <si>
    <t>Cash and Cash Equivalents at the End of the Year</t>
  </si>
  <si>
    <t>Status</t>
  </si>
  <si>
    <t>Revised Field Mapping</t>
  </si>
  <si>
    <t>Field id</t>
  </si>
  <si>
    <t>Remark</t>
  </si>
  <si>
    <t>Correct</t>
  </si>
  <si>
    <t>Incorrect</t>
  </si>
  <si>
    <t>Interest Earned (a)+(b)+(c)+(d)</t>
  </si>
  <si>
    <t>This field is not captured; it is manually updated.</t>
  </si>
  <si>
    <t>Interest/Discount on Advances/Bills</t>
  </si>
  <si>
    <t>Interest on Balances with RBI and other Inter-Bank Funds</t>
  </si>
  <si>
    <t>Interest Expended</t>
  </si>
  <si>
    <t>Calculated Field</t>
  </si>
  <si>
    <t>Employees Cost</t>
  </si>
  <si>
    <t>Other Expenses</t>
  </si>
  <si>
    <t>Operating Profit/ (Loss) before Provisions and Contingencies</t>
  </si>
  <si>
    <t>Provisions (Other than tax) and Contingencies</t>
  </si>
  <si>
    <t>Percentage of Shares Held by GOI</t>
  </si>
  <si>
    <t>BASEL - III Capital Adequacy (CRAR) (%)</t>
  </si>
  <si>
    <t>Ignore this field</t>
  </si>
  <si>
    <t>Amount of Gross NPA</t>
  </si>
  <si>
    <t>Amount of Net NPA</t>
  </si>
  <si>
    <t>% of Gross NPA</t>
  </si>
  <si>
    <t>% of Net NPA</t>
  </si>
  <si>
    <t>Return on Assets</t>
  </si>
  <si>
    <t>Debt Equity Ratio (%)</t>
  </si>
  <si>
    <t>Employees Stock Options Outstanding</t>
  </si>
  <si>
    <t>Reserves And Surplus</t>
  </si>
  <si>
    <t>Other Liabilities And Provisions</t>
  </si>
  <si>
    <t>Balances with banks and money at call and short notice</t>
  </si>
  <si>
    <t>Fixed Assets</t>
  </si>
  <si>
    <t>Other Assets</t>
  </si>
  <si>
    <t>Total Assets</t>
  </si>
  <si>
    <t>Depreciation</t>
  </si>
  <si>
    <t>Provision For Non-Performing Advances</t>
  </si>
  <si>
    <t>Provision For Standard Assets</t>
  </si>
  <si>
    <t>Profit / Loss on Revaluation of Investments</t>
  </si>
  <si>
    <t>Increase/Decrease In Investments</t>
  </si>
  <si>
    <t>Amortisation</t>
  </si>
  <si>
    <t>Increase/Decrease In Advances</t>
  </si>
  <si>
    <t>Increase/Decrease In Other Assets</t>
  </si>
  <si>
    <t>Increase/Decrease In Deposits</t>
  </si>
  <si>
    <t>Increase/Decrease In Other Liablities &amp; Provisions</t>
  </si>
  <si>
    <t>Cash Generated From Operations</t>
  </si>
  <si>
    <t>Proceeds From Long Term Borrowings</t>
  </si>
  <si>
    <t>Segment Result data wrongly captured</t>
  </si>
  <si>
    <t>(Interest/ discount on advances/ bills + Income on Investments +Interest on balances with Reserve Bank of India and other inter bank funds +Others)</t>
  </si>
  <si>
    <t>Total Income from Operations (net)</t>
  </si>
  <si>
    <t>Employees cost + Other operating expenses</t>
  </si>
  <si>
    <t>Net Profit/(Loss) from Ordinary Activities after Tax</t>
  </si>
  <si>
    <t>Basic EPS /Basic EPS</t>
  </si>
  <si>
    <t>222 /221</t>
  </si>
  <si>
    <t>Diluted EPS /Diluted EPS</t>
  </si>
  <si>
    <t>234 / 233</t>
  </si>
  <si>
    <t>CAPITAL &amp; LIABILITIES</t>
  </si>
  <si>
    <t>Label</t>
  </si>
  <si>
    <t>Since the value is negative, it should be mapped to ‘Profit On Sale Of Fixed Assets'.</t>
  </si>
  <si>
    <t>Since the value is Positive, it should be mapped to ‘Loss On Sale Of Investment'.</t>
  </si>
  <si>
    <t>Purchase Of Fixed Assets</t>
  </si>
  <si>
    <t>Sale Of Fixed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</si>
</sst>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3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0" xfId="0" applyFont="1"/>
    <xf numFmtId="9" fontId="0" fillId="0" borderId="0" xfId="1" applyFont="1"/>
    <xf numFmtId="0" fontId="0" fillId="0" borderId="1" xfId="0" applyBorder="1"/>
    <xf numFmtId="0" fontId="1" fillId="0" borderId="3" xfId="0" applyFont="1" applyBorder="1" applyAlignment="1">
      <alignment horizontal="center" vertical="top"/>
    </xf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0" fillId="3" borderId="1" xfId="0" applyFill="1" applyBorder="1"/>
    <xf numFmtId="2" fontId="0" fillId="0" borderId="1" xfId="0" applyNumberFormat="1" applyBorder="1"/>
    <xf numFmtId="0" fontId="0" fillId="2" borderId="1" xfId="0" applyFill="1" applyBorder="1"/>
    <xf numFmtId="2" fontId="3" fillId="0" borderId="1" xfId="0" applyNumberFormat="1" applyFont="1" applyBorder="1"/>
    <xf numFmtId="0" fontId="3" fillId="2" borderId="1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workbookViewId="0"/>
  </sheetViews>
  <sheetFormatPr defaultRowHeight="15" x14ac:dyDescent="0.25"/>
  <cols>
    <col min="1" max="1" width="59.5703125" customWidth="1"/>
    <col min="2" max="2" width="53.85546875" customWidth="1"/>
    <col min="3" max="3" width="11.85546875" customWidth="1"/>
    <col min="4" max="4" width="46.7109375" bestFit="1" customWidth="1"/>
    <col min="6" max="6" width="40.5703125" bestFit="1" customWidth="1"/>
  </cols>
  <sheetData>
    <row r="1" spans="1:9" x14ac:dyDescent="0.25">
      <c r="A1" s="1" t="s">
        <v>0</v>
      </c>
      <c r="B1" s="1" t="s">
        <v>1</v>
      </c>
      <c r="C1" s="2" t="s">
        <v>168</v>
      </c>
      <c r="D1" s="2" t="s">
        <v>169</v>
      </c>
      <c r="E1" s="3" t="s">
        <v>170</v>
      </c>
      <c r="F1" s="2" t="s">
        <v>171</v>
      </c>
      <c r="H1" s="4" t="s">
        <v>172</v>
      </c>
      <c r="I1">
        <f>COUNTIF(C:C,$H1)</f>
        <v>10</v>
      </c>
    </row>
    <row r="2" spans="1:9" x14ac:dyDescent="0.25">
      <c r="A2" s="9" t="s">
        <v>174</v>
      </c>
      <c r="B2" s="10"/>
      <c r="C2" s="11" t="s">
        <v>173</v>
      </c>
      <c r="D2" s="11" t="s">
        <v>179</v>
      </c>
      <c r="E2" s="12"/>
      <c r="F2" t="s">
        <v>213</v>
      </c>
      <c r="G2" s="13" t="s">
        <v>175</v>
      </c>
      <c r="H2" s="5" t="s">
        <v>173</v>
      </c>
      <c r="I2">
        <f>COUNTIF(C:C,$H2)</f>
        <v>27</v>
      </c>
    </row>
    <row r="3" spans="1:9" x14ac:dyDescent="0.25">
      <c r="A3" s="7" t="s">
        <v>2</v>
      </c>
      <c r="B3" s="7" t="s">
        <v>3</v>
      </c>
      <c r="C3" s="7" t="s">
        <v>173</v>
      </c>
      <c r="D3" s="14" t="s">
        <v>176</v>
      </c>
      <c r="E3" s="15">
        <v>259</v>
      </c>
      <c r="F3" s="7"/>
      <c r="I3" s="6">
        <f>I1/SUM(I1:I2)</f>
        <v>0.27027027027027029</v>
      </c>
    </row>
    <row r="4" spans="1:9" x14ac:dyDescent="0.25">
      <c r="A4" s="7" t="s">
        <v>4</v>
      </c>
      <c r="B4" s="7" t="s">
        <v>5</v>
      </c>
      <c r="C4" s="7" t="s">
        <v>173</v>
      </c>
      <c r="D4" s="14" t="s">
        <v>4</v>
      </c>
      <c r="E4" s="15">
        <v>257</v>
      </c>
      <c r="F4" s="7"/>
    </row>
    <row r="5" spans="1:9" x14ac:dyDescent="0.25">
      <c r="A5" s="7" t="s">
        <v>6</v>
      </c>
      <c r="B5" s="7" t="s">
        <v>7</v>
      </c>
      <c r="C5" s="7" t="s">
        <v>173</v>
      </c>
      <c r="D5" s="14" t="s">
        <v>177</v>
      </c>
      <c r="E5" s="15">
        <v>261</v>
      </c>
      <c r="F5" s="7"/>
    </row>
    <row r="6" spans="1:9" x14ac:dyDescent="0.25">
      <c r="A6" s="7" t="s">
        <v>8</v>
      </c>
      <c r="B6" s="7" t="s">
        <v>9</v>
      </c>
      <c r="C6" s="7" t="s">
        <v>173</v>
      </c>
      <c r="D6" s="14" t="s">
        <v>8</v>
      </c>
      <c r="E6" s="15">
        <v>280</v>
      </c>
      <c r="F6" s="7"/>
    </row>
    <row r="7" spans="1:9" x14ac:dyDescent="0.25">
      <c r="A7" s="7" t="s">
        <v>10</v>
      </c>
      <c r="B7" s="7" t="s">
        <v>11</v>
      </c>
      <c r="C7" s="7" t="s">
        <v>172</v>
      </c>
      <c r="D7" s="14" t="s">
        <v>11</v>
      </c>
      <c r="E7" s="15">
        <v>265</v>
      </c>
      <c r="F7" s="7"/>
    </row>
    <row r="8" spans="1:9" x14ac:dyDescent="0.25">
      <c r="A8" s="7" t="s">
        <v>12</v>
      </c>
      <c r="B8" s="7" t="s">
        <v>13</v>
      </c>
      <c r="C8" s="7" t="s">
        <v>173</v>
      </c>
      <c r="D8" s="16" t="s">
        <v>214</v>
      </c>
      <c r="E8" s="17">
        <v>266</v>
      </c>
      <c r="F8" s="7"/>
    </row>
    <row r="9" spans="1:9" x14ac:dyDescent="0.25">
      <c r="A9" s="7" t="s">
        <v>14</v>
      </c>
      <c r="B9" s="7" t="s">
        <v>15</v>
      </c>
      <c r="C9" s="7" t="s">
        <v>173</v>
      </c>
      <c r="D9" s="14" t="s">
        <v>178</v>
      </c>
      <c r="E9" s="15">
        <v>246</v>
      </c>
      <c r="F9" s="7"/>
    </row>
    <row r="10" spans="1:9" x14ac:dyDescent="0.25">
      <c r="A10" s="7" t="s">
        <v>16</v>
      </c>
      <c r="B10" s="7" t="s">
        <v>17</v>
      </c>
      <c r="C10" s="7" t="s">
        <v>173</v>
      </c>
      <c r="D10" s="7" t="s">
        <v>179</v>
      </c>
      <c r="E10" s="7"/>
      <c r="F10" s="7" t="s">
        <v>215</v>
      </c>
    </row>
    <row r="11" spans="1:9" x14ac:dyDescent="0.25">
      <c r="A11" s="7" t="s">
        <v>18</v>
      </c>
      <c r="B11" s="7" t="s">
        <v>19</v>
      </c>
      <c r="C11" s="7" t="s">
        <v>173</v>
      </c>
      <c r="D11" s="14" t="s">
        <v>180</v>
      </c>
      <c r="E11" s="15">
        <v>238</v>
      </c>
      <c r="F11" s="7"/>
    </row>
    <row r="12" spans="1:9" x14ac:dyDescent="0.25">
      <c r="A12" s="7" t="s">
        <v>20</v>
      </c>
      <c r="B12" s="7" t="s">
        <v>17</v>
      </c>
      <c r="C12" s="7" t="s">
        <v>173</v>
      </c>
      <c r="D12" s="14" t="s">
        <v>181</v>
      </c>
      <c r="E12" s="15">
        <v>279</v>
      </c>
      <c r="F12" s="7"/>
    </row>
    <row r="13" spans="1:9" x14ac:dyDescent="0.25">
      <c r="A13" s="7" t="s">
        <v>21</v>
      </c>
      <c r="B13" s="7" t="s">
        <v>22</v>
      </c>
      <c r="C13" s="7" t="s">
        <v>173</v>
      </c>
      <c r="D13" s="14" t="s">
        <v>179</v>
      </c>
      <c r="E13" s="17"/>
      <c r="F13" s="7"/>
    </row>
    <row r="14" spans="1:9" x14ac:dyDescent="0.25">
      <c r="A14" s="7" t="s">
        <v>23</v>
      </c>
      <c r="B14" s="7" t="s">
        <v>22</v>
      </c>
      <c r="C14" s="7" t="s">
        <v>173</v>
      </c>
      <c r="D14" s="16" t="s">
        <v>182</v>
      </c>
      <c r="E14" s="17">
        <v>277</v>
      </c>
      <c r="F14" s="7"/>
    </row>
    <row r="15" spans="1:9" x14ac:dyDescent="0.25">
      <c r="A15" s="7" t="s">
        <v>24</v>
      </c>
      <c r="B15" s="7" t="s">
        <v>25</v>
      </c>
      <c r="C15" s="7" t="s">
        <v>173</v>
      </c>
      <c r="D15" s="14" t="s">
        <v>183</v>
      </c>
      <c r="E15" s="15">
        <v>303</v>
      </c>
      <c r="F15" s="7"/>
    </row>
    <row r="16" spans="1:9" x14ac:dyDescent="0.25">
      <c r="A16" s="7" t="s">
        <v>26</v>
      </c>
      <c r="B16" s="7" t="s">
        <v>27</v>
      </c>
      <c r="C16" s="7" t="s">
        <v>172</v>
      </c>
      <c r="D16" s="14" t="s">
        <v>27</v>
      </c>
      <c r="E16" s="15">
        <v>278</v>
      </c>
      <c r="F16" s="7"/>
    </row>
    <row r="17" spans="1:6" x14ac:dyDescent="0.25">
      <c r="A17" s="7" t="s">
        <v>28</v>
      </c>
      <c r="B17" s="7" t="s">
        <v>29</v>
      </c>
      <c r="C17" s="7" t="s">
        <v>172</v>
      </c>
      <c r="D17" s="16" t="s">
        <v>29</v>
      </c>
      <c r="E17" s="17">
        <v>296</v>
      </c>
      <c r="F17" s="7"/>
    </row>
    <row r="18" spans="1:6" x14ac:dyDescent="0.25">
      <c r="A18" s="7" t="s">
        <v>30</v>
      </c>
      <c r="B18" s="7" t="s">
        <v>7</v>
      </c>
      <c r="C18" s="7" t="s">
        <v>173</v>
      </c>
      <c r="D18" s="14" t="s">
        <v>68</v>
      </c>
      <c r="E18" s="15">
        <v>318</v>
      </c>
      <c r="F18" s="7"/>
    </row>
    <row r="19" spans="1:6" x14ac:dyDescent="0.25">
      <c r="A19" s="7" t="s">
        <v>31</v>
      </c>
      <c r="B19" s="7" t="s">
        <v>29</v>
      </c>
      <c r="C19" s="7" t="s">
        <v>173</v>
      </c>
      <c r="D19" s="16" t="s">
        <v>216</v>
      </c>
      <c r="E19" s="17">
        <v>270</v>
      </c>
      <c r="F19" s="7"/>
    </row>
    <row r="20" spans="1:6" x14ac:dyDescent="0.25">
      <c r="A20" s="7" t="s">
        <v>32</v>
      </c>
      <c r="B20" s="7" t="s">
        <v>15</v>
      </c>
      <c r="C20" s="7" t="s">
        <v>172</v>
      </c>
      <c r="D20" s="14" t="s">
        <v>15</v>
      </c>
      <c r="E20" s="15">
        <v>244</v>
      </c>
      <c r="F20" s="7"/>
    </row>
    <row r="21" spans="1:6" x14ac:dyDescent="0.25">
      <c r="A21" s="7" t="s">
        <v>33</v>
      </c>
      <c r="B21" s="7" t="s">
        <v>34</v>
      </c>
      <c r="C21" s="7" t="s">
        <v>172</v>
      </c>
      <c r="D21" s="16" t="s">
        <v>34</v>
      </c>
      <c r="E21" s="17">
        <v>269</v>
      </c>
      <c r="F21" s="7"/>
    </row>
    <row r="22" spans="1:6" x14ac:dyDescent="0.25">
      <c r="A22" s="7" t="s">
        <v>35</v>
      </c>
      <c r="B22" s="7" t="s">
        <v>36</v>
      </c>
      <c r="C22" s="7" t="s">
        <v>172</v>
      </c>
      <c r="D22" s="7"/>
      <c r="E22" s="7"/>
      <c r="F22" s="7"/>
    </row>
    <row r="23" spans="1:6" x14ac:dyDescent="0.25">
      <c r="A23" s="7" t="s">
        <v>37</v>
      </c>
      <c r="B23" s="7" t="s">
        <v>38</v>
      </c>
      <c r="C23" s="7" t="s">
        <v>172</v>
      </c>
      <c r="D23" s="7"/>
      <c r="E23" s="7"/>
      <c r="F23" s="7"/>
    </row>
    <row r="24" spans="1:6" x14ac:dyDescent="0.25">
      <c r="A24" s="7" t="s">
        <v>39</v>
      </c>
      <c r="B24" s="7" t="s">
        <v>40</v>
      </c>
      <c r="C24" s="7" t="s">
        <v>173</v>
      </c>
      <c r="D24" s="7" t="s">
        <v>7</v>
      </c>
      <c r="E24" s="7"/>
      <c r="F24" s="7"/>
    </row>
    <row r="25" spans="1:6" x14ac:dyDescent="0.25">
      <c r="A25" s="7" t="s">
        <v>41</v>
      </c>
      <c r="B25" s="7" t="s">
        <v>7</v>
      </c>
      <c r="C25" s="7" t="s">
        <v>173</v>
      </c>
      <c r="D25" s="14" t="s">
        <v>184</v>
      </c>
      <c r="E25" s="15">
        <v>290</v>
      </c>
      <c r="F25" s="7"/>
    </row>
    <row r="26" spans="1:6" x14ac:dyDescent="0.25">
      <c r="A26" s="7" t="s">
        <v>42</v>
      </c>
      <c r="B26" s="7" t="s">
        <v>7</v>
      </c>
      <c r="C26" s="7" t="s">
        <v>173</v>
      </c>
      <c r="D26" s="14" t="s">
        <v>185</v>
      </c>
      <c r="E26" s="15">
        <v>220</v>
      </c>
      <c r="F26" s="7"/>
    </row>
    <row r="27" spans="1:6" x14ac:dyDescent="0.25">
      <c r="A27" s="7" t="s">
        <v>43</v>
      </c>
      <c r="B27" s="7" t="s">
        <v>7</v>
      </c>
      <c r="C27" s="7" t="s">
        <v>172</v>
      </c>
      <c r="D27" s="7"/>
      <c r="E27" s="7"/>
      <c r="F27" s="7"/>
    </row>
    <row r="28" spans="1:6" x14ac:dyDescent="0.25">
      <c r="A28" s="7" t="s">
        <v>44</v>
      </c>
      <c r="B28" s="7" t="s">
        <v>45</v>
      </c>
      <c r="C28" s="7" t="s">
        <v>172</v>
      </c>
      <c r="D28" s="7" t="s">
        <v>217</v>
      </c>
      <c r="E28" s="7" t="s">
        <v>218</v>
      </c>
      <c r="F28" s="7"/>
    </row>
    <row r="29" spans="1:6" x14ac:dyDescent="0.25">
      <c r="A29" s="7" t="s">
        <v>46</v>
      </c>
      <c r="B29" s="7" t="s">
        <v>47</v>
      </c>
      <c r="C29" s="7" t="s">
        <v>172</v>
      </c>
      <c r="D29" s="7" t="s">
        <v>219</v>
      </c>
      <c r="E29" s="7" t="s">
        <v>220</v>
      </c>
      <c r="F29" s="7"/>
    </row>
    <row r="30" spans="1:6" x14ac:dyDescent="0.25">
      <c r="A30" s="7" t="s">
        <v>48</v>
      </c>
      <c r="B30" s="7" t="s">
        <v>49</v>
      </c>
      <c r="C30" s="7" t="s">
        <v>173</v>
      </c>
      <c r="D30" s="7" t="s">
        <v>7</v>
      </c>
      <c r="E30" s="7"/>
      <c r="F30" s="7"/>
    </row>
    <row r="31" spans="1:6" x14ac:dyDescent="0.25">
      <c r="A31" s="7" t="s">
        <v>50</v>
      </c>
      <c r="B31" s="7" t="s">
        <v>51</v>
      </c>
      <c r="C31" s="7" t="s">
        <v>173</v>
      </c>
      <c r="D31" s="14" t="s">
        <v>187</v>
      </c>
      <c r="E31" s="15">
        <v>255</v>
      </c>
      <c r="F31" s="7"/>
    </row>
    <row r="32" spans="1:6" x14ac:dyDescent="0.25">
      <c r="A32" s="7" t="s">
        <v>52</v>
      </c>
      <c r="B32" s="7" t="s">
        <v>53</v>
      </c>
      <c r="C32" s="7" t="s">
        <v>173</v>
      </c>
      <c r="D32" s="14" t="s">
        <v>188</v>
      </c>
      <c r="E32" s="15">
        <v>267</v>
      </c>
      <c r="F32" s="7"/>
    </row>
    <row r="33" spans="1:6" x14ac:dyDescent="0.25">
      <c r="A33" s="7" t="s">
        <v>54</v>
      </c>
      <c r="B33" s="7" t="s">
        <v>51</v>
      </c>
      <c r="C33" s="7" t="s">
        <v>173</v>
      </c>
      <c r="D33" s="14" t="s">
        <v>189</v>
      </c>
      <c r="E33" s="15">
        <v>283</v>
      </c>
      <c r="F33" s="7"/>
    </row>
    <row r="34" spans="1:6" x14ac:dyDescent="0.25">
      <c r="A34" s="7" t="s">
        <v>55</v>
      </c>
      <c r="B34" s="7" t="s">
        <v>45</v>
      </c>
      <c r="C34" s="7" t="s">
        <v>173</v>
      </c>
      <c r="D34" s="14" t="s">
        <v>190</v>
      </c>
      <c r="E34" s="15">
        <v>284</v>
      </c>
      <c r="F34" s="7"/>
    </row>
    <row r="35" spans="1:6" x14ac:dyDescent="0.25">
      <c r="A35" s="7" t="s">
        <v>56</v>
      </c>
      <c r="B35" s="7" t="s">
        <v>45</v>
      </c>
      <c r="C35" s="7" t="s">
        <v>173</v>
      </c>
      <c r="D35" s="14" t="s">
        <v>191</v>
      </c>
      <c r="E35" s="15">
        <v>312</v>
      </c>
      <c r="F35" s="7"/>
    </row>
    <row r="36" spans="1:6" x14ac:dyDescent="0.25">
      <c r="A36" s="7" t="s">
        <v>57</v>
      </c>
      <c r="B36" s="7" t="s">
        <v>7</v>
      </c>
      <c r="C36" s="7" t="s">
        <v>173</v>
      </c>
      <c r="D36" s="14" t="s">
        <v>192</v>
      </c>
      <c r="E36" s="15">
        <v>24697</v>
      </c>
      <c r="F36" s="7"/>
    </row>
    <row r="37" spans="1:6" x14ac:dyDescent="0.25">
      <c r="A37" s="7" t="s">
        <v>58</v>
      </c>
      <c r="B37" s="7" t="s">
        <v>59</v>
      </c>
      <c r="C37" s="7" t="s">
        <v>173</v>
      </c>
      <c r="D37" s="7"/>
      <c r="E37" s="7"/>
      <c r="F37" s="7" t="s">
        <v>186</v>
      </c>
    </row>
    <row r="38" spans="1:6" x14ac:dyDescent="0.25">
      <c r="A38" s="7" t="s">
        <v>60</v>
      </c>
      <c r="B38" s="7" t="s">
        <v>5</v>
      </c>
      <c r="C38" s="7" t="s">
        <v>173</v>
      </c>
      <c r="D38" s="7"/>
      <c r="E38" s="7"/>
      <c r="F38" s="7" t="s">
        <v>186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/>
  </sheetViews>
  <sheetFormatPr defaultRowHeight="15" x14ac:dyDescent="0.25"/>
  <cols>
    <col min="1" max="1" width="46.5703125" customWidth="1"/>
    <col min="2" max="2" width="45.85546875" customWidth="1"/>
    <col min="4" max="4" width="35" customWidth="1"/>
  </cols>
  <sheetData>
    <row r="1" spans="1:9" x14ac:dyDescent="0.25">
      <c r="A1" s="8" t="s">
        <v>0</v>
      </c>
      <c r="B1" s="8" t="s">
        <v>1</v>
      </c>
      <c r="C1" s="2" t="s">
        <v>168</v>
      </c>
      <c r="D1" s="2" t="s">
        <v>169</v>
      </c>
      <c r="E1" s="3" t="s">
        <v>170</v>
      </c>
      <c r="F1" s="2" t="s">
        <v>171</v>
      </c>
      <c r="H1" s="4" t="s">
        <v>172</v>
      </c>
      <c r="I1">
        <f>COUNTIF(C:C,$H1)</f>
        <v>4</v>
      </c>
    </row>
    <row r="2" spans="1:9" x14ac:dyDescent="0.25">
      <c r="A2" s="13" t="s">
        <v>221</v>
      </c>
      <c r="B2" s="10"/>
      <c r="C2" s="11" t="s">
        <v>173</v>
      </c>
      <c r="D2" s="11" t="s">
        <v>222</v>
      </c>
      <c r="E2" s="12"/>
      <c r="F2" s="13" t="s">
        <v>175</v>
      </c>
      <c r="H2" s="5" t="s">
        <v>173</v>
      </c>
      <c r="I2">
        <f>COUNTIF(C:C,$H2)</f>
        <v>12</v>
      </c>
    </row>
    <row r="3" spans="1:9" x14ac:dyDescent="0.25">
      <c r="A3" s="7" t="s">
        <v>87</v>
      </c>
      <c r="B3" s="7" t="s">
        <v>88</v>
      </c>
      <c r="C3" s="7" t="s">
        <v>172</v>
      </c>
      <c r="D3" s="7" t="s">
        <v>88</v>
      </c>
      <c r="E3" s="15">
        <v>13765</v>
      </c>
      <c r="F3" s="7"/>
      <c r="I3" s="6">
        <f>I1/SUM(I1:I2)</f>
        <v>0.25</v>
      </c>
    </row>
    <row r="4" spans="1:9" x14ac:dyDescent="0.25">
      <c r="A4" s="7" t="s">
        <v>89</v>
      </c>
      <c r="B4" s="7" t="s">
        <v>90</v>
      </c>
      <c r="C4" s="7" t="s">
        <v>173</v>
      </c>
      <c r="D4" s="7" t="s">
        <v>193</v>
      </c>
      <c r="E4" s="15">
        <v>13729</v>
      </c>
      <c r="F4" s="7"/>
    </row>
    <row r="5" spans="1:9" x14ac:dyDescent="0.25">
      <c r="A5" s="7" t="s">
        <v>91</v>
      </c>
      <c r="B5" s="7" t="s">
        <v>92</v>
      </c>
      <c r="C5" s="7" t="s">
        <v>173</v>
      </c>
      <c r="D5" s="7" t="s">
        <v>194</v>
      </c>
      <c r="E5" s="15">
        <v>13762</v>
      </c>
      <c r="F5" s="7"/>
    </row>
    <row r="6" spans="1:9" x14ac:dyDescent="0.25">
      <c r="A6" s="7" t="s">
        <v>93</v>
      </c>
      <c r="B6" s="7" t="s">
        <v>94</v>
      </c>
      <c r="C6" s="7" t="s">
        <v>173</v>
      </c>
      <c r="D6" s="7" t="s">
        <v>93</v>
      </c>
      <c r="E6" s="15">
        <v>13728</v>
      </c>
      <c r="F6" s="7"/>
    </row>
    <row r="7" spans="1:9" x14ac:dyDescent="0.25">
      <c r="A7" s="7" t="s">
        <v>95</v>
      </c>
      <c r="B7" s="7" t="s">
        <v>95</v>
      </c>
      <c r="C7" s="7" t="s">
        <v>172</v>
      </c>
      <c r="D7" s="7" t="s">
        <v>95</v>
      </c>
      <c r="E7" s="15">
        <v>13718</v>
      </c>
      <c r="F7" s="7"/>
    </row>
    <row r="8" spans="1:9" x14ac:dyDescent="0.25">
      <c r="A8" s="7" t="s">
        <v>96</v>
      </c>
      <c r="B8" s="7" t="s">
        <v>97</v>
      </c>
      <c r="C8" s="7" t="s">
        <v>173</v>
      </c>
      <c r="D8" s="7" t="s">
        <v>195</v>
      </c>
      <c r="E8" s="15">
        <v>13752</v>
      </c>
      <c r="F8" s="7"/>
    </row>
    <row r="9" spans="1:9" x14ac:dyDescent="0.25">
      <c r="A9" s="7" t="s">
        <v>98</v>
      </c>
      <c r="B9" s="7" t="s">
        <v>99</v>
      </c>
      <c r="C9" s="7" t="s">
        <v>172</v>
      </c>
      <c r="D9" s="2" t="s">
        <v>99</v>
      </c>
      <c r="E9" s="17">
        <v>13776</v>
      </c>
      <c r="F9" s="7"/>
    </row>
    <row r="10" spans="1:9" x14ac:dyDescent="0.25">
      <c r="A10" s="7" t="s">
        <v>100</v>
      </c>
      <c r="B10" s="7" t="s">
        <v>7</v>
      </c>
      <c r="C10" s="7" t="s">
        <v>172</v>
      </c>
      <c r="D10" s="7"/>
      <c r="E10" s="7"/>
      <c r="F10" s="7"/>
    </row>
    <row r="11" spans="1:9" x14ac:dyDescent="0.25">
      <c r="A11" s="7" t="s">
        <v>101</v>
      </c>
      <c r="B11" s="7" t="s">
        <v>102</v>
      </c>
      <c r="C11" s="7" t="s">
        <v>173</v>
      </c>
      <c r="D11" s="7" t="s">
        <v>101</v>
      </c>
      <c r="E11" s="15">
        <v>13721</v>
      </c>
      <c r="F11" s="7"/>
    </row>
    <row r="12" spans="1:9" x14ac:dyDescent="0.25">
      <c r="A12" s="7" t="s">
        <v>103</v>
      </c>
      <c r="B12" s="7" t="s">
        <v>94</v>
      </c>
      <c r="C12" s="7" t="s">
        <v>173</v>
      </c>
      <c r="D12" s="7" t="s">
        <v>196</v>
      </c>
      <c r="E12" s="15">
        <v>13717</v>
      </c>
      <c r="F12" s="7"/>
    </row>
    <row r="13" spans="1:9" x14ac:dyDescent="0.25">
      <c r="A13" s="7" t="s">
        <v>104</v>
      </c>
      <c r="B13" s="7" t="s">
        <v>105</v>
      </c>
      <c r="C13" s="7" t="s">
        <v>173</v>
      </c>
      <c r="D13" s="7" t="s">
        <v>104</v>
      </c>
      <c r="E13" s="15">
        <v>13738</v>
      </c>
      <c r="F13" s="7"/>
    </row>
    <row r="14" spans="1:9" x14ac:dyDescent="0.25">
      <c r="A14" s="7" t="s">
        <v>106</v>
      </c>
      <c r="B14" s="7" t="s">
        <v>107</v>
      </c>
      <c r="C14" s="7" t="s">
        <v>173</v>
      </c>
      <c r="D14" s="7" t="s">
        <v>106</v>
      </c>
      <c r="E14" s="15">
        <v>13716</v>
      </c>
      <c r="F14" s="7"/>
    </row>
    <row r="15" spans="1:9" x14ac:dyDescent="0.25">
      <c r="A15" s="7" t="s">
        <v>108</v>
      </c>
      <c r="B15" s="7" t="s">
        <v>7</v>
      </c>
      <c r="C15" s="7" t="s">
        <v>173</v>
      </c>
      <c r="D15" s="7" t="s">
        <v>197</v>
      </c>
      <c r="E15" s="15">
        <v>13772</v>
      </c>
      <c r="F15" s="7"/>
    </row>
    <row r="16" spans="1:9" x14ac:dyDescent="0.25">
      <c r="A16" s="7" t="s">
        <v>109</v>
      </c>
      <c r="B16" s="7" t="s">
        <v>110</v>
      </c>
      <c r="C16" s="7" t="s">
        <v>173</v>
      </c>
      <c r="D16" s="7" t="s">
        <v>198</v>
      </c>
      <c r="E16" s="15">
        <v>13749</v>
      </c>
      <c r="F16" s="7"/>
    </row>
    <row r="17" spans="1:6" x14ac:dyDescent="0.25">
      <c r="A17" s="7" t="s">
        <v>98</v>
      </c>
      <c r="B17" s="7" t="s">
        <v>99</v>
      </c>
      <c r="C17" s="7" t="s">
        <v>173</v>
      </c>
      <c r="D17" s="2" t="s">
        <v>199</v>
      </c>
      <c r="E17" s="17">
        <v>13771</v>
      </c>
      <c r="F17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4"/>
  <sheetViews>
    <sheetView workbookViewId="0"/>
  </sheetViews>
  <sheetFormatPr defaultRowHeight="15" x14ac:dyDescent="0.25"/>
  <cols>
    <col min="1" max="1" width="54.5703125" customWidth="1"/>
    <col min="2" max="2" width="52.140625" customWidth="1"/>
    <col min="3" max="3" width="11" customWidth="1"/>
    <col min="4" max="4" width="38.85546875" bestFit="1" customWidth="1"/>
    <col min="6" max="6" width="74.28515625" bestFit="1" customWidth="1"/>
  </cols>
  <sheetData>
    <row r="1" spans="1:9" x14ac:dyDescent="0.25">
      <c r="A1" s="1" t="s">
        <v>0</v>
      </c>
      <c r="B1" s="1" t="s">
        <v>1</v>
      </c>
      <c r="C1" s="2" t="s">
        <v>168</v>
      </c>
      <c r="D1" s="2" t="s">
        <v>169</v>
      </c>
      <c r="E1" s="3" t="s">
        <v>170</v>
      </c>
      <c r="F1" s="2" t="s">
        <v>171</v>
      </c>
      <c r="H1" s="4" t="s">
        <v>172</v>
      </c>
      <c r="I1">
        <f>COUNTIF(C:C,$H1)</f>
        <v>17</v>
      </c>
    </row>
    <row r="2" spans="1:9" x14ac:dyDescent="0.25">
      <c r="A2" s="7" t="s">
        <v>111</v>
      </c>
      <c r="B2" s="7" t="s">
        <v>112</v>
      </c>
      <c r="C2" s="7" t="s">
        <v>172</v>
      </c>
      <c r="D2" s="7"/>
      <c r="E2" s="7"/>
      <c r="F2" s="7"/>
      <c r="H2" s="5" t="s">
        <v>173</v>
      </c>
      <c r="I2">
        <f>COUNTIF(C:C,$H2)</f>
        <v>16</v>
      </c>
    </row>
    <row r="3" spans="1:9" x14ac:dyDescent="0.25">
      <c r="A3" s="7" t="s">
        <v>113</v>
      </c>
      <c r="B3" s="7" t="s">
        <v>7</v>
      </c>
      <c r="C3" s="7" t="s">
        <v>172</v>
      </c>
      <c r="D3" s="7"/>
      <c r="E3" s="7"/>
      <c r="F3" s="7"/>
      <c r="I3" s="6">
        <f>I1/SUM(I1:I2)</f>
        <v>0.51515151515151514</v>
      </c>
    </row>
    <row r="4" spans="1:9" x14ac:dyDescent="0.25">
      <c r="A4" s="7" t="s">
        <v>114</v>
      </c>
      <c r="B4" s="7" t="s">
        <v>115</v>
      </c>
      <c r="C4" s="7" t="s">
        <v>173</v>
      </c>
      <c r="D4" s="7" t="s">
        <v>200</v>
      </c>
      <c r="E4" s="15">
        <v>30399</v>
      </c>
      <c r="F4" s="7"/>
    </row>
    <row r="5" spans="1:9" x14ac:dyDescent="0.25">
      <c r="A5" s="7" t="s">
        <v>116</v>
      </c>
      <c r="B5" s="7" t="s">
        <v>117</v>
      </c>
      <c r="C5" s="7" t="s">
        <v>173</v>
      </c>
      <c r="D5" s="7" t="s">
        <v>124</v>
      </c>
      <c r="E5" s="15">
        <v>30502</v>
      </c>
      <c r="F5" s="7" t="s">
        <v>223</v>
      </c>
    </row>
    <row r="6" spans="1:9" x14ac:dyDescent="0.25">
      <c r="A6" s="7" t="s">
        <v>118</v>
      </c>
      <c r="B6" s="7" t="s">
        <v>119</v>
      </c>
      <c r="C6" s="7" t="s">
        <v>172</v>
      </c>
      <c r="D6" s="7" t="s">
        <v>119</v>
      </c>
      <c r="E6" s="15">
        <v>30407</v>
      </c>
      <c r="F6" s="7"/>
    </row>
    <row r="7" spans="1:9" x14ac:dyDescent="0.25">
      <c r="A7" s="7" t="s">
        <v>120</v>
      </c>
      <c r="B7" s="7" t="s">
        <v>121</v>
      </c>
      <c r="C7" s="7" t="s">
        <v>173</v>
      </c>
      <c r="D7" s="7" t="s">
        <v>201</v>
      </c>
      <c r="E7" s="15">
        <v>30633</v>
      </c>
      <c r="F7" s="7"/>
    </row>
    <row r="8" spans="1:9" x14ac:dyDescent="0.25">
      <c r="A8" s="7" t="s">
        <v>122</v>
      </c>
      <c r="B8" s="7" t="s">
        <v>121</v>
      </c>
      <c r="C8" s="7" t="s">
        <v>173</v>
      </c>
      <c r="D8" s="7" t="s">
        <v>202</v>
      </c>
      <c r="E8" s="15">
        <v>30635</v>
      </c>
      <c r="F8" s="7"/>
    </row>
    <row r="9" spans="1:9" x14ac:dyDescent="0.25">
      <c r="A9" s="7" t="s">
        <v>123</v>
      </c>
      <c r="B9" s="7" t="s">
        <v>124</v>
      </c>
      <c r="C9" s="7" t="s">
        <v>173</v>
      </c>
      <c r="D9" s="7" t="s">
        <v>203</v>
      </c>
      <c r="E9" s="15">
        <v>30626</v>
      </c>
      <c r="F9" s="7"/>
    </row>
    <row r="10" spans="1:9" x14ac:dyDescent="0.25">
      <c r="A10" s="7" t="s">
        <v>125</v>
      </c>
      <c r="B10" s="7" t="s">
        <v>126</v>
      </c>
      <c r="C10" s="7" t="s">
        <v>172</v>
      </c>
      <c r="D10" s="7" t="s">
        <v>126</v>
      </c>
      <c r="E10" s="15">
        <v>30577</v>
      </c>
      <c r="F10" s="7" t="s">
        <v>224</v>
      </c>
    </row>
    <row r="11" spans="1:9" x14ac:dyDescent="0.25">
      <c r="A11" s="7" t="s">
        <v>127</v>
      </c>
      <c r="B11" s="7" t="s">
        <v>115</v>
      </c>
      <c r="C11" s="7" t="s">
        <v>173</v>
      </c>
      <c r="D11" s="7" t="s">
        <v>205</v>
      </c>
      <c r="E11" s="15">
        <v>30359</v>
      </c>
      <c r="F11" s="7"/>
    </row>
    <row r="12" spans="1:9" x14ac:dyDescent="0.25">
      <c r="A12" s="7" t="s">
        <v>128</v>
      </c>
      <c r="B12" s="7" t="s">
        <v>129</v>
      </c>
      <c r="C12" s="7" t="s">
        <v>172</v>
      </c>
      <c r="D12" s="2" t="s">
        <v>129</v>
      </c>
      <c r="E12" s="17">
        <v>30511</v>
      </c>
      <c r="F12" s="7"/>
    </row>
    <row r="13" spans="1:9" x14ac:dyDescent="0.25">
      <c r="A13" s="7" t="s">
        <v>113</v>
      </c>
      <c r="B13" s="7" t="s">
        <v>7</v>
      </c>
      <c r="C13" s="7" t="s">
        <v>172</v>
      </c>
      <c r="D13" s="7"/>
      <c r="E13" s="7"/>
      <c r="F13" s="7"/>
    </row>
    <row r="14" spans="1:9" x14ac:dyDescent="0.25">
      <c r="A14" s="7" t="s">
        <v>130</v>
      </c>
      <c r="B14" s="7" t="s">
        <v>131</v>
      </c>
      <c r="C14" s="7" t="s">
        <v>173</v>
      </c>
      <c r="D14" s="7" t="s">
        <v>206</v>
      </c>
      <c r="E14" s="15">
        <v>30429</v>
      </c>
      <c r="F14" s="7"/>
    </row>
    <row r="15" spans="1:9" x14ac:dyDescent="0.25">
      <c r="A15" s="7" t="s">
        <v>132</v>
      </c>
      <c r="B15" s="7" t="s">
        <v>133</v>
      </c>
      <c r="C15" s="7" t="s">
        <v>173</v>
      </c>
      <c r="D15" s="7" t="s">
        <v>204</v>
      </c>
      <c r="E15" s="7">
        <v>30433</v>
      </c>
      <c r="F15" s="7"/>
    </row>
    <row r="16" spans="1:9" x14ac:dyDescent="0.25">
      <c r="A16" s="7" t="s">
        <v>134</v>
      </c>
      <c r="B16" s="7" t="s">
        <v>133</v>
      </c>
      <c r="C16" s="7" t="s">
        <v>173</v>
      </c>
      <c r="D16" s="7" t="s">
        <v>207</v>
      </c>
      <c r="E16" s="15">
        <v>30448</v>
      </c>
      <c r="F16" s="7"/>
    </row>
    <row r="17" spans="1:6" x14ac:dyDescent="0.25">
      <c r="A17" s="7" t="s">
        <v>135</v>
      </c>
      <c r="B17" s="7" t="s">
        <v>136</v>
      </c>
      <c r="C17" s="7" t="s">
        <v>173</v>
      </c>
      <c r="D17" s="7" t="s">
        <v>208</v>
      </c>
      <c r="E17" s="15">
        <v>30431</v>
      </c>
      <c r="F17" s="7"/>
    </row>
    <row r="18" spans="1:6" x14ac:dyDescent="0.25">
      <c r="A18" s="7" t="s">
        <v>137</v>
      </c>
      <c r="B18" s="7" t="s">
        <v>138</v>
      </c>
      <c r="C18" s="7" t="s">
        <v>173</v>
      </c>
      <c r="D18" s="7" t="s">
        <v>209</v>
      </c>
      <c r="E18" s="15">
        <v>30449</v>
      </c>
      <c r="F18" s="7"/>
    </row>
    <row r="19" spans="1:6" x14ac:dyDescent="0.25">
      <c r="A19" s="7" t="s">
        <v>139</v>
      </c>
      <c r="B19" s="7" t="s">
        <v>7</v>
      </c>
      <c r="C19" s="7" t="s">
        <v>173</v>
      </c>
      <c r="D19" s="2" t="s">
        <v>210</v>
      </c>
      <c r="E19" s="17">
        <v>30372</v>
      </c>
      <c r="F19" s="7"/>
    </row>
    <row r="20" spans="1:6" x14ac:dyDescent="0.25">
      <c r="A20" s="7" t="s">
        <v>140</v>
      </c>
      <c r="B20" s="7" t="s">
        <v>141</v>
      </c>
      <c r="C20" s="7" t="s">
        <v>172</v>
      </c>
      <c r="D20" s="7"/>
      <c r="E20" s="7"/>
      <c r="F20" s="7"/>
    </row>
    <row r="21" spans="1:6" x14ac:dyDescent="0.25">
      <c r="A21" s="7" t="s">
        <v>142</v>
      </c>
      <c r="B21" s="7" t="s">
        <v>143</v>
      </c>
      <c r="C21" s="7" t="s">
        <v>172</v>
      </c>
      <c r="D21" s="2" t="s">
        <v>143</v>
      </c>
      <c r="E21" s="17">
        <v>17538</v>
      </c>
      <c r="F21" s="7"/>
    </row>
    <row r="22" spans="1:6" x14ac:dyDescent="0.25">
      <c r="A22" s="7" t="s">
        <v>144</v>
      </c>
      <c r="B22" s="7" t="s">
        <v>145</v>
      </c>
      <c r="C22" s="7" t="s">
        <v>173</v>
      </c>
      <c r="D22" s="7" t="s">
        <v>7</v>
      </c>
      <c r="E22" s="7"/>
      <c r="F22" s="7"/>
    </row>
    <row r="23" spans="1:6" x14ac:dyDescent="0.25">
      <c r="A23" s="7" t="s">
        <v>146</v>
      </c>
      <c r="B23" s="7" t="s">
        <v>147</v>
      </c>
      <c r="C23" s="7" t="s">
        <v>173</v>
      </c>
      <c r="D23" s="7" t="s">
        <v>226</v>
      </c>
      <c r="E23" s="15">
        <v>30662</v>
      </c>
      <c r="F23" s="7"/>
    </row>
    <row r="24" spans="1:6" x14ac:dyDescent="0.25">
      <c r="A24" s="7" t="s">
        <v>148</v>
      </c>
      <c r="B24" s="7" t="s">
        <v>149</v>
      </c>
      <c r="C24" s="7" t="s">
        <v>172</v>
      </c>
      <c r="D24" s="7" t="s">
        <v>149</v>
      </c>
      <c r="E24" s="15">
        <v>17557</v>
      </c>
      <c r="F24" s="7"/>
    </row>
    <row r="25" spans="1:6" x14ac:dyDescent="0.25">
      <c r="A25" s="7" t="s">
        <v>150</v>
      </c>
      <c r="B25" s="7" t="s">
        <v>151</v>
      </c>
      <c r="C25" s="7" t="s">
        <v>173</v>
      </c>
      <c r="D25" s="7" t="s">
        <v>225</v>
      </c>
      <c r="E25" s="15">
        <v>17556</v>
      </c>
      <c r="F25" s="7"/>
    </row>
    <row r="26" spans="1:6" x14ac:dyDescent="0.25">
      <c r="A26" s="7" t="s">
        <v>152</v>
      </c>
      <c r="B26" s="7" t="s">
        <v>145</v>
      </c>
      <c r="C26" s="7" t="s">
        <v>172</v>
      </c>
      <c r="D26" s="2" t="s">
        <v>145</v>
      </c>
      <c r="E26" s="17">
        <v>17537</v>
      </c>
      <c r="F26" s="7"/>
    </row>
    <row r="27" spans="1:6" x14ac:dyDescent="0.25">
      <c r="A27" s="7" t="s">
        <v>153</v>
      </c>
      <c r="B27" s="7" t="s">
        <v>7</v>
      </c>
      <c r="C27" s="7" t="s">
        <v>172</v>
      </c>
      <c r="D27" s="7"/>
      <c r="E27" s="7"/>
      <c r="F27" s="7"/>
    </row>
    <row r="28" spans="1:6" x14ac:dyDescent="0.25">
      <c r="A28" s="7" t="s">
        <v>154</v>
      </c>
      <c r="B28" s="7" t="s">
        <v>155</v>
      </c>
      <c r="C28" s="7" t="s">
        <v>172</v>
      </c>
      <c r="D28" s="7"/>
      <c r="E28" s="7"/>
      <c r="F28" s="7"/>
    </row>
    <row r="29" spans="1:6" x14ac:dyDescent="0.25">
      <c r="A29" s="7" t="s">
        <v>156</v>
      </c>
      <c r="B29" s="7" t="s">
        <v>157</v>
      </c>
      <c r="C29" s="7" t="s">
        <v>173</v>
      </c>
      <c r="D29" s="7" t="s">
        <v>211</v>
      </c>
      <c r="E29" s="15">
        <v>17554</v>
      </c>
      <c r="F29" s="7"/>
    </row>
    <row r="30" spans="1:6" x14ac:dyDescent="0.25">
      <c r="A30" s="7" t="s">
        <v>158</v>
      </c>
      <c r="B30" s="7" t="s">
        <v>159</v>
      </c>
      <c r="C30" s="7" t="s">
        <v>172</v>
      </c>
      <c r="D30" s="7" t="s">
        <v>159</v>
      </c>
      <c r="E30" s="15">
        <v>17528</v>
      </c>
      <c r="F30" s="7"/>
    </row>
    <row r="31" spans="1:6" x14ac:dyDescent="0.25">
      <c r="A31" s="7" t="s">
        <v>160</v>
      </c>
      <c r="B31" s="7" t="s">
        <v>161</v>
      </c>
      <c r="C31" s="7" t="s">
        <v>172</v>
      </c>
      <c r="D31" s="2" t="s">
        <v>161</v>
      </c>
      <c r="E31" s="17">
        <v>17536</v>
      </c>
      <c r="F31" s="7"/>
    </row>
    <row r="32" spans="1:6" x14ac:dyDescent="0.25">
      <c r="A32" s="7" t="s">
        <v>162</v>
      </c>
      <c r="B32" s="7" t="s">
        <v>163</v>
      </c>
      <c r="C32" s="7" t="s">
        <v>172</v>
      </c>
      <c r="D32" s="2" t="s">
        <v>163</v>
      </c>
      <c r="E32" s="17">
        <v>17541</v>
      </c>
      <c r="F32" s="7"/>
    </row>
    <row r="33" spans="1:6" x14ac:dyDescent="0.25">
      <c r="A33" s="7" t="s">
        <v>164</v>
      </c>
      <c r="B33" s="7" t="s">
        <v>165</v>
      </c>
      <c r="C33" s="7" t="s">
        <v>172</v>
      </c>
      <c r="D33" s="7"/>
      <c r="E33" s="7"/>
      <c r="F33" s="7"/>
    </row>
    <row r="34" spans="1:6" x14ac:dyDescent="0.25">
      <c r="A34" s="7" t="s">
        <v>166</v>
      </c>
      <c r="B34" s="7" t="s">
        <v>167</v>
      </c>
      <c r="C34" s="7" t="s">
        <v>172</v>
      </c>
      <c r="D34" s="7"/>
      <c r="E34" s="7"/>
      <c r="F34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/>
  </sheetViews>
  <sheetFormatPr defaultRowHeight="15" x14ac:dyDescent="0.25"/>
  <cols>
    <col min="1" max="1" width="43.28515625" customWidth="1"/>
    <col min="2" max="2" width="48.7109375" customWidth="1"/>
    <col min="3" max="3" width="10.5703125" customWidth="1"/>
    <col min="4" max="4" width="26.7109375" customWidth="1"/>
    <col min="6" max="6" width="35.85546875" bestFit="1" customWidth="1"/>
  </cols>
  <sheetData>
    <row r="1" spans="1:9" x14ac:dyDescent="0.25">
      <c r="A1" s="1" t="s">
        <v>0</v>
      </c>
      <c r="B1" s="1" t="s">
        <v>1</v>
      </c>
      <c r="C1" s="2" t="s">
        <v>168</v>
      </c>
      <c r="D1" s="2" t="s">
        <v>169</v>
      </c>
      <c r="E1" s="3" t="s">
        <v>170</v>
      </c>
      <c r="F1" s="2" t="s">
        <v>171</v>
      </c>
      <c r="H1" s="4" t="s">
        <v>172</v>
      </c>
      <c r="I1">
        <f>COUNTIF(C:C,$H1)</f>
        <v>0</v>
      </c>
    </row>
    <row r="2" spans="1:9" x14ac:dyDescent="0.25">
      <c r="A2" s="7" t="s">
        <v>61</v>
      </c>
      <c r="B2" s="7" t="s">
        <v>62</v>
      </c>
      <c r="C2" s="7"/>
      <c r="D2" s="7"/>
      <c r="E2" s="7"/>
      <c r="F2" s="13" t="s">
        <v>212</v>
      </c>
      <c r="H2" s="5" t="s">
        <v>173</v>
      </c>
      <c r="I2">
        <f>COUNTIF(C:C,$H2)</f>
        <v>0</v>
      </c>
    </row>
    <row r="3" spans="1:9" x14ac:dyDescent="0.25">
      <c r="A3" s="7" t="s">
        <v>63</v>
      </c>
      <c r="B3" s="7" t="s">
        <v>7</v>
      </c>
      <c r="C3" s="7"/>
      <c r="D3" s="7"/>
      <c r="E3" s="7"/>
      <c r="F3" s="7"/>
      <c r="I3" s="6" t="e">
        <f>I1/SUM(I1:I2)</f>
        <v>#DIV/0!</v>
      </c>
    </row>
    <row r="4" spans="1:9" x14ac:dyDescent="0.25">
      <c r="A4" s="7" t="s">
        <v>64</v>
      </c>
      <c r="B4" s="7" t="s">
        <v>7</v>
      </c>
      <c r="C4" s="7"/>
      <c r="D4" s="7"/>
      <c r="E4" s="7"/>
      <c r="F4" s="7"/>
    </row>
    <row r="5" spans="1:9" x14ac:dyDescent="0.25">
      <c r="A5" s="7" t="s">
        <v>65</v>
      </c>
      <c r="B5" s="7" t="s">
        <v>34</v>
      </c>
      <c r="C5" s="7"/>
      <c r="D5" s="7"/>
      <c r="E5" s="7"/>
      <c r="F5" s="7"/>
    </row>
    <row r="6" spans="1:9" x14ac:dyDescent="0.25">
      <c r="A6" s="7" t="s">
        <v>66</v>
      </c>
      <c r="B6" s="7" t="s">
        <v>7</v>
      </c>
      <c r="C6" s="7"/>
      <c r="D6" s="7"/>
      <c r="E6" s="7"/>
      <c r="F6" s="7"/>
    </row>
    <row r="7" spans="1:9" x14ac:dyDescent="0.25">
      <c r="A7" s="7" t="s">
        <v>67</v>
      </c>
      <c r="B7" s="7" t="s">
        <v>68</v>
      </c>
      <c r="C7" s="7"/>
      <c r="D7" s="7"/>
      <c r="E7" s="7"/>
      <c r="F7" s="7"/>
    </row>
    <row r="8" spans="1:9" x14ac:dyDescent="0.25">
      <c r="A8" s="7" t="s">
        <v>69</v>
      </c>
      <c r="B8" s="7" t="s">
        <v>7</v>
      </c>
      <c r="C8" s="7"/>
      <c r="D8" s="7"/>
      <c r="E8" s="7"/>
      <c r="F8" s="7"/>
    </row>
    <row r="9" spans="1:9" x14ac:dyDescent="0.25">
      <c r="A9" s="7" t="s">
        <v>70</v>
      </c>
      <c r="B9" s="7" t="s">
        <v>40</v>
      </c>
      <c r="C9" s="7"/>
      <c r="D9" s="7"/>
      <c r="E9" s="7"/>
      <c r="F9" s="7"/>
    </row>
    <row r="10" spans="1:9" x14ac:dyDescent="0.25">
      <c r="A10" s="7" t="s">
        <v>71</v>
      </c>
      <c r="B10" s="7" t="s">
        <v>72</v>
      </c>
      <c r="C10" s="7"/>
      <c r="D10" s="7"/>
      <c r="E10" s="7"/>
      <c r="F10" s="7"/>
    </row>
    <row r="11" spans="1:9" x14ac:dyDescent="0.25">
      <c r="A11" s="7" t="s">
        <v>73</v>
      </c>
      <c r="B11" s="7" t="s">
        <v>40</v>
      </c>
      <c r="C11" s="7"/>
      <c r="D11" s="7"/>
      <c r="E11" s="7"/>
      <c r="F11" s="7"/>
    </row>
    <row r="12" spans="1:9" x14ac:dyDescent="0.25">
      <c r="A12" s="7" t="s">
        <v>74</v>
      </c>
      <c r="B12" s="7" t="s">
        <v>40</v>
      </c>
      <c r="C12" s="7"/>
      <c r="D12" s="7"/>
      <c r="E12" s="7"/>
      <c r="F12" s="7"/>
    </row>
    <row r="13" spans="1:9" x14ac:dyDescent="0.25">
      <c r="A13" s="7" t="s">
        <v>75</v>
      </c>
      <c r="B13" s="7" t="s">
        <v>76</v>
      </c>
      <c r="C13" s="7"/>
      <c r="D13" s="7"/>
      <c r="E13" s="7"/>
      <c r="F13" s="7"/>
    </row>
    <row r="14" spans="1:9" x14ac:dyDescent="0.25">
      <c r="A14" s="7" t="s">
        <v>77</v>
      </c>
      <c r="B14" s="7" t="s">
        <v>7</v>
      </c>
      <c r="C14" s="7"/>
      <c r="D14" s="7"/>
      <c r="E14" s="7"/>
      <c r="F14" s="7"/>
    </row>
    <row r="15" spans="1:9" x14ac:dyDescent="0.25">
      <c r="A15" s="7" t="s">
        <v>78</v>
      </c>
      <c r="B15" s="7" t="s">
        <v>79</v>
      </c>
      <c r="C15" s="7"/>
      <c r="D15" s="7"/>
      <c r="E15" s="7"/>
      <c r="F15" s="7"/>
    </row>
    <row r="16" spans="1:9" x14ac:dyDescent="0.25">
      <c r="A16" s="7" t="s">
        <v>80</v>
      </c>
      <c r="B16" s="7" t="s">
        <v>72</v>
      </c>
      <c r="C16" s="7"/>
      <c r="D16" s="7"/>
      <c r="E16" s="7"/>
      <c r="F16" s="7"/>
    </row>
    <row r="17" spans="1:6" x14ac:dyDescent="0.25">
      <c r="A17" s="7" t="s">
        <v>81</v>
      </c>
      <c r="B17" s="7" t="s">
        <v>68</v>
      </c>
      <c r="C17" s="7"/>
      <c r="D17" s="7"/>
      <c r="E17" s="7"/>
      <c r="F17" s="7"/>
    </row>
    <row r="18" spans="1:6" x14ac:dyDescent="0.25">
      <c r="A18" s="7" t="s">
        <v>82</v>
      </c>
      <c r="B18" s="7" t="s">
        <v>7</v>
      </c>
      <c r="C18" s="7"/>
      <c r="D18" s="7"/>
      <c r="E18" s="7"/>
      <c r="F18" s="7"/>
    </row>
    <row r="19" spans="1:6" x14ac:dyDescent="0.25">
      <c r="A19" s="7" t="s">
        <v>83</v>
      </c>
      <c r="B19" s="7" t="s">
        <v>17</v>
      </c>
      <c r="C19" s="7"/>
      <c r="D19" s="7"/>
      <c r="E19" s="7"/>
      <c r="F19" s="7"/>
    </row>
    <row r="20" spans="1:6" x14ac:dyDescent="0.25">
      <c r="A20" s="7" t="s">
        <v>84</v>
      </c>
      <c r="B20" s="7" t="s">
        <v>19</v>
      </c>
      <c r="C20" s="7"/>
      <c r="D20" s="7"/>
      <c r="E20" s="7"/>
      <c r="F20" s="7"/>
    </row>
    <row r="21" spans="1:6" x14ac:dyDescent="0.25">
      <c r="A21" s="7" t="s">
        <v>85</v>
      </c>
      <c r="B21" s="7" t="s">
        <v>86</v>
      </c>
      <c r="C21" s="7"/>
      <c r="D21" s="7"/>
      <c r="E21" s="7"/>
      <c r="F21" s="7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 Profit &amp; Loss</vt:lpstr>
      <vt:lpstr>Standalone Balance Sheet</vt:lpstr>
      <vt:lpstr>Standalone Cash Flow</vt:lpstr>
      <vt:lpstr>Segment Finance - Standalone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Ghanwat</cp:lastModifiedBy>
  <dcterms:created xsi:type="dcterms:W3CDTF">2026-06-03T07:32:34Z</dcterms:created>
  <dcterms:modified xsi:type="dcterms:W3CDTF">2026-06-09T03:08:02Z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2026-06-04T09:44:11Z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ad0ca273-5b7e-45a3-a97b-1ff4e14e29ba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