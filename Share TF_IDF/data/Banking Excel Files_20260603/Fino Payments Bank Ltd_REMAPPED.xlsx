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AB38465F-593D-4741-8A97-79D783E38C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Standalone Balance Sheet" sheetId="1" r:id="rId2"/>
    <sheet name="Standalone Cash Flow" sheetId="3" r:id="rId3"/>
    <sheet name="Segment Result_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3"/>
  <c r="I1" i="3"/>
  <c r="I2" i="1"/>
  <c r="I1" i="1"/>
  <c r="I3" i="1" s="1"/>
  <c r="I2" i="4"/>
  <c r="I1" i="4"/>
  <c r="I3" i="2" l="1"/>
  <c r="I3" i="3"/>
  <c r="I3" i="4"/>
</calcChain>
</file>

<file path=xl/sharedStrings.xml><?xml version="1.0" encoding="utf-8"?>
<sst xmlns="http://schemas.openxmlformats.org/spreadsheetml/2006/main" count="494" uniqueCount="223">
  <si>
    <t>Particulars</t>
  </si>
  <si>
    <t>Cogencis Field</t>
  </si>
  <si>
    <t>Capital</t>
  </si>
  <si>
    <t>Share Capital</t>
  </si>
  <si>
    <t>Employees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</si>
  <si>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</si>
  <si>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</si>
  <si>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</si>
  <si>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</si>
  <si>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</si>
  <si>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</si>
  <si>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</si>
  <si>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</si>
  <si>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</si>
  <si>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</si>
  <si>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</si>
  <si>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Lable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</si>
  <si>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</si>
  <si>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</si>
  <si>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</si>
  <si>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</si>
  <si>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</si>
  <si>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</si>
  <si>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</si>
  <si>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</si>
  <si>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</si>
  <si>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</si>
  <si>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Segment Revenue</t>
  </si>
  <si>
    <t>Total Non-Current Assets</t>
  </si>
  <si>
    <t>Corporate/ Wholesale Banking</t>
  </si>
  <si>
    <t>Retail Banking</t>
  </si>
  <si>
    <t>Treasury</t>
  </si>
  <si>
    <t>Other Banking Operations</t>
  </si>
  <si>
    <t>Bank balance other than cash and cash equivalents</t>
  </si>
  <si>
    <t>Unallocated</t>
  </si>
  <si>
    <t>Total [ Itemsto ]</t>
  </si>
  <si>
    <t>Less : Inter Segment Revenue</t>
  </si>
  <si>
    <t>Trade Payables</t>
  </si>
  <si>
    <t>Total Income</t>
  </si>
  <si>
    <t>Segment Results(Profit/ Loss before tax )</t>
  </si>
  <si>
    <t>Current Tax Liabilities (Net)</t>
  </si>
  <si>
    <t>Less : Interest</t>
  </si>
  <si>
    <t>Minority Interest</t>
  </si>
  <si>
    <t>Other Un - allocable Expenditure net off</t>
  </si>
  <si>
    <t>- allocable income</t>
  </si>
  <si>
    <t>Total Profit Before Tax</t>
  </si>
  <si>
    <t>Segment Assets</t>
  </si>
  <si>
    <t>Corporate / Wholesale Banking</t>
  </si>
  <si>
    <t>Segment Liabilities</t>
  </si>
  <si>
    <t>NOVAL</t>
  </si>
  <si>
    <t>Total Capital &amp; Reserves</t>
  </si>
  <si>
    <t>Net Profit/(Loss ) before tax</t>
  </si>
  <si>
    <t>Net Profit Before Tax And Exceptional Item</t>
  </si>
  <si>
    <t>Adjustments for:-</t>
  </si>
  <si>
    <t>Loss / ( Profit ) on Sale of Fixed Assets ( Net )</t>
  </si>
  <si>
    <t>Profit On Sale Of Fixed Assets</t>
  </si>
  <si>
    <t>Loss / ( Profit ) on Exchange Transactions ( Net )</t>
  </si>
  <si>
    <t>Foreign Exchange Gain / Loss</t>
  </si>
  <si>
    <t>Loss / ( Profit ) on Sale of Investment ( Net )</t>
  </si>
  <si>
    <t>Add : Non - Cash Expenditure</t>
  </si>
  <si>
    <t>Depreciation on Fixed Assets</t>
  </si>
  <si>
    <t>Depreciation and Amortisation Expense</t>
  </si>
  <si>
    <t>Employee stock option expense</t>
  </si>
  <si>
    <t>Employees Stock Options Grants</t>
  </si>
  <si>
    <t>Amortisation of Premium on HTM Investments</t>
  </si>
  <si>
    <t>Amortisation of Premium on AFS Investments</t>
  </si>
  <si>
    <t>Gratuity</t>
  </si>
  <si>
    <t>Others-Before Working Capital Changes</t>
  </si>
  <si>
    <t>Compensated absences</t>
  </si>
  <si>
    <t>Net Cash From Operating Activities Before EOI</t>
  </si>
  <si>
    <t>Cash Flow before working capital changes</t>
  </si>
  <si>
    <t>Operating Profit Before Working Capital Changes</t>
  </si>
  <si>
    <t>Adjustments for working capital changes:-</t>
  </si>
  <si>
    <t>Increase/(decrease ) in deposits</t>
  </si>
  <si>
    <t>Fixed Deposits</t>
  </si>
  <si>
    <t>(Increase)/decrease in advances</t>
  </si>
  <si>
    <t>Loans And Advances</t>
  </si>
  <si>
    <t>Increase/(decrease ) in other liabilities and provisions</t>
  </si>
  <si>
    <t>Other Current and Non Current Liabilities</t>
  </si>
  <si>
    <t>(Increase)/decrease in investments</t>
  </si>
  <si>
    <t>Purchase Of Investments</t>
  </si>
  <si>
    <t>(Increase)/decrease in other assets</t>
  </si>
  <si>
    <t>Other Current and Non Current Assets</t>
  </si>
  <si>
    <t>Cash Generated from operations</t>
  </si>
  <si>
    <t>Cash Generated From Operations</t>
  </si>
  <si>
    <t>Direct tax ( paid)/received ( net of refunds )</t>
  </si>
  <si>
    <t>Income Tax Paid</t>
  </si>
  <si>
    <t>Net Cash Flow from / ( used in ) operating activities</t>
  </si>
  <si>
    <t>Net Cash Flow From Operating Activities</t>
  </si>
  <si>
    <t>Cash Flow from / ( used in ) investing activities</t>
  </si>
  <si>
    <t>Purchase of Fixed Asset ( including capital work in progress )</t>
  </si>
  <si>
    <t>Purchase Of Fixed Assets (Tangible / Intangible)</t>
  </si>
  <si>
    <t>Proceeds from sale of Fixed assets</t>
  </si>
  <si>
    <t>Sale Of Fixed Assets (Tangible / Intangible)</t>
  </si>
  <si>
    <t>Net Cash flow from / ( used in ) Investing activities</t>
  </si>
  <si>
    <t>Net Cash Flow From Investing Activities</t>
  </si>
  <si>
    <t>Cash Flow from / ( used in ) financing activities</t>
  </si>
  <si>
    <t>Net Proceeds from issue of equity shares</t>
  </si>
  <si>
    <t>Proceeds From Issue Of Equity Shares (Inclu Share Premium)</t>
  </si>
  <si>
    <t>Net Proceeds/ ( repayments ) from borrowings</t>
  </si>
  <si>
    <t>Proceeds From Long Term Borrowings</t>
  </si>
  <si>
    <t>Net cash from / ( used in ) financing activities</t>
  </si>
  <si>
    <t>Net Cash Flow From Financing Activities</t>
  </si>
  <si>
    <t>Net ( decrease)/increase in cash and cash equivalents during the Year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</si>
  <si>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</si>
  <si>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</si>
  <si>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</si>
  <si>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</si>
  <si>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</si>
  <si>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Interest/ discount on advances/ bills</t>
  </si>
  <si>
    <t>Interest Service Coverage ratio (%)</t>
  </si>
  <si>
    <t>Income on investments</t>
  </si>
  <si>
    <t>Interest Income</t>
  </si>
  <si>
    <t>Interest on balances with Reserve Bank of India and other inter-bank funds</t>
  </si>
  <si>
    <t>Others</t>
  </si>
  <si>
    <t>Gross Sales/Income from Operations</t>
  </si>
  <si>
    <t>Other Income</t>
  </si>
  <si>
    <t>Miscellaneous Income</t>
  </si>
  <si>
    <t>Total lncome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</si>
  <si>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</si>
  <si>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</si>
  <si>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</si>
  <si>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</si>
  <si>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</si>
  <si>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</si>
  <si>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</si>
  <si>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</si>
  <si>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</si>
  <si>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</si>
  <si>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</si>
  <si>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</si>
  <si>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</si>
  <si>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Profit(+)/ Loss(-) from Ordinary Activities before tax</t>
  </si>
  <si>
    <t>Profit/(Loss) From Ordinary Activities before Tax</t>
  </si>
  <si>
    <t>Tax expense</t>
  </si>
  <si>
    <t>Net Profit(+)/ Loss(-) from Ordinary Activities after tax</t>
  </si>
  <si>
    <t>Net Profit/(Loss) for the Period</t>
  </si>
  <si>
    <t>Extraordinary items (net of tax expense)</t>
  </si>
  <si>
    <t>Net Profit(+)/ Loss(-) for the period</t>
  </si>
  <si>
    <t>Paid-up equity share capital (Face Value of  10/-each)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</si>
  <si>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</si>
  <si>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</si>
  <si>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</si>
  <si>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</t>
  </si>
  <si>
    <t>Items that will be reclassified to Profit or Loss</t>
  </si>
  <si>
    <t>Percentage of shares held by Government of India</t>
  </si>
  <si>
    <t>Capital Adequacy Ratio(%)</t>
  </si>
  <si>
    <t>b. Percentage of shareholding</t>
  </si>
  <si>
    <t xml:space="preserve">Earning per share (EPS) </t>
  </si>
  <si>
    <t xml:space="preserve">Basic EPS before and after extraordinary items, net of tax expense (not annualised) </t>
  </si>
  <si>
    <t>Total Comprehensive Gain (Loss) For the Year</t>
  </si>
  <si>
    <t xml:space="preserve">Diluted EPS before and after extraordinary items, net of tax expense (not annualised) </t>
  </si>
  <si>
    <t>Diluted EPS</t>
  </si>
  <si>
    <t>NPA Ratios</t>
  </si>
  <si>
    <t>Return on Assets% (Average) (Not annualised)</t>
  </si>
  <si>
    <t>Net Worth</t>
  </si>
  <si>
    <t>Outstanding redeemable preference shares</t>
  </si>
  <si>
    <t>Capital Redemption Reserve</t>
  </si>
  <si>
    <t>Debt· equity ratio</t>
  </si>
  <si>
    <t>Total debts to Total Assets</t>
  </si>
  <si>
    <t>Total Field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</si>
  <si>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</si>
  <si>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</si>
  <si>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</si>
  <si>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</si>
  <si>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</si>
  <si>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</si>
  <si>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</si>
  <si>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</si>
  <si>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</si>
  <si>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</si>
  <si>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</si>
  <si>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</si>
  <si>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</si>
  <si>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</si>
  <si>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</si>
  <si>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</si>
  <si>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</si>
  <si>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Tax Expense</t>
  </si>
  <si>
    <t>Net Profit/(Loss) from Ordinary Activities after Tax</t>
  </si>
  <si>
    <t>Percentage of Shares Held by GOI</t>
  </si>
  <si>
    <t>BASEL - III Capital Adequacy (CRAR) (%)</t>
  </si>
  <si>
    <t>% of Net NPA</t>
  </si>
  <si>
    <t>Return on Assets</t>
  </si>
  <si>
    <t>Ignore This Filed</t>
  </si>
  <si>
    <t>Debt Equity Ratio (%)</t>
  </si>
  <si>
    <t>Employees Stock Options Outstanding</t>
  </si>
  <si>
    <t>Reserves And Surplus</t>
  </si>
  <si>
    <t>Other Liabilities And Provisions</t>
  </si>
  <si>
    <t>Fixed Assets</t>
  </si>
  <si>
    <t>Profit On Sale Of Investments</t>
  </si>
  <si>
    <t>Provision For Gratuity,Leave Encashment And Pensions</t>
  </si>
  <si>
    <t>Miscellaneous Expenditure Written Off</t>
  </si>
  <si>
    <t>Increase/Decrease In Deposits</t>
  </si>
  <si>
    <t>Increase/Decrease In Advances</t>
  </si>
  <si>
    <t>Increase/Decrease In Other Liablities &amp; Provisions</t>
  </si>
  <si>
    <t>Increase/Decrease In Investments</t>
  </si>
  <si>
    <t>Increase/Decrease In Other Assets</t>
  </si>
  <si>
    <t>Purchase Of Fixed Assets</t>
  </si>
  <si>
    <t>Sale Of Fixed Assets</t>
  </si>
  <si>
    <t>Depreciation</t>
  </si>
  <si>
    <t>Amortisation</t>
  </si>
  <si>
    <t>Unallocated Income (Expenses)</t>
  </si>
  <si>
    <t>Less: Inter Segment Revenue</t>
  </si>
  <si>
    <t xml:space="preserve">Calculated Field </t>
  </si>
  <si>
    <t>Total Segment Revenue</t>
  </si>
  <si>
    <t>Segment Results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</si>
  <si>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</si>
  <si>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</si>
  <si>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</si>
  <si>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</si>
  <si>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</si>
  <si>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Interest Expenses</t>
  </si>
  <si>
    <t>Total Assets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</si>
  <si>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</si>
  <si>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</si>
  <si>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</si>
  <si>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 /Basic EPS</t>
  </si>
  <si>
    <t>222 /221</t>
  </si>
  <si>
    <t>Diluted EPS /Diluted EPS</t>
  </si>
  <si>
    <t>234 / 233</t>
  </si>
  <si>
    <t>Product Name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</si>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</sst>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3" fillId="0" borderId="1" xfId="0" applyFont="1" applyBorder="1" applyAlignment="1">
      <alignment horizontal="center"/>
    </xf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/>
    <xf numFmtId="2" fontId="0" fillId="0" borderId="1" xfId="0" applyNumberFormat="1" applyBorder="1"/>
    <xf numFmtId="0" fontId="0" fillId="2" borderId="1" xfId="0" applyFill="1" applyBorder="1"/>
    <xf numFmtId="44" fontId="0" fillId="0" borderId="1" xfId="0" applyNumberFormat="1" applyBorder="1"/>
    <xf numFmtId="0" fontId="2" fillId="2" borderId="1" xfId="0" applyFont="1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abSelected="1" workbookViewId="0"/>
  </sheetViews>
  <sheetFormatPr defaultRowHeight="15" x14ac:dyDescent="0.25"/>
  <cols>
    <col min="1" max="1" width="49.42578125" customWidth="1"/>
    <col min="2" max="2" width="41.28515625" customWidth="1"/>
    <col min="3" max="3" width="8.85546875" bestFit="1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COUNTIF(C1:C43,"correct")</f>
        <v>10</v>
      </c>
    </row>
    <row r="2" spans="1:9" x14ac:dyDescent="0.25">
      <c r="A2" s="16" t="s">
        <v>167</v>
      </c>
      <c r="B2" s="8"/>
      <c r="C2" s="4" t="s">
        <v>166</v>
      </c>
      <c r="D2" s="9" t="s">
        <v>173</v>
      </c>
      <c r="E2" s="4"/>
      <c r="F2" s="4" t="s">
        <v>214</v>
      </c>
      <c r="G2" s="7" t="s">
        <v>169</v>
      </c>
      <c r="H2" s="2" t="s">
        <v>166</v>
      </c>
      <c r="I2" s="4">
        <f>COUNTIF(C3:C43,"Incorrect")</f>
        <v>24</v>
      </c>
    </row>
    <row r="3" spans="1:9" x14ac:dyDescent="0.25">
      <c r="A3" s="4" t="s">
        <v>109</v>
      </c>
      <c r="B3" s="4" t="s">
        <v>110</v>
      </c>
      <c r="C3" s="4" t="s">
        <v>166</v>
      </c>
      <c r="D3" s="10" t="s">
        <v>170</v>
      </c>
      <c r="E3" s="11">
        <v>259</v>
      </c>
      <c r="F3" s="4"/>
      <c r="H3" s="4"/>
      <c r="I3" s="5">
        <f>I1/SUM(I1:I2)</f>
        <v>0.29411764705882354</v>
      </c>
    </row>
    <row r="4" spans="1:9" x14ac:dyDescent="0.25">
      <c r="A4" s="4" t="s">
        <v>111</v>
      </c>
      <c r="B4" s="4" t="s">
        <v>112</v>
      </c>
      <c r="C4" s="4" t="s">
        <v>166</v>
      </c>
      <c r="D4" s="10" t="s">
        <v>171</v>
      </c>
      <c r="E4" s="11">
        <v>257</v>
      </c>
      <c r="F4" s="4"/>
    </row>
    <row r="5" spans="1:9" x14ac:dyDescent="0.25">
      <c r="A5" s="4" t="s">
        <v>113</v>
      </c>
      <c r="B5" s="4" t="s">
        <v>16</v>
      </c>
      <c r="C5" s="4" t="s">
        <v>166</v>
      </c>
      <c r="D5" s="10" t="s">
        <v>172</v>
      </c>
      <c r="E5" s="11">
        <v>261</v>
      </c>
      <c r="F5" s="4"/>
    </row>
    <row r="6" spans="1:9" x14ac:dyDescent="0.25">
      <c r="A6" s="4" t="s">
        <v>114</v>
      </c>
      <c r="B6" s="4" t="s">
        <v>115</v>
      </c>
      <c r="C6" s="4" t="s">
        <v>166</v>
      </c>
      <c r="D6" s="10" t="s">
        <v>114</v>
      </c>
      <c r="E6" s="11">
        <v>280</v>
      </c>
      <c r="F6" s="4"/>
    </row>
    <row r="7" spans="1:9" x14ac:dyDescent="0.25">
      <c r="A7" s="4" t="s">
        <v>116</v>
      </c>
      <c r="B7" s="4" t="s">
        <v>117</v>
      </c>
      <c r="C7" s="4" t="s">
        <v>165</v>
      </c>
      <c r="D7" s="4"/>
      <c r="E7" s="4"/>
      <c r="F7" s="4"/>
    </row>
    <row r="8" spans="1:9" x14ac:dyDescent="0.25">
      <c r="A8" s="4" t="s">
        <v>118</v>
      </c>
      <c r="B8" s="4" t="s">
        <v>38</v>
      </c>
      <c r="C8" s="4" t="s">
        <v>165</v>
      </c>
      <c r="D8" s="14" t="s">
        <v>215</v>
      </c>
      <c r="E8" s="15">
        <v>266</v>
      </c>
      <c r="F8" s="4"/>
    </row>
    <row r="9" spans="1:9" x14ac:dyDescent="0.25">
      <c r="A9" s="4" t="s">
        <v>119</v>
      </c>
      <c r="B9" s="4" t="s">
        <v>120</v>
      </c>
      <c r="C9" s="10" t="s">
        <v>166</v>
      </c>
      <c r="D9" s="10" t="s">
        <v>119</v>
      </c>
      <c r="E9" s="11">
        <v>246</v>
      </c>
      <c r="F9" s="4"/>
    </row>
    <row r="10" spans="1:9" x14ac:dyDescent="0.25">
      <c r="A10" s="4" t="s">
        <v>121</v>
      </c>
      <c r="B10" s="4" t="s">
        <v>121</v>
      </c>
      <c r="C10" s="10" t="s">
        <v>166</v>
      </c>
      <c r="D10" s="12" t="s">
        <v>173</v>
      </c>
      <c r="E10" s="4"/>
      <c r="F10" s="4" t="s">
        <v>216</v>
      </c>
    </row>
    <row r="11" spans="1:9" x14ac:dyDescent="0.25">
      <c r="A11" s="4" t="s">
        <v>122</v>
      </c>
      <c r="B11" s="4" t="s">
        <v>123</v>
      </c>
      <c r="C11" s="4" t="s">
        <v>166</v>
      </c>
      <c r="D11" s="10" t="s">
        <v>174</v>
      </c>
      <c r="E11" s="11">
        <v>238</v>
      </c>
      <c r="F11" s="4"/>
    </row>
    <row r="12" spans="1:9" x14ac:dyDescent="0.25">
      <c r="A12" s="4" t="s">
        <v>124</v>
      </c>
      <c r="B12" s="4" t="s">
        <v>121</v>
      </c>
      <c r="C12" s="4" t="s">
        <v>166</v>
      </c>
      <c r="D12" s="10" t="s">
        <v>175</v>
      </c>
      <c r="E12" s="11">
        <v>279</v>
      </c>
      <c r="F12" s="4"/>
    </row>
    <row r="13" spans="1:9" x14ac:dyDescent="0.25">
      <c r="A13" s="4" t="s">
        <v>125</v>
      </c>
      <c r="B13" s="4" t="s">
        <v>126</v>
      </c>
      <c r="C13" s="4" t="s">
        <v>166</v>
      </c>
      <c r="D13" s="14" t="s">
        <v>173</v>
      </c>
      <c r="E13" s="13"/>
      <c r="F13" s="4"/>
    </row>
    <row r="14" spans="1:9" x14ac:dyDescent="0.25">
      <c r="A14" s="4" t="s">
        <v>127</v>
      </c>
      <c r="B14" s="4" t="s">
        <v>126</v>
      </c>
      <c r="C14" s="4" t="s">
        <v>166</v>
      </c>
      <c r="D14" s="14" t="s">
        <v>176</v>
      </c>
      <c r="E14" s="15">
        <v>277</v>
      </c>
      <c r="F14" s="4"/>
    </row>
    <row r="15" spans="1:9" x14ac:dyDescent="0.25">
      <c r="A15" s="4" t="s">
        <v>128</v>
      </c>
      <c r="B15" s="4" t="s">
        <v>129</v>
      </c>
      <c r="C15" s="4" t="s">
        <v>166</v>
      </c>
      <c r="D15" s="10" t="s">
        <v>177</v>
      </c>
      <c r="E15" s="11">
        <v>303</v>
      </c>
      <c r="F15" s="4"/>
    </row>
    <row r="16" spans="1:9" x14ac:dyDescent="0.25">
      <c r="A16" s="4" t="s">
        <v>130</v>
      </c>
      <c r="B16" s="4" t="s">
        <v>131</v>
      </c>
      <c r="C16" s="4" t="s">
        <v>165</v>
      </c>
      <c r="D16" s="4"/>
      <c r="E16" s="4"/>
      <c r="F16" s="4"/>
    </row>
    <row r="17" spans="1:6" x14ac:dyDescent="0.25">
      <c r="A17" s="4" t="s">
        <v>132</v>
      </c>
      <c r="B17" s="4" t="s">
        <v>133</v>
      </c>
      <c r="C17" s="4" t="s">
        <v>165</v>
      </c>
      <c r="D17" s="4"/>
      <c r="E17" s="4"/>
      <c r="F17" s="4"/>
    </row>
    <row r="18" spans="1:6" x14ac:dyDescent="0.25">
      <c r="A18" s="4" t="s">
        <v>134</v>
      </c>
      <c r="B18" s="4" t="s">
        <v>16</v>
      </c>
      <c r="C18" s="4" t="s">
        <v>166</v>
      </c>
      <c r="D18" s="10" t="s">
        <v>178</v>
      </c>
      <c r="E18" s="11">
        <v>318</v>
      </c>
      <c r="F18" s="4"/>
    </row>
    <row r="19" spans="1:6" x14ac:dyDescent="0.25">
      <c r="A19" s="4" t="s">
        <v>135</v>
      </c>
      <c r="B19" s="4" t="s">
        <v>136</v>
      </c>
      <c r="C19" s="4" t="s">
        <v>166</v>
      </c>
      <c r="D19" s="14" t="s">
        <v>179</v>
      </c>
      <c r="E19" s="15">
        <v>270</v>
      </c>
      <c r="F19" s="4"/>
    </row>
    <row r="20" spans="1:6" x14ac:dyDescent="0.25">
      <c r="A20" s="4" t="s">
        <v>137</v>
      </c>
      <c r="B20" s="4" t="s">
        <v>120</v>
      </c>
      <c r="C20" s="4" t="s">
        <v>165</v>
      </c>
      <c r="D20" s="4"/>
      <c r="E20" s="4"/>
      <c r="F20" s="4"/>
    </row>
    <row r="21" spans="1:6" x14ac:dyDescent="0.25">
      <c r="A21" s="4" t="s">
        <v>138</v>
      </c>
      <c r="B21" s="4" t="s">
        <v>136</v>
      </c>
      <c r="C21" s="4" t="s">
        <v>165</v>
      </c>
      <c r="D21" s="4"/>
      <c r="E21" s="4"/>
      <c r="F21" s="4"/>
    </row>
    <row r="22" spans="1:6" x14ac:dyDescent="0.25">
      <c r="A22" s="4" t="s">
        <v>139</v>
      </c>
      <c r="B22" s="4" t="s">
        <v>140</v>
      </c>
      <c r="C22" s="4" t="s">
        <v>165</v>
      </c>
      <c r="D22" s="4"/>
      <c r="E22" s="4"/>
      <c r="F22" s="4"/>
    </row>
    <row r="23" spans="1:6" x14ac:dyDescent="0.25">
      <c r="A23" s="4" t="s">
        <v>141</v>
      </c>
      <c r="B23" s="4" t="s">
        <v>142</v>
      </c>
      <c r="C23" s="4" t="s">
        <v>165</v>
      </c>
      <c r="D23" s="4"/>
      <c r="E23" s="4"/>
      <c r="F23" s="4"/>
    </row>
    <row r="24" spans="1:6" x14ac:dyDescent="0.25">
      <c r="A24" s="4" t="s">
        <v>143</v>
      </c>
      <c r="B24" s="4" t="s">
        <v>144</v>
      </c>
      <c r="C24" s="4" t="s">
        <v>166</v>
      </c>
      <c r="D24" s="4" t="s">
        <v>168</v>
      </c>
      <c r="E24" s="4"/>
      <c r="F24" s="4"/>
    </row>
    <row r="25" spans="1:6" x14ac:dyDescent="0.25">
      <c r="A25" s="4" t="s">
        <v>145</v>
      </c>
      <c r="B25" s="4" t="s">
        <v>16</v>
      </c>
      <c r="C25" s="4" t="s">
        <v>166</v>
      </c>
      <c r="D25" s="10" t="s">
        <v>180</v>
      </c>
      <c r="E25" s="11">
        <v>290</v>
      </c>
      <c r="F25" s="4"/>
    </row>
    <row r="26" spans="1:6" x14ac:dyDescent="0.25">
      <c r="A26" s="4" t="s">
        <v>146</v>
      </c>
      <c r="B26" s="4" t="s">
        <v>147</v>
      </c>
      <c r="C26" s="4" t="s">
        <v>166</v>
      </c>
      <c r="D26" s="10" t="s">
        <v>181</v>
      </c>
      <c r="E26" s="11">
        <v>220</v>
      </c>
      <c r="F26" s="4"/>
    </row>
    <row r="27" spans="1:6" x14ac:dyDescent="0.25">
      <c r="A27" s="4" t="s">
        <v>148</v>
      </c>
      <c r="B27" s="4" t="s">
        <v>16</v>
      </c>
      <c r="C27" s="4" t="s">
        <v>165</v>
      </c>
      <c r="D27" s="4"/>
      <c r="E27" s="4"/>
      <c r="F27" s="4"/>
    </row>
    <row r="28" spans="1:6" x14ac:dyDescent="0.25">
      <c r="A28" s="4" t="s">
        <v>149</v>
      </c>
      <c r="B28" s="4" t="s">
        <v>150</v>
      </c>
      <c r="C28" s="4" t="s">
        <v>166</v>
      </c>
      <c r="D28" s="4" t="s">
        <v>217</v>
      </c>
      <c r="E28" s="4" t="s">
        <v>218</v>
      </c>
      <c r="F28" s="4"/>
    </row>
    <row r="29" spans="1:6" x14ac:dyDescent="0.25">
      <c r="A29" s="4" t="s">
        <v>151</v>
      </c>
      <c r="B29" s="4" t="s">
        <v>152</v>
      </c>
      <c r="C29" s="4" t="s">
        <v>165</v>
      </c>
      <c r="D29" s="4" t="s">
        <v>219</v>
      </c>
      <c r="E29" s="4" t="s">
        <v>220</v>
      </c>
      <c r="F29" s="4"/>
    </row>
    <row r="30" spans="1:6" x14ac:dyDescent="0.25">
      <c r="A30" s="4" t="s">
        <v>153</v>
      </c>
      <c r="B30" s="4" t="s">
        <v>42</v>
      </c>
      <c r="C30" s="4" t="s">
        <v>166</v>
      </c>
      <c r="D30" s="10" t="s">
        <v>182</v>
      </c>
      <c r="E30" s="11">
        <v>284</v>
      </c>
      <c r="F30" s="4"/>
    </row>
    <row r="31" spans="1:6" x14ac:dyDescent="0.25">
      <c r="A31" s="4" t="s">
        <v>154</v>
      </c>
      <c r="B31" s="4" t="s">
        <v>16</v>
      </c>
      <c r="C31" s="4" t="s">
        <v>166</v>
      </c>
      <c r="D31" s="10" t="s">
        <v>183</v>
      </c>
      <c r="E31" s="11">
        <v>312</v>
      </c>
      <c r="F31" s="4"/>
    </row>
    <row r="32" spans="1:6" x14ac:dyDescent="0.25">
      <c r="A32" s="4" t="s">
        <v>155</v>
      </c>
      <c r="B32" s="4" t="s">
        <v>112</v>
      </c>
      <c r="C32" s="4" t="s">
        <v>166</v>
      </c>
      <c r="D32" s="4"/>
      <c r="E32" s="4"/>
      <c r="F32" s="12" t="s">
        <v>184</v>
      </c>
    </row>
    <row r="33" spans="1:6" x14ac:dyDescent="0.25">
      <c r="A33" s="4" t="s">
        <v>156</v>
      </c>
      <c r="B33" s="4" t="s">
        <v>16</v>
      </c>
      <c r="C33" s="4" t="s">
        <v>166</v>
      </c>
      <c r="D33" s="4"/>
      <c r="E33" s="4"/>
      <c r="F33" s="12" t="s">
        <v>184</v>
      </c>
    </row>
    <row r="34" spans="1:6" x14ac:dyDescent="0.25">
      <c r="A34" s="4" t="s">
        <v>157</v>
      </c>
      <c r="B34" s="4" t="s">
        <v>140</v>
      </c>
      <c r="C34" s="4" t="s">
        <v>166</v>
      </c>
      <c r="D34" s="4"/>
      <c r="E34" s="4"/>
      <c r="F34" s="12" t="s">
        <v>184</v>
      </c>
    </row>
    <row r="35" spans="1:6" x14ac:dyDescent="0.25">
      <c r="A35" s="4" t="s">
        <v>158</v>
      </c>
      <c r="B35" s="4" t="s">
        <v>16</v>
      </c>
      <c r="C35" s="4" t="s">
        <v>166</v>
      </c>
      <c r="D35" s="10" t="s">
        <v>185</v>
      </c>
      <c r="E35" s="11">
        <v>24697</v>
      </c>
      <c r="F35" s="4"/>
    </row>
    <row r="36" spans="1:6" x14ac:dyDescent="0.25">
      <c r="A36" s="4" t="s">
        <v>159</v>
      </c>
      <c r="B36" s="4" t="s">
        <v>160</v>
      </c>
      <c r="C36" s="4" t="s">
        <v>166</v>
      </c>
      <c r="D36" s="4"/>
      <c r="E36" s="4"/>
      <c r="F36" s="12" t="s">
        <v>184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COUNTIF(C1:C46,"correct")</f>
        <v>4</v>
      </c>
    </row>
    <row r="2" spans="1:9" x14ac:dyDescent="0.25">
      <c r="A2" s="4" t="s">
        <v>2</v>
      </c>
      <c r="B2" s="4" t="s">
        <v>3</v>
      </c>
      <c r="C2" s="4" t="s">
        <v>165</v>
      </c>
      <c r="D2" s="4"/>
      <c r="E2" s="4"/>
      <c r="F2" s="4"/>
      <c r="H2" s="2" t="s">
        <v>166</v>
      </c>
      <c r="I2" s="4">
        <f>COUNTIF(C2:C46,"Incorrect")</f>
        <v>11</v>
      </c>
    </row>
    <row r="3" spans="1:9" x14ac:dyDescent="0.25">
      <c r="A3" s="4" t="s">
        <v>4</v>
      </c>
      <c r="B3" s="4" t="s">
        <v>5</v>
      </c>
      <c r="C3" s="4" t="s">
        <v>166</v>
      </c>
      <c r="D3" s="4" t="s">
        <v>186</v>
      </c>
      <c r="E3" s="11">
        <v>13729</v>
      </c>
      <c r="F3" s="4"/>
      <c r="H3" s="4"/>
      <c r="I3" s="5">
        <f>I1/SUM(I1:I2)</f>
        <v>0.26666666666666666</v>
      </c>
    </row>
    <row r="4" spans="1:9" x14ac:dyDescent="0.25">
      <c r="A4" s="4" t="s">
        <v>6</v>
      </c>
      <c r="B4" s="4" t="s">
        <v>7</v>
      </c>
      <c r="C4" s="4" t="s">
        <v>166</v>
      </c>
      <c r="D4" s="4" t="s">
        <v>187</v>
      </c>
      <c r="E4" s="11">
        <v>13762</v>
      </c>
      <c r="F4" s="4"/>
    </row>
    <row r="5" spans="1:9" x14ac:dyDescent="0.25">
      <c r="A5" s="4" t="s">
        <v>8</v>
      </c>
      <c r="B5" s="4" t="s">
        <v>9</v>
      </c>
      <c r="C5" s="4" t="s">
        <v>166</v>
      </c>
      <c r="D5" s="4" t="s">
        <v>8</v>
      </c>
      <c r="E5" s="11">
        <v>13728</v>
      </c>
      <c r="F5" s="4"/>
    </row>
    <row r="6" spans="1:9" x14ac:dyDescent="0.25">
      <c r="A6" s="4" t="s">
        <v>10</v>
      </c>
      <c r="B6" s="4" t="s">
        <v>10</v>
      </c>
      <c r="C6" s="4" t="s">
        <v>165</v>
      </c>
      <c r="D6" s="4"/>
      <c r="E6" s="4"/>
      <c r="F6" s="4"/>
    </row>
    <row r="7" spans="1:9" x14ac:dyDescent="0.25">
      <c r="A7" s="4" t="s">
        <v>11</v>
      </c>
      <c r="B7" s="4" t="s">
        <v>12</v>
      </c>
      <c r="C7" s="4" t="s">
        <v>166</v>
      </c>
      <c r="D7" s="4" t="s">
        <v>188</v>
      </c>
      <c r="E7" s="11">
        <v>13752</v>
      </c>
      <c r="F7" s="4"/>
    </row>
    <row r="8" spans="1:9" x14ac:dyDescent="0.25">
      <c r="A8" s="4" t="s">
        <v>13</v>
      </c>
      <c r="B8" s="4" t="s">
        <v>14</v>
      </c>
      <c r="C8" s="4" t="s">
        <v>165</v>
      </c>
      <c r="D8" s="4" t="s">
        <v>173</v>
      </c>
      <c r="E8" s="4"/>
      <c r="F8" s="4"/>
    </row>
    <row r="9" spans="1:9" x14ac:dyDescent="0.25">
      <c r="A9" s="4" t="s">
        <v>15</v>
      </c>
      <c r="B9" s="4" t="s">
        <v>16</v>
      </c>
      <c r="C9" s="4" t="s">
        <v>165</v>
      </c>
      <c r="D9" s="4"/>
      <c r="E9" s="4"/>
      <c r="F9" s="4"/>
    </row>
    <row r="10" spans="1:9" x14ac:dyDescent="0.25">
      <c r="A10" s="4" t="s">
        <v>17</v>
      </c>
      <c r="B10" s="4" t="s">
        <v>18</v>
      </c>
      <c r="C10" s="4" t="s">
        <v>166</v>
      </c>
      <c r="D10" s="4" t="s">
        <v>17</v>
      </c>
      <c r="E10" s="11">
        <v>13721</v>
      </c>
      <c r="F10" s="4"/>
    </row>
    <row r="11" spans="1:9" x14ac:dyDescent="0.25">
      <c r="A11" s="4" t="s">
        <v>19</v>
      </c>
      <c r="B11" s="4" t="s">
        <v>9</v>
      </c>
      <c r="C11" s="4" t="s">
        <v>166</v>
      </c>
      <c r="D11" s="4" t="s">
        <v>19</v>
      </c>
      <c r="E11" s="11">
        <v>13717</v>
      </c>
      <c r="F11" s="4"/>
    </row>
    <row r="12" spans="1:9" x14ac:dyDescent="0.25">
      <c r="A12" s="4" t="s">
        <v>20</v>
      </c>
      <c r="B12" s="4" t="s">
        <v>21</v>
      </c>
      <c r="C12" s="4" t="s">
        <v>166</v>
      </c>
      <c r="D12" s="4" t="s">
        <v>20</v>
      </c>
      <c r="E12" s="11">
        <v>13738</v>
      </c>
      <c r="F12" s="4"/>
    </row>
    <row r="13" spans="1:9" x14ac:dyDescent="0.25">
      <c r="A13" s="4" t="s">
        <v>22</v>
      </c>
      <c r="B13" s="4" t="s">
        <v>23</v>
      </c>
      <c r="C13" s="4" t="s">
        <v>166</v>
      </c>
      <c r="D13" s="4" t="s">
        <v>22</v>
      </c>
      <c r="E13" s="11">
        <v>13716</v>
      </c>
      <c r="F13" s="4"/>
    </row>
    <row r="14" spans="1:9" x14ac:dyDescent="0.25">
      <c r="A14" s="4" t="s">
        <v>24</v>
      </c>
      <c r="B14" s="4" t="s">
        <v>16</v>
      </c>
      <c r="C14" s="4" t="s">
        <v>166</v>
      </c>
      <c r="D14" s="4" t="s">
        <v>189</v>
      </c>
      <c r="E14" s="11">
        <v>13772</v>
      </c>
      <c r="F14" s="4"/>
    </row>
    <row r="15" spans="1:9" x14ac:dyDescent="0.25">
      <c r="A15" s="4" t="s">
        <v>25</v>
      </c>
      <c r="B15" s="4" t="s">
        <v>26</v>
      </c>
      <c r="C15" s="4" t="s">
        <v>166</v>
      </c>
      <c r="D15" s="4" t="s">
        <v>25</v>
      </c>
      <c r="E15" s="11">
        <v>13749</v>
      </c>
      <c r="F15" s="4"/>
    </row>
    <row r="16" spans="1:9" x14ac:dyDescent="0.25">
      <c r="A16" s="4" t="s">
        <v>13</v>
      </c>
      <c r="B16" s="4" t="s">
        <v>14</v>
      </c>
      <c r="C16" s="4" t="s">
        <v>166</v>
      </c>
      <c r="D16" s="17" t="s">
        <v>213</v>
      </c>
      <c r="E16" s="15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/>
  </sheetViews>
  <sheetFormatPr defaultRowHeight="15" x14ac:dyDescent="0.25"/>
  <cols>
    <col min="1" max="1" width="49.140625" customWidth="1"/>
    <col min="2" max="2" width="47.85546875" customWidth="1"/>
    <col min="3" max="3" width="8.85546875" bestFit="1" customWidth="1"/>
    <col min="4" max="4" width="50.85546875" bestFit="1" customWidth="1"/>
    <col min="5" max="5" width="7.5703125" bestFit="1" customWidth="1"/>
    <col min="6" max="6" width="7.42578125" bestFit="1" customWidth="1"/>
  </cols>
  <sheetData>
    <row r="1" spans="1:9" x14ac:dyDescent="0.25">
      <c r="A1" s="6" t="s">
        <v>0</v>
      </c>
      <c r="B1" s="6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COUNTIF(C1:C46,"correct")</f>
        <v>19</v>
      </c>
    </row>
    <row r="2" spans="1:9" x14ac:dyDescent="0.25">
      <c r="A2" s="4" t="s">
        <v>51</v>
      </c>
      <c r="B2" s="4" t="s">
        <v>52</v>
      </c>
      <c r="C2" s="4" t="s">
        <v>165</v>
      </c>
      <c r="D2" s="4"/>
      <c r="E2" s="4"/>
      <c r="F2" s="4"/>
      <c r="H2" s="2" t="s">
        <v>166</v>
      </c>
      <c r="I2" s="4">
        <f>COUNTIF(C2:C46,"Incorrect")</f>
        <v>14</v>
      </c>
    </row>
    <row r="3" spans="1:9" x14ac:dyDescent="0.25">
      <c r="A3" s="4" t="s">
        <v>53</v>
      </c>
      <c r="B3" s="4" t="s">
        <v>16</v>
      </c>
      <c r="C3" s="4" t="s">
        <v>165</v>
      </c>
      <c r="D3" s="4"/>
      <c r="E3" s="4"/>
      <c r="F3" s="4"/>
      <c r="H3" s="4"/>
      <c r="I3" s="5">
        <f>I1/SUM(I1:I2)</f>
        <v>0.5757575757575758</v>
      </c>
    </row>
    <row r="4" spans="1:9" x14ac:dyDescent="0.25">
      <c r="A4" s="4" t="s">
        <v>54</v>
      </c>
      <c r="B4" s="4" t="s">
        <v>55</v>
      </c>
      <c r="C4" s="4" t="s">
        <v>165</v>
      </c>
      <c r="D4" s="4"/>
      <c r="E4" s="4"/>
      <c r="F4" s="4"/>
    </row>
    <row r="5" spans="1:9" x14ac:dyDescent="0.25">
      <c r="A5" s="4" t="s">
        <v>56</v>
      </c>
      <c r="B5" s="4" t="s">
        <v>57</v>
      </c>
      <c r="C5" s="4" t="s">
        <v>165</v>
      </c>
      <c r="D5" s="4"/>
      <c r="E5" s="4"/>
      <c r="F5" s="4"/>
    </row>
    <row r="6" spans="1:9" x14ac:dyDescent="0.25">
      <c r="A6" s="4" t="s">
        <v>58</v>
      </c>
      <c r="B6" s="4" t="s">
        <v>55</v>
      </c>
      <c r="C6" s="4" t="s">
        <v>166</v>
      </c>
      <c r="D6" s="4" t="s">
        <v>190</v>
      </c>
      <c r="E6" s="11">
        <v>30577</v>
      </c>
      <c r="F6" s="4"/>
    </row>
    <row r="7" spans="1:9" x14ac:dyDescent="0.25">
      <c r="A7" s="4" t="s">
        <v>59</v>
      </c>
      <c r="B7" s="4" t="s">
        <v>52</v>
      </c>
      <c r="C7" s="4" t="s">
        <v>166</v>
      </c>
      <c r="D7" s="4" t="s">
        <v>192</v>
      </c>
      <c r="E7" s="11">
        <v>30505</v>
      </c>
      <c r="F7" s="4"/>
    </row>
    <row r="8" spans="1:9" x14ac:dyDescent="0.25">
      <c r="A8" s="4" t="s">
        <v>60</v>
      </c>
      <c r="B8" s="4" t="s">
        <v>61</v>
      </c>
      <c r="C8" s="4" t="s">
        <v>166</v>
      </c>
      <c r="D8" s="4" t="s">
        <v>200</v>
      </c>
      <c r="E8" s="11">
        <v>30399</v>
      </c>
      <c r="F8" s="4"/>
    </row>
    <row r="9" spans="1:9" x14ac:dyDescent="0.25">
      <c r="A9" s="4" t="s">
        <v>62</v>
      </c>
      <c r="B9" s="4" t="s">
        <v>63</v>
      </c>
      <c r="C9" s="4" t="s">
        <v>165</v>
      </c>
      <c r="D9" s="4"/>
      <c r="E9" s="4"/>
      <c r="F9" s="4"/>
    </row>
    <row r="10" spans="1:9" x14ac:dyDescent="0.25">
      <c r="A10" s="4" t="s">
        <v>64</v>
      </c>
      <c r="B10" s="4" t="s">
        <v>61</v>
      </c>
      <c r="C10" s="4" t="s">
        <v>166</v>
      </c>
      <c r="D10" s="4" t="s">
        <v>201</v>
      </c>
      <c r="E10" s="11">
        <v>30359</v>
      </c>
      <c r="F10" s="4"/>
    </row>
    <row r="11" spans="1:9" x14ac:dyDescent="0.25">
      <c r="A11" s="4" t="s">
        <v>65</v>
      </c>
      <c r="B11" s="4" t="s">
        <v>61</v>
      </c>
      <c r="C11" s="4" t="s">
        <v>166</v>
      </c>
      <c r="D11" s="4" t="s">
        <v>201</v>
      </c>
      <c r="E11" s="11">
        <v>30359</v>
      </c>
      <c r="F11" s="4"/>
    </row>
    <row r="12" spans="1:9" x14ac:dyDescent="0.25">
      <c r="A12" s="4" t="s">
        <v>66</v>
      </c>
      <c r="B12" s="4" t="s">
        <v>67</v>
      </c>
      <c r="C12" s="4" t="s">
        <v>166</v>
      </c>
      <c r="D12" s="4" t="s">
        <v>191</v>
      </c>
      <c r="E12" s="11">
        <v>30632</v>
      </c>
      <c r="F12" s="4"/>
    </row>
    <row r="13" spans="1:9" x14ac:dyDescent="0.25">
      <c r="A13" s="4" t="s">
        <v>68</v>
      </c>
      <c r="B13" s="4" t="s">
        <v>69</v>
      </c>
      <c r="C13" s="4" t="s">
        <v>166</v>
      </c>
      <c r="D13" s="4" t="s">
        <v>191</v>
      </c>
      <c r="E13" s="11">
        <v>30632</v>
      </c>
      <c r="F13" s="4"/>
    </row>
    <row r="14" spans="1:9" x14ac:dyDescent="0.25">
      <c r="A14" s="4" t="s">
        <v>70</v>
      </c>
      <c r="B14" s="4" t="s">
        <v>71</v>
      </c>
      <c r="C14" s="4" t="s">
        <v>165</v>
      </c>
      <c r="D14" s="4"/>
      <c r="E14" s="4"/>
      <c r="F14" s="4"/>
    </row>
    <row r="15" spans="1:9" x14ac:dyDescent="0.25">
      <c r="A15" s="4" t="s">
        <v>72</v>
      </c>
      <c r="B15" s="4" t="s">
        <v>16</v>
      </c>
      <c r="C15" s="4" t="s">
        <v>165</v>
      </c>
      <c r="D15" s="4"/>
      <c r="E15" s="4"/>
      <c r="F15" s="4"/>
    </row>
    <row r="16" spans="1:9" x14ac:dyDescent="0.25">
      <c r="A16" s="4" t="s">
        <v>73</v>
      </c>
      <c r="B16" s="4" t="s">
        <v>74</v>
      </c>
      <c r="C16" s="4" t="s">
        <v>166</v>
      </c>
      <c r="D16" s="4" t="s">
        <v>193</v>
      </c>
      <c r="E16" s="11">
        <v>30431</v>
      </c>
      <c r="F16" s="4"/>
    </row>
    <row r="17" spans="1:6" x14ac:dyDescent="0.25">
      <c r="A17" s="4" t="s">
        <v>75</v>
      </c>
      <c r="B17" s="4" t="s">
        <v>76</v>
      </c>
      <c r="C17" s="4" t="s">
        <v>166</v>
      </c>
      <c r="D17" s="4" t="s">
        <v>194</v>
      </c>
      <c r="E17" s="11">
        <v>30429</v>
      </c>
      <c r="F17" s="4"/>
    </row>
    <row r="18" spans="1:6" x14ac:dyDescent="0.25">
      <c r="A18" s="4" t="s">
        <v>77</v>
      </c>
      <c r="B18" s="4" t="s">
        <v>78</v>
      </c>
      <c r="C18" s="4" t="s">
        <v>166</v>
      </c>
      <c r="D18" s="4" t="s">
        <v>195</v>
      </c>
      <c r="E18" s="11">
        <v>30449</v>
      </c>
      <c r="F18" s="4"/>
    </row>
    <row r="19" spans="1:6" x14ac:dyDescent="0.25">
      <c r="A19" s="4" t="s">
        <v>79</v>
      </c>
      <c r="B19" s="4" t="s">
        <v>80</v>
      </c>
      <c r="C19" s="4" t="s">
        <v>166</v>
      </c>
      <c r="D19" s="4" t="s">
        <v>196</v>
      </c>
      <c r="E19" s="11">
        <v>30433</v>
      </c>
      <c r="F19" s="4"/>
    </row>
    <row r="20" spans="1:6" x14ac:dyDescent="0.25">
      <c r="A20" s="4" t="s">
        <v>81</v>
      </c>
      <c r="B20" s="4" t="s">
        <v>82</v>
      </c>
      <c r="C20" s="4" t="s">
        <v>166</v>
      </c>
      <c r="D20" s="4" t="s">
        <v>197</v>
      </c>
      <c r="E20" s="11">
        <v>30448</v>
      </c>
      <c r="F20" s="4"/>
    </row>
    <row r="21" spans="1:6" x14ac:dyDescent="0.25">
      <c r="A21" s="4" t="s">
        <v>83</v>
      </c>
      <c r="B21" s="4" t="s">
        <v>84</v>
      </c>
      <c r="C21" s="4" t="s">
        <v>165</v>
      </c>
      <c r="D21" s="4"/>
      <c r="E21" s="4"/>
      <c r="F21" s="4"/>
    </row>
    <row r="22" spans="1:6" x14ac:dyDescent="0.25">
      <c r="A22" s="4" t="s">
        <v>85</v>
      </c>
      <c r="B22" s="4" t="s">
        <v>86</v>
      </c>
      <c r="C22" s="4" t="s">
        <v>165</v>
      </c>
      <c r="D22" s="4"/>
      <c r="E22" s="4"/>
      <c r="F22" s="4"/>
    </row>
    <row r="23" spans="1:6" x14ac:dyDescent="0.25">
      <c r="A23" s="4" t="s">
        <v>87</v>
      </c>
      <c r="B23" s="4" t="s">
        <v>88</v>
      </c>
      <c r="C23" s="4" t="s">
        <v>165</v>
      </c>
      <c r="D23" s="4"/>
      <c r="E23" s="4"/>
      <c r="F23" s="4"/>
    </row>
    <row r="24" spans="1:6" x14ac:dyDescent="0.25">
      <c r="A24" s="4" t="s">
        <v>89</v>
      </c>
      <c r="B24" s="4" t="s">
        <v>16</v>
      </c>
      <c r="C24" s="4" t="s">
        <v>165</v>
      </c>
      <c r="D24" s="4"/>
      <c r="E24" s="4"/>
      <c r="F24" s="4"/>
    </row>
    <row r="25" spans="1:6" x14ac:dyDescent="0.25">
      <c r="A25" s="4" t="s">
        <v>90</v>
      </c>
      <c r="B25" s="4" t="s">
        <v>91</v>
      </c>
      <c r="C25" s="4" t="s">
        <v>166</v>
      </c>
      <c r="D25" s="4" t="s">
        <v>198</v>
      </c>
      <c r="E25" s="11">
        <v>17556</v>
      </c>
      <c r="F25" s="4"/>
    </row>
    <row r="26" spans="1:6" x14ac:dyDescent="0.25">
      <c r="A26" s="4" t="s">
        <v>92</v>
      </c>
      <c r="B26" s="4" t="s">
        <v>93</v>
      </c>
      <c r="C26" s="4" t="s">
        <v>166</v>
      </c>
      <c r="D26" s="4" t="s">
        <v>199</v>
      </c>
      <c r="E26" s="11">
        <v>30662</v>
      </c>
      <c r="F26" s="4"/>
    </row>
    <row r="27" spans="1:6" x14ac:dyDescent="0.25">
      <c r="A27" s="4" t="s">
        <v>94</v>
      </c>
      <c r="B27" s="4" t="s">
        <v>95</v>
      </c>
      <c r="C27" s="4" t="s">
        <v>165</v>
      </c>
      <c r="D27" s="4"/>
      <c r="E27" s="4"/>
      <c r="F27" s="4"/>
    </row>
    <row r="28" spans="1:6" x14ac:dyDescent="0.25">
      <c r="A28" s="4" t="s">
        <v>96</v>
      </c>
      <c r="B28" s="4" t="s">
        <v>16</v>
      </c>
      <c r="C28" s="4" t="s">
        <v>165</v>
      </c>
      <c r="D28" s="4"/>
      <c r="E28" s="4"/>
      <c r="F28" s="4"/>
    </row>
    <row r="29" spans="1:6" x14ac:dyDescent="0.25">
      <c r="A29" s="4" t="s">
        <v>97</v>
      </c>
      <c r="B29" s="4" t="s">
        <v>98</v>
      </c>
      <c r="C29" s="4" t="s">
        <v>165</v>
      </c>
      <c r="D29" s="4"/>
      <c r="E29" s="4"/>
      <c r="F29" s="4"/>
    </row>
    <row r="30" spans="1:6" x14ac:dyDescent="0.25">
      <c r="A30" s="4" t="s">
        <v>99</v>
      </c>
      <c r="B30" s="4" t="s">
        <v>100</v>
      </c>
      <c r="C30" s="4" t="s">
        <v>165</v>
      </c>
      <c r="D30" s="4"/>
      <c r="E30" s="4"/>
      <c r="F30" s="4"/>
    </row>
    <row r="31" spans="1:6" x14ac:dyDescent="0.25">
      <c r="A31" s="4" t="s">
        <v>101</v>
      </c>
      <c r="B31" s="4" t="s">
        <v>102</v>
      </c>
      <c r="C31" s="4" t="s">
        <v>165</v>
      </c>
      <c r="D31" s="4"/>
      <c r="E31" s="4"/>
      <c r="F31" s="4"/>
    </row>
    <row r="32" spans="1:6" x14ac:dyDescent="0.25">
      <c r="A32" s="4" t="s">
        <v>103</v>
      </c>
      <c r="B32" s="4" t="s">
        <v>104</v>
      </c>
      <c r="C32" s="4" t="s">
        <v>165</v>
      </c>
      <c r="D32" s="4"/>
      <c r="E32" s="4"/>
      <c r="F32" s="4"/>
    </row>
    <row r="33" spans="1:6" x14ac:dyDescent="0.25">
      <c r="A33" s="4" t="s">
        <v>105</v>
      </c>
      <c r="B33" s="4" t="s">
        <v>106</v>
      </c>
      <c r="C33" s="4" t="s">
        <v>165</v>
      </c>
      <c r="D33" s="4"/>
      <c r="E33" s="4"/>
      <c r="F33" s="4"/>
    </row>
    <row r="34" spans="1:6" x14ac:dyDescent="0.25">
      <c r="A34" s="4" t="s">
        <v>107</v>
      </c>
      <c r="B34" s="4" t="s">
        <v>108</v>
      </c>
      <c r="C34" s="4" t="s">
        <v>165</v>
      </c>
      <c r="D34" s="4"/>
      <c r="E34" s="4"/>
      <c r="F3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/>
  </sheetViews>
  <sheetFormatPr defaultRowHeight="15" x14ac:dyDescent="0.25"/>
  <cols>
    <col min="1" max="1" width="38.140625" bestFit="1" customWidth="1"/>
    <col min="2" max="2" width="46.71093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COUNTIF(C1:C46,"correct")</f>
        <v>0</v>
      </c>
    </row>
    <row r="2" spans="1:9" x14ac:dyDescent="0.25">
      <c r="A2" s="4" t="s">
        <v>27</v>
      </c>
      <c r="B2" s="4" t="s">
        <v>28</v>
      </c>
      <c r="C2" s="4" t="s">
        <v>166</v>
      </c>
      <c r="D2" s="17" t="s">
        <v>168</v>
      </c>
      <c r="E2" s="15"/>
      <c r="F2" s="4"/>
      <c r="H2" s="2" t="s">
        <v>166</v>
      </c>
      <c r="I2" s="4">
        <f>COUNTIF(C2:C46,"Incorrect")</f>
        <v>35</v>
      </c>
    </row>
    <row r="3" spans="1:9" x14ac:dyDescent="0.25">
      <c r="A3" s="4" t="s">
        <v>29</v>
      </c>
      <c r="B3" s="4" t="s">
        <v>18</v>
      </c>
      <c r="C3" s="4" t="s">
        <v>166</v>
      </c>
      <c r="D3" s="17" t="s">
        <v>27</v>
      </c>
      <c r="E3" s="15">
        <v>8920</v>
      </c>
      <c r="F3" s="4" t="s">
        <v>221</v>
      </c>
      <c r="H3" s="4"/>
      <c r="I3" s="5">
        <f>I1/SUM(I1:I2)</f>
        <v>0</v>
      </c>
    </row>
    <row r="4" spans="1:9" x14ac:dyDescent="0.25">
      <c r="A4" s="4" t="s">
        <v>30</v>
      </c>
      <c r="B4" s="4" t="s">
        <v>18</v>
      </c>
      <c r="C4" s="4" t="s">
        <v>166</v>
      </c>
      <c r="D4" s="17" t="s">
        <v>27</v>
      </c>
      <c r="E4" s="15">
        <v>8920</v>
      </c>
      <c r="F4" s="4" t="s">
        <v>221</v>
      </c>
    </row>
    <row r="5" spans="1:9" x14ac:dyDescent="0.25">
      <c r="A5" s="4" t="s">
        <v>31</v>
      </c>
      <c r="B5" s="4" t="s">
        <v>7</v>
      </c>
      <c r="C5" s="4" t="s">
        <v>166</v>
      </c>
      <c r="D5" s="17" t="s">
        <v>27</v>
      </c>
      <c r="E5" s="15">
        <v>8920</v>
      </c>
      <c r="F5" s="4" t="s">
        <v>221</v>
      </c>
    </row>
    <row r="6" spans="1:9" x14ac:dyDescent="0.25">
      <c r="A6" s="4" t="s">
        <v>32</v>
      </c>
      <c r="B6" s="4" t="s">
        <v>33</v>
      </c>
      <c r="C6" s="4" t="s">
        <v>166</v>
      </c>
      <c r="D6" s="17" t="s">
        <v>27</v>
      </c>
      <c r="E6" s="15">
        <v>8920</v>
      </c>
      <c r="F6" s="4" t="s">
        <v>221</v>
      </c>
    </row>
    <row r="7" spans="1:9" x14ac:dyDescent="0.25">
      <c r="A7" s="4" t="s">
        <v>34</v>
      </c>
      <c r="B7" s="4" t="s">
        <v>23</v>
      </c>
      <c r="C7" s="4" t="s">
        <v>166</v>
      </c>
      <c r="D7" s="17" t="s">
        <v>202</v>
      </c>
      <c r="E7" s="15">
        <v>8925</v>
      </c>
      <c r="F7" s="4"/>
    </row>
    <row r="8" spans="1:9" x14ac:dyDescent="0.25">
      <c r="A8" s="4" t="s">
        <v>35</v>
      </c>
      <c r="B8" s="4" t="s">
        <v>28</v>
      </c>
      <c r="C8" s="4" t="s">
        <v>166</v>
      </c>
      <c r="D8" s="17" t="s">
        <v>204</v>
      </c>
      <c r="E8" s="17"/>
      <c r="F8" s="4"/>
    </row>
    <row r="9" spans="1:9" x14ac:dyDescent="0.25">
      <c r="A9" s="4" t="s">
        <v>36</v>
      </c>
      <c r="B9" s="4" t="s">
        <v>37</v>
      </c>
      <c r="C9" s="4" t="s">
        <v>166</v>
      </c>
      <c r="D9" s="17" t="s">
        <v>203</v>
      </c>
      <c r="E9" s="15">
        <v>8924</v>
      </c>
      <c r="F9" s="4"/>
    </row>
    <row r="10" spans="1:9" ht="16.899999999999999" customHeight="1" x14ac:dyDescent="0.25">
      <c r="A10" s="4" t="s">
        <v>38</v>
      </c>
      <c r="B10" s="4" t="s">
        <v>14</v>
      </c>
      <c r="C10" s="4" t="s">
        <v>166</v>
      </c>
      <c r="D10" s="17" t="s">
        <v>205</v>
      </c>
      <c r="E10" s="15">
        <v>8931</v>
      </c>
      <c r="F10" s="4"/>
    </row>
    <row r="11" spans="1:9" x14ac:dyDescent="0.25">
      <c r="A11" s="4" t="s">
        <v>39</v>
      </c>
      <c r="B11" s="4" t="s">
        <v>40</v>
      </c>
      <c r="C11" s="4" t="s">
        <v>166</v>
      </c>
      <c r="D11" s="17" t="s">
        <v>168</v>
      </c>
      <c r="E11" s="17"/>
      <c r="F11" s="4"/>
    </row>
    <row r="12" spans="1:9" x14ac:dyDescent="0.25">
      <c r="A12" s="4" t="s">
        <v>29</v>
      </c>
      <c r="B12" s="4" t="s">
        <v>18</v>
      </c>
      <c r="C12" s="4" t="s">
        <v>166</v>
      </c>
      <c r="D12" s="17" t="s">
        <v>206</v>
      </c>
      <c r="E12" s="15">
        <v>8919</v>
      </c>
      <c r="F12" s="4" t="s">
        <v>221</v>
      </c>
    </row>
    <row r="13" spans="1:9" x14ac:dyDescent="0.25">
      <c r="A13" s="4" t="s">
        <v>30</v>
      </c>
      <c r="B13" s="4" t="s">
        <v>18</v>
      </c>
      <c r="C13" s="4" t="s">
        <v>166</v>
      </c>
      <c r="D13" s="17" t="s">
        <v>206</v>
      </c>
      <c r="E13" s="15">
        <v>8919</v>
      </c>
      <c r="F13" s="4" t="s">
        <v>221</v>
      </c>
    </row>
    <row r="14" spans="1:9" x14ac:dyDescent="0.25">
      <c r="A14" s="4" t="s">
        <v>31</v>
      </c>
      <c r="B14" s="4" t="s">
        <v>7</v>
      </c>
      <c r="C14" s="4" t="s">
        <v>166</v>
      </c>
      <c r="D14" s="17" t="s">
        <v>206</v>
      </c>
      <c r="E14" s="15">
        <v>8919</v>
      </c>
      <c r="F14" s="4" t="s">
        <v>221</v>
      </c>
    </row>
    <row r="15" spans="1:9" x14ac:dyDescent="0.25">
      <c r="A15" s="4" t="s">
        <v>32</v>
      </c>
      <c r="B15" s="4" t="s">
        <v>33</v>
      </c>
      <c r="C15" s="4" t="s">
        <v>166</v>
      </c>
      <c r="D15" s="17" t="s">
        <v>206</v>
      </c>
      <c r="E15" s="15">
        <v>8919</v>
      </c>
      <c r="F15" s="4" t="s">
        <v>221</v>
      </c>
    </row>
    <row r="16" spans="1:9" x14ac:dyDescent="0.25">
      <c r="A16" s="4" t="s">
        <v>35</v>
      </c>
      <c r="B16" s="4" t="s">
        <v>28</v>
      </c>
      <c r="C16" s="4" t="s">
        <v>166</v>
      </c>
      <c r="D16" s="17" t="s">
        <v>204</v>
      </c>
      <c r="E16" s="17"/>
      <c r="F16" s="4"/>
    </row>
    <row r="17" spans="1:6" x14ac:dyDescent="0.25">
      <c r="A17" s="4" t="s">
        <v>41</v>
      </c>
      <c r="B17" s="4" t="s">
        <v>42</v>
      </c>
      <c r="C17" s="4" t="s">
        <v>166</v>
      </c>
      <c r="D17" s="17" t="s">
        <v>212</v>
      </c>
      <c r="E17" s="15">
        <v>8927</v>
      </c>
      <c r="F17" s="4"/>
    </row>
    <row r="18" spans="1:6" x14ac:dyDescent="0.25">
      <c r="A18" s="4" t="s">
        <v>43</v>
      </c>
      <c r="B18" s="4" t="s">
        <v>33</v>
      </c>
      <c r="C18" s="4" t="s">
        <v>166</v>
      </c>
      <c r="D18" s="17" t="s">
        <v>202</v>
      </c>
      <c r="E18" s="15">
        <v>8929</v>
      </c>
      <c r="F18" s="4"/>
    </row>
    <row r="19" spans="1:6" x14ac:dyDescent="0.25">
      <c r="A19" s="4" t="s">
        <v>44</v>
      </c>
      <c r="B19" s="4" t="s">
        <v>37</v>
      </c>
      <c r="C19" s="4" t="s">
        <v>166</v>
      </c>
      <c r="D19" s="17" t="s">
        <v>202</v>
      </c>
      <c r="E19" s="15">
        <v>8929</v>
      </c>
      <c r="F19" s="4"/>
    </row>
    <row r="20" spans="1:6" x14ac:dyDescent="0.25">
      <c r="A20" s="4" t="s">
        <v>45</v>
      </c>
      <c r="B20" s="4" t="s">
        <v>40</v>
      </c>
      <c r="C20" s="4" t="s">
        <v>166</v>
      </c>
      <c r="D20" s="17" t="s">
        <v>222</v>
      </c>
      <c r="E20" s="15">
        <v>8911</v>
      </c>
      <c r="F20" s="4"/>
    </row>
    <row r="21" spans="1:6" x14ac:dyDescent="0.25">
      <c r="A21" s="4" t="s">
        <v>46</v>
      </c>
      <c r="B21" s="4" t="s">
        <v>26</v>
      </c>
      <c r="C21" s="4" t="s">
        <v>166</v>
      </c>
      <c r="D21" s="17" t="s">
        <v>168</v>
      </c>
      <c r="E21" s="17"/>
      <c r="F21" s="4"/>
    </row>
    <row r="22" spans="1:6" x14ac:dyDescent="0.25">
      <c r="A22" s="4" t="s">
        <v>47</v>
      </c>
      <c r="B22" s="4" t="s">
        <v>18</v>
      </c>
      <c r="C22" s="4" t="s">
        <v>166</v>
      </c>
      <c r="D22" s="17" t="s">
        <v>46</v>
      </c>
      <c r="E22" s="15">
        <v>18571</v>
      </c>
      <c r="F22" s="4" t="s">
        <v>221</v>
      </c>
    </row>
    <row r="23" spans="1:6" x14ac:dyDescent="0.25">
      <c r="A23" s="4" t="s">
        <v>30</v>
      </c>
      <c r="B23" s="4" t="s">
        <v>18</v>
      </c>
      <c r="C23" s="4" t="s">
        <v>166</v>
      </c>
      <c r="D23" s="17" t="s">
        <v>46</v>
      </c>
      <c r="E23" s="15">
        <v>18571</v>
      </c>
      <c r="F23" s="4" t="s">
        <v>221</v>
      </c>
    </row>
    <row r="24" spans="1:6" x14ac:dyDescent="0.25">
      <c r="A24" s="4" t="s">
        <v>31</v>
      </c>
      <c r="B24" s="4" t="s">
        <v>7</v>
      </c>
      <c r="C24" s="4" t="s">
        <v>166</v>
      </c>
      <c r="D24" s="17" t="s">
        <v>46</v>
      </c>
      <c r="E24" s="15">
        <v>18571</v>
      </c>
      <c r="F24" s="4" t="s">
        <v>221</v>
      </c>
    </row>
    <row r="25" spans="1:6" x14ac:dyDescent="0.25">
      <c r="A25" s="4" t="s">
        <v>32</v>
      </c>
      <c r="B25" s="4" t="s">
        <v>33</v>
      </c>
      <c r="C25" s="4" t="s">
        <v>166</v>
      </c>
      <c r="D25" s="17" t="s">
        <v>46</v>
      </c>
      <c r="E25" s="15">
        <v>18571</v>
      </c>
      <c r="F25" s="4" t="s">
        <v>221</v>
      </c>
    </row>
    <row r="26" spans="1:6" x14ac:dyDescent="0.25">
      <c r="A26" s="4" t="s">
        <v>34</v>
      </c>
      <c r="B26" s="4" t="s">
        <v>23</v>
      </c>
      <c r="C26" s="4" t="s">
        <v>166</v>
      </c>
      <c r="D26" s="17" t="s">
        <v>207</v>
      </c>
      <c r="E26" s="15">
        <v>18580</v>
      </c>
      <c r="F26" s="4"/>
    </row>
    <row r="27" spans="1:6" x14ac:dyDescent="0.25">
      <c r="A27" s="4" t="s">
        <v>13</v>
      </c>
      <c r="B27" s="4" t="s">
        <v>14</v>
      </c>
      <c r="C27" s="4" t="s">
        <v>166</v>
      </c>
      <c r="D27" s="17" t="s">
        <v>208</v>
      </c>
      <c r="E27" s="15">
        <v>18578</v>
      </c>
      <c r="F27" s="4"/>
    </row>
    <row r="28" spans="1:6" x14ac:dyDescent="0.25">
      <c r="A28" s="4" t="s">
        <v>48</v>
      </c>
      <c r="B28" s="4" t="s">
        <v>49</v>
      </c>
      <c r="C28" s="4" t="s">
        <v>166</v>
      </c>
      <c r="D28" s="17" t="s">
        <v>168</v>
      </c>
      <c r="E28" s="17"/>
      <c r="F28" s="4"/>
    </row>
    <row r="29" spans="1:6" x14ac:dyDescent="0.25">
      <c r="A29" s="4" t="s">
        <v>47</v>
      </c>
      <c r="B29" s="4" t="s">
        <v>18</v>
      </c>
      <c r="C29" s="4" t="s">
        <v>166</v>
      </c>
      <c r="D29" s="17" t="s">
        <v>48</v>
      </c>
      <c r="E29" s="15">
        <v>18573</v>
      </c>
      <c r="F29" s="4" t="s">
        <v>221</v>
      </c>
    </row>
    <row r="30" spans="1:6" x14ac:dyDescent="0.25">
      <c r="A30" s="4" t="s">
        <v>30</v>
      </c>
      <c r="B30" s="4" t="s">
        <v>18</v>
      </c>
      <c r="C30" s="4" t="s">
        <v>166</v>
      </c>
      <c r="D30" s="17" t="s">
        <v>48</v>
      </c>
      <c r="E30" s="15">
        <v>18573</v>
      </c>
      <c r="F30" s="4" t="s">
        <v>221</v>
      </c>
    </row>
    <row r="31" spans="1:6" x14ac:dyDescent="0.25">
      <c r="A31" s="4" t="s">
        <v>31</v>
      </c>
      <c r="B31" s="4" t="s">
        <v>7</v>
      </c>
      <c r="C31" s="4" t="s">
        <v>166</v>
      </c>
      <c r="D31" s="17" t="s">
        <v>48</v>
      </c>
      <c r="E31" s="15">
        <v>18573</v>
      </c>
      <c r="F31" s="4" t="s">
        <v>221</v>
      </c>
    </row>
    <row r="32" spans="1:6" x14ac:dyDescent="0.25">
      <c r="A32" s="4" t="s">
        <v>32</v>
      </c>
      <c r="B32" s="4" t="s">
        <v>33</v>
      </c>
      <c r="C32" s="4" t="s">
        <v>166</v>
      </c>
      <c r="D32" s="17" t="s">
        <v>48</v>
      </c>
      <c r="E32" s="15">
        <v>18573</v>
      </c>
      <c r="F32" s="4" t="s">
        <v>221</v>
      </c>
    </row>
    <row r="33" spans="1:6" x14ac:dyDescent="0.25">
      <c r="A33" s="4" t="s">
        <v>34</v>
      </c>
      <c r="B33" s="4" t="s">
        <v>23</v>
      </c>
      <c r="C33" s="4" t="s">
        <v>166</v>
      </c>
      <c r="D33" s="4" t="s">
        <v>209</v>
      </c>
      <c r="E33" s="11">
        <v>18581</v>
      </c>
      <c r="F33" s="4"/>
    </row>
    <row r="34" spans="1:6" s="18" customFormat="1" x14ac:dyDescent="0.25">
      <c r="A34" s="17" t="s">
        <v>13</v>
      </c>
      <c r="B34" s="17" t="s">
        <v>14</v>
      </c>
      <c r="C34" s="17" t="s">
        <v>166</v>
      </c>
      <c r="D34" s="17" t="s">
        <v>210</v>
      </c>
      <c r="E34" s="15">
        <v>18579</v>
      </c>
      <c r="F34" s="17"/>
    </row>
    <row r="35" spans="1:6" s="18" customFormat="1" x14ac:dyDescent="0.25">
      <c r="A35" s="17" t="s">
        <v>50</v>
      </c>
      <c r="B35" s="17" t="s">
        <v>7</v>
      </c>
      <c r="C35" s="17" t="s">
        <v>166</v>
      </c>
      <c r="D35" s="17" t="s">
        <v>211</v>
      </c>
      <c r="E35" s="15">
        <v>8930</v>
      </c>
      <c r="F35" s="17"/>
    </row>
    <row r="36" spans="1:6" x14ac:dyDescent="0.25">
      <c r="A36" s="4" t="s">
        <v>13</v>
      </c>
      <c r="B36" s="4" t="s">
        <v>14</v>
      </c>
      <c r="C36" s="4" t="s">
        <v>166</v>
      </c>
      <c r="D36" s="4" t="s">
        <v>204</v>
      </c>
      <c r="E36" s="4"/>
      <c r="F3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2026-06-03T07:12:29Z</dcterms:created>
  <dcterms:modified xsi:type="dcterms:W3CDTF">2026-06-08T12:06:47Z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2026-06-04T09:24:10Z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fe6f8b72-1038-4b05-be24-ce2a3fce7671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