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0B69C95F-94BA-4B58-9105-064645641C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7" r:id="rId6"/>
    <sheet name="Segment Result_Standalone" sheetId="4" r:id="rId7"/>
    <sheet name="Segment Result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I2" i="3"/>
  <c r="I1" i="3"/>
  <c r="I2" i="2"/>
  <c r="I1" i="2"/>
  <c r="I3" i="1"/>
  <c r="I2" i="1"/>
  <c r="I1" i="1"/>
  <c r="I2" i="5"/>
  <c r="I1" i="5"/>
  <c r="I2" i="4"/>
  <c r="I1" i="4"/>
  <c r="I1" i="8" l="1"/>
  <c r="I2" i="8"/>
  <c r="I2" i="7"/>
  <c r="I1" i="7"/>
  <c r="I3" i="7" s="1"/>
  <c r="I2" i="6"/>
  <c r="I1" i="6"/>
  <c r="I3" i="5"/>
  <c r="I3" i="4"/>
  <c r="I3" i="3"/>
  <c r="I3" i="2"/>
  <c r="I3" i="6" l="1"/>
</calcChain>
</file>

<file path=xl/sharedStrings.xml><?xml version="1.0" encoding="utf-8"?>
<sst xmlns="http://schemas.openxmlformats.org/spreadsheetml/2006/main" count="1114" uniqueCount="286">
  <si>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</si>
  <si>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</si>
  <si>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</si>
  <si>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</si>
  <si>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</si>
  <si>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</si>
  <si>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and other inter-bank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</si>
  <si>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</si>
  <si>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</si>
  <si>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</si>
  <si>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</si>
  <si>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</si>
  <si>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</si>
  <si>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</si>
  <si>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</si>
  <si>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</si>
  <si>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</si>
  <si>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</si>
  <si>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 cost</t>
  </si>
  <si>
    <t>Employee Benefit Expense</t>
  </si>
  <si>
    <t>Other operating expenses</t>
  </si>
  <si>
    <t>TOTAL EXPENDITURE EXCLUDING PROVISIONS AND CONTINGENCIES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</si>
  <si>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</si>
  <si>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</si>
  <si>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</si>
  <si>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</si>
  <si>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PROFIT FROM ORDINARY ACTIVITIES BEFORE EXCEPTIONAL ITEMS AND TAX</t>
  </si>
  <si>
    <t>Exceptional items</t>
  </si>
  <si>
    <t>Other Exceptional Items</t>
  </si>
  <si>
    <t>PROFIT FROM ORDINARY ACTIVITIES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</si>
  <si>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</si>
  <si>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</si>
  <si>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</si>
  <si>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</si>
  <si>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</si>
  <si>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</si>
  <si>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NET PROFIT FROM ORDINARY ACTIVITIES AFTER TAX</t>
  </si>
  <si>
    <t>Extraordinary items (net of tax expense)</t>
  </si>
  <si>
    <t>NET PROFIT FOR THE PERIOD</t>
  </si>
  <si>
    <t>Net Profit/(Loss) for the Period</t>
  </si>
  <si>
    <t>Paid-up equity share capital (face value ₹ 2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</si>
  <si>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</si>
  <si>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</si>
  <si>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</si>
  <si>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</si>
  <si>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</si>
  <si>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(Basel III)</t>
  </si>
  <si>
    <t>Earnings per share (EPS)</t>
  </si>
  <si>
    <t>Basic EPS before and after extraordinary items, net of tax expense (in ₹)</t>
  </si>
  <si>
    <t>Basic EPS</t>
  </si>
  <si>
    <t>Diluted EPS before and after extraordinary items, net of tax expense (in ₹)</t>
  </si>
  <si>
    <t>Diluted EPS</t>
  </si>
  <si>
    <t>NPA Ratio</t>
  </si>
  <si>
    <t>Gross non-performing customer assets (net of write-off)</t>
  </si>
  <si>
    <t>NOVAL</t>
  </si>
  <si>
    <t>Net non-performing customer assets</t>
  </si>
  <si>
    <t>Net Profit/(Loss) from Ordinary Activities after Tax</t>
  </si>
  <si>
    <t>% of gross non-performing customer assets (net of write-off) to gross customer assets</t>
  </si>
  <si>
    <t>% of net non-performing customer assets to net customer assets</t>
  </si>
  <si>
    <t>Return on assets (annualised)</t>
  </si>
  <si>
    <t>Profit/(Loss) for the Period from Continuing Operations</t>
  </si>
  <si>
    <t>Net worth</t>
  </si>
  <si>
    <t>Outstanding redeemable preference shares</t>
  </si>
  <si>
    <t>Capital redemption reserve</t>
  </si>
  <si>
    <t>Debt-equity ratio</t>
  </si>
  <si>
    <t>Total debts to total assets</t>
  </si>
  <si>
    <t>Total Field</t>
  </si>
  <si>
    <t>Capital</t>
  </si>
  <si>
    <t>Share Capital</t>
  </si>
  <si>
    <t>Employees stock options / units outstanding</t>
  </si>
  <si>
    <t>Reserves and surplus</t>
  </si>
  <si>
    <t>Reserves And Surplus/Other Equity</t>
  </si>
  <si>
    <t>Deposits</t>
  </si>
  <si>
    <t>Other Current Assets</t>
  </si>
  <si>
    <t>Borrowings (includes subordinated debt)</t>
  </si>
  <si>
    <t>Borrowings</t>
  </si>
  <si>
    <t>Other liabilities and provisions</t>
  </si>
  <si>
    <t>Other Current Financial Liabilities</t>
  </si>
  <si>
    <t>TOTAL CAPITAL AND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</si>
  <si>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</si>
  <si>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</si>
  <si>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</si>
  <si>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</si>
  <si>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</si>
  <si>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</si>
  <si>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</si>
  <si>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</si>
  <si>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</si>
  <si>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</si>
  <si>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</si>
  <si>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</si>
  <si>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TOTAL ASSETS</t>
  </si>
  <si>
    <t>Total Assets</t>
  </si>
  <si>
    <t>Profit/(loss) before taxes</t>
  </si>
  <si>
    <t>Net Profit Before Tax And Exceptional Item</t>
  </si>
  <si>
    <t>Adjustments for</t>
  </si>
  <si>
    <t>Depreciation and amortisation</t>
  </si>
  <si>
    <t>Depreciation and Amortisation Expense</t>
  </si>
  <si>
    <t>Net (appreciation)/depreciation on investments</t>
  </si>
  <si>
    <t>Profit On Sale Of Investments</t>
  </si>
  <si>
    <t>Specific provision for non-performing loans, restructured and other assets</t>
  </si>
  <si>
    <t>Adjustments for other financial assets, non-current</t>
  </si>
  <si>
    <t>General provision for standard assets</t>
  </si>
  <si>
    <t>Provision For Doubtful Debts</t>
  </si>
  <si>
    <t>Provision for contingencies &amp; others</t>
  </si>
  <si>
    <t>Provisions</t>
  </si>
  <si>
    <t>Employees stock options / units expense</t>
  </si>
  <si>
    <t>Employees Stock Options Grants</t>
  </si>
  <si>
    <t>Income from subsidiaries and consolidated entities</t>
  </si>
  <si>
    <t>Investments in Subsidiaries and/or Joint Ventures</t>
  </si>
  <si>
    <t>(Profit)/loss on sale of fixed assets and other assets</t>
  </si>
  <si>
    <t>Profit On Sale Of Fixed Assets</t>
  </si>
  <si>
    <t>(Increase)/decrease in investments</t>
  </si>
  <si>
    <t>Purchase Of Investments</t>
  </si>
  <si>
    <t>(Increase)/decrease in advances</t>
  </si>
  <si>
    <t>Loans And Advances</t>
  </si>
  <si>
    <t>Increase/(decrease ) in deposits</t>
  </si>
  <si>
    <t>Fixed Deposits</t>
  </si>
  <si>
    <t>(Increase)/decrease in other assets</t>
  </si>
  <si>
    <t>Other Current and Non Current Assets</t>
  </si>
  <si>
    <t>Increase/(decrease ) in other liabilities and provisions</t>
  </si>
  <si>
    <t>Other Current and Non Current Liabilities</t>
  </si>
  <si>
    <t>Refund/(payment) of direct taxes</t>
  </si>
  <si>
    <t>Income Tax Paid</t>
  </si>
  <si>
    <t>Net cash flow from/(used in) operating activities</t>
  </si>
  <si>
    <t>Net Cash Flow From Operating Activities</t>
  </si>
  <si>
    <t>Cash flow from/(used in) investing activities</t>
  </si>
  <si>
    <t>Redemption / sale from/(investments in) subsidiaries / joint ventures / associates (including application money)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</si>
  <si>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</si>
  <si>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</si>
  <si>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</si>
  <si>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</si>
  <si>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(Purchase)/sale of held-to-maturity securities</t>
  </si>
  <si>
    <t>Net cash flow from/(used in) investing activities</t>
  </si>
  <si>
    <t>Net Cash Flow From Investing Activities</t>
  </si>
  <si>
    <t>Cash flow from/(used in) financing activities</t>
  </si>
  <si>
    <t>Proceeds from issue of share capital (including ESOPs / ESUSs)</t>
  </si>
  <si>
    <t>Proceeds From Issue Of Equity Shares (Inclu Share Premium)</t>
  </si>
  <si>
    <t>Proceeds from long-term borrowings</t>
  </si>
  <si>
    <t>Proceeds From Long Term Borrowings</t>
  </si>
  <si>
    <t>Repayment of long-term borrowings</t>
  </si>
  <si>
    <t>Repayment Of Long Term Borrowings</t>
  </si>
  <si>
    <t>Net proceeds/(repayment ) of short-term borrowings</t>
  </si>
  <si>
    <t>Dividend paid</t>
  </si>
  <si>
    <t>Dividend Paid</t>
  </si>
  <si>
    <t>Net cash flow from/(used in) financing activities</t>
  </si>
  <si>
    <t>Net Cash Flow From Financing Activities</t>
  </si>
  <si>
    <t>Effect of exchange fluctuation on translation reserve</t>
  </si>
  <si>
    <t>Foreign Exchange Gain / Loss</t>
  </si>
  <si>
    <t>Net increase/(decrease) in cash and cash equivalents</t>
  </si>
  <si>
    <t>Net Increase in Cash and Cash Equivalents</t>
  </si>
  <si>
    <t>Cash and cash equivalents at beginning of the year</t>
  </si>
  <si>
    <t>Cash and Cash Equivalents at the Beginning of the Year</t>
  </si>
  <si>
    <t>Cash and cash equivalents at end of the year</t>
  </si>
  <si>
    <t>Cash and Cash Equivalents at the End of the Year</t>
  </si>
  <si>
    <t>Segment Revenue</t>
  </si>
  <si>
    <t>Cash Generated From Operations</t>
  </si>
  <si>
    <t>Retail Banking</t>
  </si>
  <si>
    <t>Wholesale banking</t>
  </si>
  <si>
    <t>Treasury</t>
  </si>
  <si>
    <t>Other Banking</t>
  </si>
  <si>
    <t>Others-Investing Activities</t>
  </si>
  <si>
    <t>Total segment revenue</t>
  </si>
  <si>
    <t>Less : Inter segment revenue</t>
  </si>
  <si>
    <t>Income from operations</t>
  </si>
  <si>
    <t>Segmental Results ( i.e. Profit before tax )</t>
  </si>
  <si>
    <t>Wholesale Banking</t>
  </si>
  <si>
    <t>Other banking</t>
  </si>
  <si>
    <t>Total segment results</t>
  </si>
  <si>
    <t>Segment assets</t>
  </si>
  <si>
    <t>Unallocated</t>
  </si>
  <si>
    <t>Miscellaneous Expenditure Written Off</t>
  </si>
  <si>
    <t>Total segment assets</t>
  </si>
  <si>
    <t>Segment liabilities</t>
  </si>
  <si>
    <t>Total segment liabilities</t>
  </si>
  <si>
    <t>Capital Employed</t>
  </si>
  <si>
    <t>Total</t>
  </si>
  <si>
    <t>No . Particulars</t>
  </si>
  <si>
    <t>- 2026</t>
  </si>
  <si>
    <t>Digital Banking</t>
  </si>
  <si>
    <t>Other Retail Banking</t>
  </si>
  <si>
    <t>- 2025</t>
  </si>
  <si>
    <t>Premium and other operating income from insurance business</t>
  </si>
  <si>
    <t>Claims and benefits paid and other expenses pertaining to insurance business</t>
  </si>
  <si>
    <t>Add: Share of profit in associates</t>
  </si>
  <si>
    <t>Share of Profit/(Loss) of Associates/Joint Ventures</t>
  </si>
  <si>
    <t>PROFIT FROM ORDINARY ACTIVITIES BEFORE TAX AND MINORITY INTEREST</t>
  </si>
  <si>
    <t>Less: Share of profit/(loss) of minority shareholders</t>
  </si>
  <si>
    <t>Minority Interest</t>
  </si>
  <si>
    <t>Paid - up equity share capital (face value ₹ 2/- each)</t>
  </si>
  <si>
    <t xml:space="preserve">Employee stock options / units outstanding </t>
  </si>
  <si>
    <t>Minority interest</t>
  </si>
  <si>
    <t>Policyholers' funds</t>
  </si>
  <si>
    <t>Total Capital and Liabilities</t>
  </si>
  <si>
    <t>Assets</t>
  </si>
  <si>
    <t>Other Assets</t>
  </si>
  <si>
    <t>Goodwill on consolidation</t>
  </si>
  <si>
    <t>Consolidated Field. Please Ignore</t>
  </si>
  <si>
    <t>Specific provision for non-performing loans, restructured and standard loans</t>
  </si>
  <si>
    <t>Increase/(decrease) in deposits</t>
  </si>
  <si>
    <t>Increase/(decrease) in other liabilities and provisions</t>
  </si>
  <si>
    <t>(Purchase)/sale of held to maturity securities</t>
  </si>
  <si>
    <t>Net proceeds/(repayment) of short-term borrowings</t>
  </si>
  <si>
    <t>Life Insurance</t>
  </si>
  <si>
    <t>Net Cash From Operating Activities Before EOI</t>
  </si>
  <si>
    <t>General Insurance</t>
  </si>
  <si>
    <t>Others-Before Working Capital Changes</t>
  </si>
  <si>
    <t>Segmental results ( i.e. Profit before tax and minority interest )</t>
  </si>
  <si>
    <t>Less : Inter segment adjustment</t>
  </si>
  <si>
    <t>Add : Share in profit of associates</t>
  </si>
  <si>
    <t>Loss On Sale Of Fixed Assets</t>
  </si>
  <si>
    <t>Profit before tax and minority interest</t>
  </si>
  <si>
    <t>Capital employed</t>
  </si>
  <si>
    <t>Status</t>
  </si>
  <si>
    <t>Revised Field Mapping</t>
  </si>
  <si>
    <t>Field id</t>
  </si>
  <si>
    <t>Remark</t>
  </si>
  <si>
    <t>Correct</t>
  </si>
  <si>
    <t>Incorrect</t>
  </si>
  <si>
    <t xml:space="preserve"> </t>
  </si>
  <si>
    <t>Interest Earned (a)+(b)+(c)+(d)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</si>
  <si>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</si>
  <si>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</si>
  <si>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</si>
  <si>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</si>
  <si>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Interest Expended</t>
  </si>
  <si>
    <t>Employees Cost</t>
  </si>
  <si>
    <t>Other Expenses</t>
  </si>
  <si>
    <t>Operating Profit/ (Loss) before Provisions and Contingencies</t>
  </si>
  <si>
    <t>Provisions (Other than tax) and Contingencies</t>
  </si>
  <si>
    <t>Profit/(Loss) from Ordinary Activities before Exceptional Items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</si>
  <si>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</si>
  <si>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</si>
  <si>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</si>
  <si>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</si>
  <si>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</si>
  <si>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</si>
  <si>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</si>
  <si>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</si>
  <si>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Calculated Field</t>
  </si>
  <si>
    <t>Employees Stock Options Outstanding</t>
  </si>
  <si>
    <t>Reserves And Surplus</t>
  </si>
  <si>
    <t>Other Liabilities And Provisions</t>
  </si>
  <si>
    <t>Fixed Assets</t>
  </si>
  <si>
    <t>Ignore this field</t>
  </si>
  <si>
    <t>Depreciation</t>
  </si>
  <si>
    <t>Depreciation on Investments</t>
  </si>
  <si>
    <t>Provision For Non-Performing Advances</t>
  </si>
  <si>
    <t>Provision For Standard Assets</t>
  </si>
  <si>
    <t>Provision for Contingencies &amp; Others</t>
  </si>
  <si>
    <t>Income from Subsidiaries, Joint Ventures and Consolidated Entities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</si>
  <si>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</si>
  <si>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</si>
  <si>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</si>
  <si>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</si>
  <si>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</si>
  <si>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(Increase)/Decrease in Held to Maturity investments</t>
  </si>
  <si>
    <t>Proceeds From Short Term Borrowings</t>
  </si>
  <si>
    <t>Effect of Exchange Fluctuation Translation Reserve</t>
  </si>
  <si>
    <t>Total Segment Revenue</t>
  </si>
  <si>
    <t>Less: Inter Segment Revenue</t>
  </si>
  <si>
    <t>Unallocable Corporate Assets</t>
  </si>
  <si>
    <t>Total Segment Assets</t>
  </si>
  <si>
    <t>Unallocable Corporate Liabilities</t>
  </si>
  <si>
    <t>Total Segment Liabilities</t>
  </si>
  <si>
    <t>Total Capital Employed</t>
  </si>
  <si>
    <t>Share of Profit/(Loss) of Associates</t>
  </si>
  <si>
    <t>Net Profit/(Loss) for the period</t>
  </si>
  <si>
    <t>Segment Results</t>
  </si>
  <si>
    <t>Segment Assets</t>
  </si>
  <si>
    <t>Segment Liabilities</t>
  </si>
  <si>
    <t>Total Income from Operations (net)</t>
  </si>
  <si>
    <t>Interest/discount on advances/bills+Income on investments+Interest on balances with Reserve Bank of India and other inter-bank funds+Others</t>
  </si>
  <si>
    <t>Employee cost+Other operating expenses</t>
  </si>
  <si>
    <t>Current tax+Deferred tax</t>
  </si>
  <si>
    <t>Premium and other operating income from insurance business+Others</t>
  </si>
  <si>
    <t>Employee cost+Other operating expenses+Claims and benefits paid and other expenses pertaining to insurance business</t>
  </si>
  <si>
    <t>Basic EPS /Basic EPS</t>
  </si>
  <si>
    <t>Diluted EPS /Diluted EPS</t>
  </si>
  <si>
    <t>222 /221</t>
  </si>
  <si>
    <t>234 / 233</t>
  </si>
  <si>
    <t>Purchase Of Fixed Assets</t>
  </si>
  <si>
    <t>Sale Of Fixed Assets</t>
  </si>
  <si>
    <t>Product Name</t>
  </si>
  <si>
    <t>Total Capital Expenditure</t>
  </si>
  <si>
    <t>Unallocated Income (Expenses)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</si>
</sst>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9" fontId="0" fillId="0" borderId="0" xfId="1" applyFont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0" fontId="3" fillId="2" borderId="1" xfId="0" applyFont="1" applyFill="1" applyBorder="1"/>
    <xf numFmtId="9" fontId="0" fillId="0" borderId="1" xfId="1" applyFont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1" xfId="0" applyFont="1" applyBorder="1"/>
    <xf numFmtId="0" fontId="0" fillId="0" borderId="3" xfId="0" applyFont="1" applyFill="1" applyBorder="1"/>
    <xf numFmtId="0" fontId="0" fillId="0" borderId="0" xfId="0" applyFont="1"/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0" fillId="3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/>
  </sheetViews>
  <sheetFormatPr defaultRowHeight="15" x14ac:dyDescent="0.25"/>
  <cols>
    <col min="1" max="1" width="52.140625" customWidth="1"/>
    <col min="2" max="2" width="38.28515625" customWidth="1"/>
    <col min="3" max="3" width="10.42578125" customWidth="1"/>
    <col min="4" max="4" width="33.42578125" customWidth="1"/>
    <col min="8" max="8" width="8.85546875" bestFit="1" customWidth="1"/>
    <col min="9" max="9" width="4.5703125" bestFit="1" customWidth="1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COUNTIF(C:C,$H1)</f>
        <v>14</v>
      </c>
    </row>
    <row r="2" spans="1:9" s="14" customFormat="1" x14ac:dyDescent="0.25">
      <c r="A2" s="15" t="s">
        <v>220</v>
      </c>
      <c r="B2" s="17"/>
      <c r="C2" s="15" t="s">
        <v>218</v>
      </c>
      <c r="D2" s="15" t="s">
        <v>239</v>
      </c>
      <c r="E2" s="16"/>
      <c r="F2" s="14" t="s">
        <v>272</v>
      </c>
      <c r="G2" s="15" t="s">
        <v>221</v>
      </c>
      <c r="H2" s="12" t="s">
        <v>218</v>
      </c>
      <c r="I2" s="12">
        <f>COUNTIF(C:C,$H2)</f>
        <v>28</v>
      </c>
    </row>
    <row r="3" spans="1:9" x14ac:dyDescent="0.25">
      <c r="A3" s="5" t="s">
        <v>2</v>
      </c>
      <c r="B3" s="5" t="s">
        <v>3</v>
      </c>
      <c r="C3" s="5" t="s">
        <v>218</v>
      </c>
      <c r="D3" s="6" t="s">
        <v>222</v>
      </c>
      <c r="E3" s="7">
        <v>259</v>
      </c>
      <c r="F3" s="5"/>
      <c r="H3" s="5"/>
      <c r="I3" s="9">
        <f>I1/SUM(I1:I2)</f>
        <v>0.33333333333333331</v>
      </c>
    </row>
    <row r="4" spans="1:9" x14ac:dyDescent="0.25">
      <c r="A4" s="5" t="s">
        <v>4</v>
      </c>
      <c r="B4" s="5" t="s">
        <v>5</v>
      </c>
      <c r="C4" s="5" t="s">
        <v>218</v>
      </c>
      <c r="D4" s="5" t="s">
        <v>223</v>
      </c>
      <c r="E4" s="5">
        <v>257</v>
      </c>
      <c r="F4" s="5"/>
      <c r="I4" s="4"/>
    </row>
    <row r="5" spans="1:9" x14ac:dyDescent="0.25">
      <c r="A5" s="5" t="s">
        <v>6</v>
      </c>
      <c r="B5" s="5" t="s">
        <v>7</v>
      </c>
      <c r="C5" s="5" t="s">
        <v>218</v>
      </c>
      <c r="D5" s="5" t="s">
        <v>224</v>
      </c>
      <c r="E5" s="5">
        <v>261</v>
      </c>
      <c r="F5" s="5"/>
    </row>
    <row r="6" spans="1:9" x14ac:dyDescent="0.25">
      <c r="A6" s="5" t="s">
        <v>8</v>
      </c>
      <c r="B6" s="5" t="s">
        <v>9</v>
      </c>
      <c r="C6" s="5" t="s">
        <v>218</v>
      </c>
      <c r="D6" s="6" t="s">
        <v>8</v>
      </c>
      <c r="E6" s="7">
        <v>280</v>
      </c>
      <c r="F6" s="5"/>
      <c r="H6" t="s">
        <v>219</v>
      </c>
    </row>
    <row r="7" spans="1:9" x14ac:dyDescent="0.25">
      <c r="A7" s="5" t="s">
        <v>10</v>
      </c>
      <c r="B7" s="5" t="s">
        <v>11</v>
      </c>
      <c r="C7" s="5" t="s">
        <v>217</v>
      </c>
      <c r="D7" s="5"/>
      <c r="E7" s="5"/>
      <c r="F7" s="5"/>
    </row>
    <row r="8" spans="1:9" x14ac:dyDescent="0.25">
      <c r="A8" s="5" t="s">
        <v>12</v>
      </c>
      <c r="B8" s="5" t="s">
        <v>13</v>
      </c>
      <c r="C8" s="5" t="s">
        <v>218</v>
      </c>
      <c r="D8" s="10" t="s">
        <v>271</v>
      </c>
      <c r="E8" s="11">
        <v>266</v>
      </c>
      <c r="F8" s="12"/>
      <c r="G8" s="13"/>
    </row>
    <row r="9" spans="1:9" x14ac:dyDescent="0.25">
      <c r="A9" s="5" t="s">
        <v>14</v>
      </c>
      <c r="B9" s="5" t="s">
        <v>15</v>
      </c>
      <c r="C9" s="5" t="s">
        <v>218</v>
      </c>
      <c r="D9" s="6" t="s">
        <v>225</v>
      </c>
      <c r="E9" s="7">
        <v>246</v>
      </c>
      <c r="F9" s="5"/>
    </row>
    <row r="10" spans="1:9" x14ac:dyDescent="0.25">
      <c r="A10" s="5" t="s">
        <v>16</v>
      </c>
      <c r="B10" s="5" t="s">
        <v>17</v>
      </c>
      <c r="C10" s="5" t="s">
        <v>218</v>
      </c>
      <c r="D10" s="5" t="s">
        <v>239</v>
      </c>
      <c r="E10" s="5"/>
      <c r="F10" s="5" t="s">
        <v>273</v>
      </c>
    </row>
    <row r="11" spans="1:9" x14ac:dyDescent="0.25">
      <c r="A11" s="5" t="s">
        <v>18</v>
      </c>
      <c r="B11" s="5" t="s">
        <v>19</v>
      </c>
      <c r="C11" s="5" t="s">
        <v>218</v>
      </c>
      <c r="D11" s="5" t="s">
        <v>226</v>
      </c>
      <c r="E11" s="5">
        <v>238</v>
      </c>
      <c r="F11" s="5"/>
    </row>
    <row r="12" spans="1:9" x14ac:dyDescent="0.25">
      <c r="A12" s="5" t="s">
        <v>20</v>
      </c>
      <c r="B12" s="5" t="s">
        <v>17</v>
      </c>
      <c r="C12" s="5" t="s">
        <v>218</v>
      </c>
      <c r="D12" s="5" t="s">
        <v>227</v>
      </c>
      <c r="E12" s="5">
        <v>279</v>
      </c>
      <c r="F12" s="5"/>
    </row>
    <row r="13" spans="1:9" x14ac:dyDescent="0.25">
      <c r="A13" s="5" t="s">
        <v>21</v>
      </c>
      <c r="B13" s="5" t="s">
        <v>22</v>
      </c>
      <c r="C13" s="5" t="s">
        <v>218</v>
      </c>
      <c r="D13" s="10" t="s">
        <v>239</v>
      </c>
      <c r="E13" s="11"/>
      <c r="F13" s="5"/>
    </row>
    <row r="14" spans="1:9" x14ac:dyDescent="0.25">
      <c r="A14" s="5" t="s">
        <v>23</v>
      </c>
      <c r="B14" s="5" t="s">
        <v>22</v>
      </c>
      <c r="C14" s="5" t="s">
        <v>218</v>
      </c>
      <c r="D14" s="10" t="s">
        <v>228</v>
      </c>
      <c r="E14" s="11">
        <v>277</v>
      </c>
      <c r="F14" s="5"/>
    </row>
    <row r="15" spans="1:9" x14ac:dyDescent="0.25">
      <c r="A15" s="5" t="s">
        <v>24</v>
      </c>
      <c r="B15" s="5" t="s">
        <v>25</v>
      </c>
      <c r="C15" s="5" t="s">
        <v>218</v>
      </c>
      <c r="D15" s="6" t="s">
        <v>229</v>
      </c>
      <c r="E15" s="7">
        <v>303</v>
      </c>
      <c r="F15" s="5"/>
    </row>
    <row r="16" spans="1:9" x14ac:dyDescent="0.25">
      <c r="A16" s="5" t="s">
        <v>26</v>
      </c>
      <c r="B16" s="5" t="s">
        <v>7</v>
      </c>
      <c r="C16" s="5" t="s">
        <v>218</v>
      </c>
      <c r="D16" s="10" t="s">
        <v>230</v>
      </c>
      <c r="E16" s="11">
        <v>294</v>
      </c>
      <c r="F16" s="5"/>
    </row>
    <row r="17" spans="1:6" x14ac:dyDescent="0.25">
      <c r="A17" s="5" t="s">
        <v>27</v>
      </c>
      <c r="B17" s="5" t="s">
        <v>28</v>
      </c>
      <c r="C17" s="5" t="s">
        <v>217</v>
      </c>
      <c r="D17" s="5"/>
      <c r="E17" s="5"/>
      <c r="F17" s="5"/>
    </row>
    <row r="18" spans="1:6" x14ac:dyDescent="0.25">
      <c r="A18" s="5" t="s">
        <v>29</v>
      </c>
      <c r="B18" s="5" t="s">
        <v>30</v>
      </c>
      <c r="C18" s="5" t="s">
        <v>217</v>
      </c>
      <c r="D18" s="5"/>
      <c r="E18" s="5"/>
      <c r="F18" s="5"/>
    </row>
    <row r="19" spans="1:6" x14ac:dyDescent="0.25">
      <c r="A19" s="5" t="s">
        <v>31</v>
      </c>
      <c r="B19" s="5" t="s">
        <v>7</v>
      </c>
      <c r="C19" s="5" t="s">
        <v>218</v>
      </c>
      <c r="D19" s="5" t="s">
        <v>239</v>
      </c>
      <c r="E19" s="5"/>
      <c r="F19" s="5" t="s">
        <v>274</v>
      </c>
    </row>
    <row r="20" spans="1:6" x14ac:dyDescent="0.25">
      <c r="A20" s="5" t="s">
        <v>32</v>
      </c>
      <c r="B20" s="5" t="s">
        <v>33</v>
      </c>
      <c r="C20" s="5" t="s">
        <v>217</v>
      </c>
      <c r="D20" s="5"/>
      <c r="E20" s="5"/>
      <c r="F20" s="5"/>
    </row>
    <row r="21" spans="1:6" x14ac:dyDescent="0.25">
      <c r="A21" s="5" t="s">
        <v>34</v>
      </c>
      <c r="B21" s="5" t="s">
        <v>35</v>
      </c>
      <c r="C21" s="5" t="s">
        <v>217</v>
      </c>
      <c r="D21" s="5" t="s">
        <v>219</v>
      </c>
      <c r="E21" s="5"/>
      <c r="F21" s="5"/>
    </row>
    <row r="22" spans="1:6" x14ac:dyDescent="0.25">
      <c r="A22" s="5" t="s">
        <v>36</v>
      </c>
      <c r="B22" s="5" t="s">
        <v>30</v>
      </c>
      <c r="C22" s="5" t="s">
        <v>218</v>
      </c>
      <c r="D22" s="10" t="s">
        <v>56</v>
      </c>
      <c r="E22" s="11">
        <v>270</v>
      </c>
      <c r="F22" s="5"/>
    </row>
    <row r="23" spans="1:6" x14ac:dyDescent="0.25">
      <c r="A23" s="5" t="s">
        <v>37</v>
      </c>
      <c r="B23" s="5" t="s">
        <v>15</v>
      </c>
      <c r="C23" s="5" t="s">
        <v>217</v>
      </c>
      <c r="D23" s="5"/>
      <c r="E23" s="5"/>
      <c r="F23" s="5"/>
    </row>
    <row r="24" spans="1:6" x14ac:dyDescent="0.25">
      <c r="A24" s="5" t="s">
        <v>38</v>
      </c>
      <c r="B24" s="5" t="s">
        <v>39</v>
      </c>
      <c r="C24" s="5" t="s">
        <v>217</v>
      </c>
      <c r="D24" s="5"/>
      <c r="E24" s="5"/>
      <c r="F24" s="5"/>
    </row>
    <row r="25" spans="1:6" x14ac:dyDescent="0.25">
      <c r="A25" s="5" t="s">
        <v>40</v>
      </c>
      <c r="B25" s="5" t="s">
        <v>41</v>
      </c>
      <c r="C25" s="5" t="s">
        <v>217</v>
      </c>
      <c r="D25" s="5"/>
      <c r="E25" s="5"/>
      <c r="F25" s="5"/>
    </row>
    <row r="26" spans="1:6" x14ac:dyDescent="0.25">
      <c r="A26" s="5" t="s">
        <v>42</v>
      </c>
      <c r="B26" s="5" t="s">
        <v>43</v>
      </c>
      <c r="C26" s="5" t="s">
        <v>217</v>
      </c>
      <c r="D26" s="5"/>
      <c r="E26" s="5"/>
      <c r="F26" s="5"/>
    </row>
    <row r="27" spans="1:6" x14ac:dyDescent="0.25">
      <c r="A27" s="5" t="s">
        <v>44</v>
      </c>
      <c r="B27" s="5" t="s">
        <v>7</v>
      </c>
      <c r="C27" s="5" t="s">
        <v>217</v>
      </c>
      <c r="D27" s="5"/>
      <c r="E27" s="5"/>
      <c r="F27" s="5"/>
    </row>
    <row r="28" spans="1:6" s="14" customFormat="1" x14ac:dyDescent="0.25">
      <c r="A28" s="12" t="s">
        <v>45</v>
      </c>
      <c r="B28" s="12" t="s">
        <v>7</v>
      </c>
      <c r="C28" s="12" t="s">
        <v>218</v>
      </c>
      <c r="D28" s="10" t="s">
        <v>231</v>
      </c>
      <c r="E28" s="11">
        <v>290</v>
      </c>
      <c r="F28" s="12"/>
    </row>
    <row r="29" spans="1:6" x14ac:dyDescent="0.25">
      <c r="A29" s="5" t="s">
        <v>46</v>
      </c>
      <c r="B29" s="5" t="s">
        <v>7</v>
      </c>
      <c r="C29" s="5" t="s">
        <v>218</v>
      </c>
      <c r="D29" s="6" t="s">
        <v>232</v>
      </c>
      <c r="E29" s="7">
        <v>220</v>
      </c>
      <c r="F29" s="5"/>
    </row>
    <row r="30" spans="1:6" x14ac:dyDescent="0.25">
      <c r="A30" s="5" t="s">
        <v>47</v>
      </c>
      <c r="B30" s="5" t="s">
        <v>7</v>
      </c>
      <c r="C30" s="5" t="s">
        <v>217</v>
      </c>
      <c r="D30" s="5"/>
      <c r="E30" s="5"/>
      <c r="F30" s="5"/>
    </row>
    <row r="31" spans="1:6" x14ac:dyDescent="0.25">
      <c r="A31" s="5" t="s">
        <v>48</v>
      </c>
      <c r="B31" s="5" t="s">
        <v>49</v>
      </c>
      <c r="C31" s="5" t="s">
        <v>217</v>
      </c>
      <c r="D31" s="5" t="s">
        <v>277</v>
      </c>
      <c r="E31" s="5" t="s">
        <v>279</v>
      </c>
      <c r="F31" s="5"/>
    </row>
    <row r="32" spans="1:6" x14ac:dyDescent="0.25">
      <c r="A32" s="5" t="s">
        <v>50</v>
      </c>
      <c r="B32" s="5" t="s">
        <v>51</v>
      </c>
      <c r="C32" s="5" t="s">
        <v>217</v>
      </c>
      <c r="D32" s="5" t="s">
        <v>278</v>
      </c>
      <c r="E32" s="5" t="s">
        <v>280</v>
      </c>
      <c r="F32" s="5"/>
    </row>
    <row r="33" spans="1:6" x14ac:dyDescent="0.25">
      <c r="A33" s="5" t="s">
        <v>52</v>
      </c>
      <c r="B33" s="5" t="s">
        <v>7</v>
      </c>
      <c r="C33" s="5" t="s">
        <v>217</v>
      </c>
      <c r="D33" s="5"/>
      <c r="E33" s="5"/>
      <c r="F33" s="5"/>
    </row>
    <row r="34" spans="1:6" x14ac:dyDescent="0.25">
      <c r="A34" s="5" t="s">
        <v>53</v>
      </c>
      <c r="B34" s="5" t="s">
        <v>54</v>
      </c>
      <c r="C34" s="5" t="s">
        <v>218</v>
      </c>
      <c r="D34" s="6" t="s">
        <v>233</v>
      </c>
      <c r="E34" s="7">
        <v>255</v>
      </c>
      <c r="F34" s="5"/>
    </row>
    <row r="35" spans="1:6" x14ac:dyDescent="0.25">
      <c r="A35" s="5" t="s">
        <v>55</v>
      </c>
      <c r="B35" s="5" t="s">
        <v>56</v>
      </c>
      <c r="C35" s="5" t="s">
        <v>218</v>
      </c>
      <c r="D35" s="6" t="s">
        <v>234</v>
      </c>
      <c r="E35" s="7">
        <v>267</v>
      </c>
      <c r="F35" s="5"/>
    </row>
    <row r="36" spans="1:6" x14ac:dyDescent="0.25">
      <c r="A36" s="5" t="s">
        <v>57</v>
      </c>
      <c r="B36" s="5" t="s">
        <v>54</v>
      </c>
      <c r="C36" s="5" t="s">
        <v>218</v>
      </c>
      <c r="D36" s="6" t="s">
        <v>235</v>
      </c>
      <c r="E36" s="7">
        <v>283</v>
      </c>
      <c r="F36" s="5"/>
    </row>
    <row r="37" spans="1:6" x14ac:dyDescent="0.25">
      <c r="A37" s="5" t="s">
        <v>58</v>
      </c>
      <c r="B37" s="5" t="s">
        <v>39</v>
      </c>
      <c r="C37" s="5" t="s">
        <v>218</v>
      </c>
      <c r="D37" s="6" t="s">
        <v>236</v>
      </c>
      <c r="E37" s="7">
        <v>284</v>
      </c>
      <c r="F37" s="5"/>
    </row>
    <row r="38" spans="1:6" x14ac:dyDescent="0.25">
      <c r="A38" s="5" t="s">
        <v>59</v>
      </c>
      <c r="B38" s="5" t="s">
        <v>60</v>
      </c>
      <c r="C38" s="5" t="s">
        <v>218</v>
      </c>
      <c r="D38" s="6" t="s">
        <v>237</v>
      </c>
      <c r="E38" s="7">
        <v>312</v>
      </c>
      <c r="F38" s="5"/>
    </row>
    <row r="39" spans="1:6" x14ac:dyDescent="0.25">
      <c r="A39" s="5" t="s">
        <v>61</v>
      </c>
      <c r="B39" s="5" t="s">
        <v>5</v>
      </c>
      <c r="C39" s="5" t="s">
        <v>218</v>
      </c>
      <c r="D39" s="5"/>
      <c r="E39" s="5"/>
      <c r="F39" s="5" t="s">
        <v>244</v>
      </c>
    </row>
    <row r="40" spans="1:6" x14ac:dyDescent="0.25">
      <c r="A40" s="5" t="s">
        <v>62</v>
      </c>
      <c r="B40" s="5" t="s">
        <v>7</v>
      </c>
      <c r="C40" s="5" t="s">
        <v>218</v>
      </c>
      <c r="D40" s="5"/>
      <c r="E40" s="5"/>
      <c r="F40" s="5" t="s">
        <v>244</v>
      </c>
    </row>
    <row r="41" spans="1:6" x14ac:dyDescent="0.25">
      <c r="A41" s="5" t="s">
        <v>63</v>
      </c>
      <c r="B41" s="5" t="s">
        <v>41</v>
      </c>
      <c r="C41" s="5" t="s">
        <v>218</v>
      </c>
      <c r="D41" s="5"/>
      <c r="E41" s="5"/>
      <c r="F41" s="5" t="s">
        <v>244</v>
      </c>
    </row>
    <row r="42" spans="1:6" x14ac:dyDescent="0.25">
      <c r="A42" s="5" t="s">
        <v>64</v>
      </c>
      <c r="B42" s="5" t="s">
        <v>7</v>
      </c>
      <c r="C42" s="5" t="s">
        <v>218</v>
      </c>
      <c r="D42" s="6" t="s">
        <v>238</v>
      </c>
      <c r="E42" s="7">
        <v>24697</v>
      </c>
      <c r="F42" s="5"/>
    </row>
    <row r="43" spans="1:6" x14ac:dyDescent="0.25">
      <c r="A43" s="5" t="s">
        <v>65</v>
      </c>
      <c r="B43" s="5" t="s">
        <v>66</v>
      </c>
      <c r="C43" s="5" t="s">
        <v>218</v>
      </c>
      <c r="D43" s="5"/>
      <c r="E43" s="5"/>
      <c r="F43" s="5" t="s">
        <v>244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workbookViewId="0"/>
  </sheetViews>
  <sheetFormatPr defaultRowHeight="15" x14ac:dyDescent="0.25"/>
  <cols>
    <col min="1" max="1" width="51.85546875" customWidth="1"/>
    <col min="2" max="2" width="48.85546875" customWidth="1"/>
    <col min="3" max="3" width="11.28515625" customWidth="1"/>
    <col min="4" max="4" width="35.28515625" style="14" customWidth="1"/>
    <col min="5" max="6" width="9.140625" style="14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COUNTIF(C:C,$H1)</f>
        <v>12</v>
      </c>
    </row>
    <row r="2" spans="1:9" s="14" customFormat="1" x14ac:dyDescent="0.25">
      <c r="A2" s="15" t="s">
        <v>220</v>
      </c>
      <c r="B2" s="17"/>
      <c r="C2" s="15" t="s">
        <v>218</v>
      </c>
      <c r="D2" s="15" t="s">
        <v>239</v>
      </c>
      <c r="E2" s="16"/>
      <c r="F2" s="12" t="s">
        <v>272</v>
      </c>
      <c r="G2" s="18" t="s">
        <v>221</v>
      </c>
      <c r="H2" s="12" t="s">
        <v>218</v>
      </c>
      <c r="I2" s="12">
        <f>COUNTIF(C:C,$H2)</f>
        <v>21</v>
      </c>
    </row>
    <row r="3" spans="1:9" x14ac:dyDescent="0.25">
      <c r="A3" s="5" t="s">
        <v>2</v>
      </c>
      <c r="B3" s="5" t="s">
        <v>3</v>
      </c>
      <c r="C3" s="5" t="s">
        <v>218</v>
      </c>
      <c r="D3" s="12" t="s">
        <v>222</v>
      </c>
      <c r="E3" s="12">
        <v>259</v>
      </c>
      <c r="F3" s="5"/>
      <c r="H3" s="5"/>
      <c r="I3" s="9">
        <f>I1/SUM(I1:I2)</f>
        <v>0.36363636363636365</v>
      </c>
    </row>
    <row r="4" spans="1:9" x14ac:dyDescent="0.25">
      <c r="A4" s="5" t="s">
        <v>4</v>
      </c>
      <c r="B4" s="5" t="s">
        <v>5</v>
      </c>
      <c r="C4" s="5" t="s">
        <v>218</v>
      </c>
      <c r="D4" s="12" t="s">
        <v>223</v>
      </c>
      <c r="E4" s="11">
        <v>257</v>
      </c>
      <c r="F4" s="5"/>
      <c r="I4" s="4"/>
    </row>
    <row r="5" spans="1:9" x14ac:dyDescent="0.25">
      <c r="A5" s="5" t="s">
        <v>6</v>
      </c>
      <c r="B5" s="5" t="s">
        <v>7</v>
      </c>
      <c r="C5" s="5" t="s">
        <v>218</v>
      </c>
      <c r="D5" s="12" t="s">
        <v>224</v>
      </c>
      <c r="E5" s="11">
        <v>261</v>
      </c>
      <c r="F5" s="5"/>
    </row>
    <row r="6" spans="1:9" x14ac:dyDescent="0.25">
      <c r="A6" s="5" t="s">
        <v>8</v>
      </c>
      <c r="B6" s="5" t="s">
        <v>9</v>
      </c>
      <c r="C6" s="5" t="s">
        <v>218</v>
      </c>
      <c r="D6" s="12" t="s">
        <v>8</v>
      </c>
      <c r="E6" s="11">
        <v>280</v>
      </c>
      <c r="F6" s="5"/>
    </row>
    <row r="7" spans="1:9" x14ac:dyDescent="0.25">
      <c r="A7" s="5" t="s">
        <v>10</v>
      </c>
      <c r="B7" s="5" t="s">
        <v>11</v>
      </c>
      <c r="C7" s="5" t="s">
        <v>218</v>
      </c>
      <c r="D7" s="12" t="s">
        <v>239</v>
      </c>
      <c r="E7" s="12"/>
      <c r="F7" s="5" t="s">
        <v>275</v>
      </c>
    </row>
    <row r="8" spans="1:9" x14ac:dyDescent="0.25">
      <c r="A8" s="5" t="s">
        <v>182</v>
      </c>
      <c r="B8" s="5" t="s">
        <v>7</v>
      </c>
      <c r="C8" s="5" t="s">
        <v>218</v>
      </c>
      <c r="D8" s="12" t="s">
        <v>11</v>
      </c>
      <c r="E8" s="11">
        <v>265</v>
      </c>
      <c r="F8" s="5"/>
    </row>
    <row r="9" spans="1:9" x14ac:dyDescent="0.25">
      <c r="A9" s="5" t="s">
        <v>8</v>
      </c>
      <c r="B9" s="5" t="s">
        <v>9</v>
      </c>
      <c r="C9" s="5" t="s">
        <v>218</v>
      </c>
      <c r="D9" s="12" t="s">
        <v>11</v>
      </c>
      <c r="E9" s="11">
        <v>265</v>
      </c>
      <c r="F9" s="5"/>
    </row>
    <row r="10" spans="1:9" x14ac:dyDescent="0.25">
      <c r="A10" s="5" t="s">
        <v>12</v>
      </c>
      <c r="B10" s="5" t="s">
        <v>13</v>
      </c>
      <c r="C10" s="5" t="s">
        <v>218</v>
      </c>
      <c r="D10" s="10" t="s">
        <v>271</v>
      </c>
      <c r="E10" s="11">
        <v>266</v>
      </c>
      <c r="F10" s="5"/>
    </row>
    <row r="11" spans="1:9" x14ac:dyDescent="0.25">
      <c r="A11" s="5" t="s">
        <v>14</v>
      </c>
      <c r="B11" s="5" t="s">
        <v>15</v>
      </c>
      <c r="C11" s="5" t="s">
        <v>218</v>
      </c>
      <c r="D11" s="12" t="s">
        <v>225</v>
      </c>
      <c r="E11" s="11">
        <v>246</v>
      </c>
      <c r="F11" s="5"/>
    </row>
    <row r="12" spans="1:9" x14ac:dyDescent="0.25">
      <c r="A12" s="5" t="s">
        <v>16</v>
      </c>
      <c r="B12" s="5" t="s">
        <v>17</v>
      </c>
      <c r="C12" s="5" t="s">
        <v>218</v>
      </c>
      <c r="D12" s="12" t="s">
        <v>239</v>
      </c>
      <c r="E12" s="12"/>
      <c r="F12" s="5" t="s">
        <v>276</v>
      </c>
    </row>
    <row r="13" spans="1:9" x14ac:dyDescent="0.25">
      <c r="A13" s="5" t="s">
        <v>18</v>
      </c>
      <c r="B13" s="5" t="s">
        <v>19</v>
      </c>
      <c r="C13" s="5" t="s">
        <v>218</v>
      </c>
      <c r="D13" s="12" t="s">
        <v>226</v>
      </c>
      <c r="E13" s="11">
        <v>238</v>
      </c>
      <c r="F13" s="5"/>
    </row>
    <row r="14" spans="1:9" x14ac:dyDescent="0.25">
      <c r="A14" s="5" t="s">
        <v>183</v>
      </c>
      <c r="B14" s="5" t="s">
        <v>7</v>
      </c>
      <c r="C14" s="5" t="s">
        <v>218</v>
      </c>
      <c r="D14" s="12" t="s">
        <v>227</v>
      </c>
      <c r="E14" s="11">
        <v>279</v>
      </c>
      <c r="F14" s="5"/>
    </row>
    <row r="15" spans="1:9" x14ac:dyDescent="0.25">
      <c r="A15" s="5" t="s">
        <v>20</v>
      </c>
      <c r="B15" s="5" t="s">
        <v>17</v>
      </c>
      <c r="C15" s="5" t="s">
        <v>218</v>
      </c>
      <c r="D15" s="12" t="s">
        <v>227</v>
      </c>
      <c r="E15" s="11">
        <v>279</v>
      </c>
      <c r="F15" s="5"/>
    </row>
    <row r="16" spans="1:9" x14ac:dyDescent="0.25">
      <c r="A16" s="5" t="s">
        <v>21</v>
      </c>
      <c r="B16" s="5" t="s">
        <v>22</v>
      </c>
      <c r="C16" s="5" t="s">
        <v>218</v>
      </c>
      <c r="D16" s="10" t="s">
        <v>239</v>
      </c>
      <c r="E16" s="11"/>
      <c r="F16" s="5"/>
    </row>
    <row r="17" spans="1:6" x14ac:dyDescent="0.25">
      <c r="A17" s="5" t="s">
        <v>23</v>
      </c>
      <c r="B17" s="5" t="s">
        <v>22</v>
      </c>
      <c r="C17" s="5" t="s">
        <v>218</v>
      </c>
      <c r="D17" s="10" t="s">
        <v>228</v>
      </c>
      <c r="E17" s="11">
        <v>277</v>
      </c>
      <c r="F17" s="5"/>
    </row>
    <row r="18" spans="1:6" x14ac:dyDescent="0.25">
      <c r="A18" s="5" t="s">
        <v>24</v>
      </c>
      <c r="B18" s="5" t="s">
        <v>25</v>
      </c>
      <c r="C18" s="5" t="s">
        <v>218</v>
      </c>
      <c r="D18" s="12" t="s">
        <v>229</v>
      </c>
      <c r="E18" s="11">
        <v>303</v>
      </c>
      <c r="F18" s="5"/>
    </row>
    <row r="19" spans="1:6" x14ac:dyDescent="0.25">
      <c r="A19" s="5" t="s">
        <v>26</v>
      </c>
      <c r="B19" s="5" t="s">
        <v>7</v>
      </c>
      <c r="C19" s="5" t="s">
        <v>218</v>
      </c>
      <c r="D19" s="12" t="s">
        <v>230</v>
      </c>
      <c r="E19" s="11">
        <v>294</v>
      </c>
      <c r="F19" s="5"/>
    </row>
    <row r="20" spans="1:6" x14ac:dyDescent="0.25">
      <c r="A20" s="5" t="s">
        <v>27</v>
      </c>
      <c r="B20" s="5" t="s">
        <v>28</v>
      </c>
      <c r="C20" s="5" t="s">
        <v>217</v>
      </c>
      <c r="D20" s="12"/>
      <c r="E20" s="12"/>
      <c r="F20" s="5"/>
    </row>
    <row r="21" spans="1:6" x14ac:dyDescent="0.25">
      <c r="A21" s="5" t="s">
        <v>184</v>
      </c>
      <c r="B21" s="5" t="s">
        <v>185</v>
      </c>
      <c r="C21" s="5" t="s">
        <v>217</v>
      </c>
      <c r="D21" s="12" t="s">
        <v>219</v>
      </c>
      <c r="E21" s="12"/>
      <c r="F21" s="5"/>
    </row>
    <row r="22" spans="1:6" x14ac:dyDescent="0.25">
      <c r="A22" s="5" t="s">
        <v>186</v>
      </c>
      <c r="B22" s="5" t="s">
        <v>7</v>
      </c>
      <c r="C22" s="5" t="s">
        <v>218</v>
      </c>
      <c r="D22" s="12" t="s">
        <v>30</v>
      </c>
      <c r="E22" s="11">
        <v>296</v>
      </c>
      <c r="F22" s="5"/>
    </row>
    <row r="23" spans="1:6" x14ac:dyDescent="0.25">
      <c r="A23" s="5" t="s">
        <v>31</v>
      </c>
      <c r="B23" s="5" t="s">
        <v>7</v>
      </c>
      <c r="C23" s="5" t="s">
        <v>218</v>
      </c>
      <c r="D23" s="12" t="s">
        <v>239</v>
      </c>
      <c r="E23" s="12"/>
      <c r="F23" s="5" t="s">
        <v>274</v>
      </c>
    </row>
    <row r="24" spans="1:6" x14ac:dyDescent="0.25">
      <c r="A24" s="5" t="s">
        <v>32</v>
      </c>
      <c r="B24" s="5" t="s">
        <v>33</v>
      </c>
      <c r="C24" s="5" t="s">
        <v>217</v>
      </c>
      <c r="D24" s="12"/>
      <c r="E24" s="12"/>
      <c r="F24" s="5"/>
    </row>
    <row r="25" spans="1:6" x14ac:dyDescent="0.25">
      <c r="A25" s="5" t="s">
        <v>34</v>
      </c>
      <c r="B25" s="5" t="s">
        <v>35</v>
      </c>
      <c r="C25" s="5" t="s">
        <v>217</v>
      </c>
      <c r="D25" s="12"/>
      <c r="E25" s="12"/>
      <c r="F25" s="5"/>
    </row>
    <row r="26" spans="1:6" x14ac:dyDescent="0.25">
      <c r="A26" s="5" t="s">
        <v>187</v>
      </c>
      <c r="B26" s="5" t="s">
        <v>188</v>
      </c>
      <c r="C26" s="5" t="s">
        <v>217</v>
      </c>
      <c r="D26" s="12"/>
      <c r="E26" s="11"/>
      <c r="F26" s="5"/>
    </row>
    <row r="27" spans="1:6" x14ac:dyDescent="0.25">
      <c r="A27" s="5" t="s">
        <v>36</v>
      </c>
      <c r="B27" s="5" t="s">
        <v>30</v>
      </c>
      <c r="C27" s="5" t="s">
        <v>218</v>
      </c>
      <c r="D27" s="12" t="s">
        <v>56</v>
      </c>
      <c r="E27" s="11">
        <v>270</v>
      </c>
      <c r="F27" s="5"/>
    </row>
    <row r="28" spans="1:6" x14ac:dyDescent="0.25">
      <c r="A28" s="5" t="s">
        <v>37</v>
      </c>
      <c r="B28" s="5" t="s">
        <v>15</v>
      </c>
      <c r="C28" s="5" t="s">
        <v>217</v>
      </c>
      <c r="D28" s="12"/>
      <c r="E28" s="12"/>
      <c r="F28" s="5"/>
    </row>
    <row r="29" spans="1:6" x14ac:dyDescent="0.25">
      <c r="A29" s="5" t="s">
        <v>38</v>
      </c>
      <c r="B29" s="5" t="s">
        <v>39</v>
      </c>
      <c r="C29" s="5" t="s">
        <v>217</v>
      </c>
      <c r="D29" s="12"/>
      <c r="E29" s="12"/>
      <c r="F29" s="5"/>
    </row>
    <row r="30" spans="1:6" x14ac:dyDescent="0.25">
      <c r="A30" s="5" t="s">
        <v>189</v>
      </c>
      <c r="B30" s="5" t="s">
        <v>41</v>
      </c>
      <c r="C30" s="5" t="s">
        <v>217</v>
      </c>
      <c r="D30" s="12"/>
      <c r="E30" s="12"/>
      <c r="F30" s="5"/>
    </row>
    <row r="31" spans="1:6" x14ac:dyDescent="0.25">
      <c r="A31" s="5" t="s">
        <v>42</v>
      </c>
      <c r="B31" s="5" t="s">
        <v>43</v>
      </c>
      <c r="C31" s="5" t="s">
        <v>217</v>
      </c>
      <c r="D31" s="12"/>
      <c r="E31" s="12"/>
      <c r="F31" s="5"/>
    </row>
    <row r="32" spans="1:6" x14ac:dyDescent="0.25">
      <c r="A32" s="5" t="s">
        <v>47</v>
      </c>
      <c r="B32" s="5" t="s">
        <v>7</v>
      </c>
      <c r="C32" s="5" t="s">
        <v>217</v>
      </c>
      <c r="D32" s="12"/>
      <c r="E32" s="12"/>
      <c r="F32" s="5"/>
    </row>
    <row r="33" spans="1:6" x14ac:dyDescent="0.25">
      <c r="A33" s="5" t="s">
        <v>48</v>
      </c>
      <c r="B33" s="5" t="s">
        <v>49</v>
      </c>
      <c r="C33" s="5" t="s">
        <v>217</v>
      </c>
      <c r="D33" s="5" t="s">
        <v>277</v>
      </c>
      <c r="E33" s="5" t="s">
        <v>279</v>
      </c>
      <c r="F33" s="5"/>
    </row>
    <row r="34" spans="1:6" x14ac:dyDescent="0.25">
      <c r="A34" s="5" t="s">
        <v>50</v>
      </c>
      <c r="B34" s="5" t="s">
        <v>51</v>
      </c>
      <c r="C34" s="5" t="s">
        <v>217</v>
      </c>
      <c r="D34" s="5" t="s">
        <v>278</v>
      </c>
      <c r="E34" s="5" t="s">
        <v>280</v>
      </c>
      <c r="F34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5" x14ac:dyDescent="0.25"/>
  <cols>
    <col min="1" max="1" width="55.5703125" customWidth="1"/>
    <col min="2" max="2" width="38.42578125" customWidth="1"/>
    <col min="4" max="4" width="34.140625" customWidth="1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COUNTIF(C:C,$H1)</f>
        <v>5</v>
      </c>
    </row>
    <row r="2" spans="1:9" x14ac:dyDescent="0.25">
      <c r="A2" s="5" t="s">
        <v>67</v>
      </c>
      <c r="B2" s="5" t="s">
        <v>68</v>
      </c>
      <c r="C2" s="5" t="s">
        <v>217</v>
      </c>
      <c r="D2" s="5"/>
      <c r="E2" s="5"/>
      <c r="F2" s="5"/>
      <c r="H2" s="2" t="s">
        <v>218</v>
      </c>
      <c r="I2" s="5">
        <f>COUNTIF(C:C,$H2)</f>
        <v>10</v>
      </c>
    </row>
    <row r="3" spans="1:9" x14ac:dyDescent="0.25">
      <c r="A3" s="5" t="s">
        <v>69</v>
      </c>
      <c r="B3" s="5" t="s">
        <v>66</v>
      </c>
      <c r="C3" s="5" t="s">
        <v>218</v>
      </c>
      <c r="D3" s="5" t="s">
        <v>240</v>
      </c>
      <c r="E3" s="7">
        <v>13729</v>
      </c>
      <c r="F3" s="5"/>
      <c r="H3" s="5"/>
      <c r="I3" s="9">
        <f>I1/SUM(I1:I2)</f>
        <v>0.33333333333333331</v>
      </c>
    </row>
    <row r="4" spans="1:9" x14ac:dyDescent="0.25">
      <c r="A4" s="5" t="s">
        <v>70</v>
      </c>
      <c r="B4" s="5" t="s">
        <v>71</v>
      </c>
      <c r="C4" s="5" t="s">
        <v>218</v>
      </c>
      <c r="D4" s="5" t="s">
        <v>241</v>
      </c>
      <c r="E4" s="7">
        <v>13762</v>
      </c>
      <c r="F4" s="5"/>
    </row>
    <row r="5" spans="1:9" x14ac:dyDescent="0.25">
      <c r="A5" s="5" t="s">
        <v>72</v>
      </c>
      <c r="B5" s="5" t="s">
        <v>73</v>
      </c>
      <c r="C5" s="5" t="s">
        <v>218</v>
      </c>
      <c r="D5" s="5" t="s">
        <v>72</v>
      </c>
      <c r="E5" s="7">
        <v>13728</v>
      </c>
      <c r="F5" s="5"/>
    </row>
    <row r="6" spans="1:9" x14ac:dyDescent="0.25">
      <c r="A6" s="5" t="s">
        <v>74</v>
      </c>
      <c r="B6" s="5" t="s">
        <v>75</v>
      </c>
      <c r="C6" s="5" t="s">
        <v>217</v>
      </c>
      <c r="D6" s="5"/>
      <c r="E6" s="5"/>
      <c r="F6" s="5"/>
    </row>
    <row r="7" spans="1:9" x14ac:dyDescent="0.25">
      <c r="A7" s="5" t="s">
        <v>76</v>
      </c>
      <c r="B7" s="5" t="s">
        <v>77</v>
      </c>
      <c r="C7" s="5" t="s">
        <v>218</v>
      </c>
      <c r="D7" s="5" t="s">
        <v>242</v>
      </c>
      <c r="E7" s="7">
        <v>13752</v>
      </c>
      <c r="F7" s="5"/>
    </row>
    <row r="8" spans="1:9" x14ac:dyDescent="0.25">
      <c r="A8" s="5" t="s">
        <v>78</v>
      </c>
      <c r="B8" s="5" t="s">
        <v>79</v>
      </c>
      <c r="C8" s="5" t="s">
        <v>217</v>
      </c>
      <c r="D8" s="5"/>
      <c r="E8" s="5"/>
      <c r="F8" s="5"/>
    </row>
    <row r="9" spans="1:9" x14ac:dyDescent="0.25">
      <c r="A9" s="5" t="s">
        <v>80</v>
      </c>
      <c r="B9" s="5" t="s">
        <v>7</v>
      </c>
      <c r="C9" s="5" t="s">
        <v>217</v>
      </c>
      <c r="D9" s="5"/>
      <c r="E9" s="5"/>
      <c r="F9" s="5"/>
    </row>
    <row r="10" spans="1:9" x14ac:dyDescent="0.25">
      <c r="A10" s="5" t="s">
        <v>81</v>
      </c>
      <c r="B10" s="5" t="s">
        <v>82</v>
      </c>
      <c r="C10" s="5" t="s">
        <v>218</v>
      </c>
      <c r="D10" s="5" t="s">
        <v>81</v>
      </c>
      <c r="E10" s="5">
        <v>13721</v>
      </c>
      <c r="F10" s="5"/>
    </row>
    <row r="11" spans="1:9" x14ac:dyDescent="0.25">
      <c r="A11" s="5" t="s">
        <v>83</v>
      </c>
      <c r="B11" s="5" t="s">
        <v>73</v>
      </c>
      <c r="C11" s="5" t="s">
        <v>218</v>
      </c>
      <c r="D11" s="5" t="s">
        <v>83</v>
      </c>
      <c r="E11" s="7">
        <v>13717</v>
      </c>
      <c r="F11" s="5"/>
    </row>
    <row r="12" spans="1:9" x14ac:dyDescent="0.25">
      <c r="A12" s="5" t="s">
        <v>84</v>
      </c>
      <c r="B12" s="5" t="s">
        <v>85</v>
      </c>
      <c r="C12" s="5" t="s">
        <v>218</v>
      </c>
      <c r="D12" s="5" t="s">
        <v>84</v>
      </c>
      <c r="E12" s="7">
        <v>13738</v>
      </c>
      <c r="F12" s="5"/>
    </row>
    <row r="13" spans="1:9" x14ac:dyDescent="0.25">
      <c r="A13" s="5" t="s">
        <v>86</v>
      </c>
      <c r="B13" s="5" t="s">
        <v>87</v>
      </c>
      <c r="C13" s="5" t="s">
        <v>218</v>
      </c>
      <c r="D13" s="5" t="s">
        <v>86</v>
      </c>
      <c r="E13" s="7">
        <v>13716</v>
      </c>
      <c r="F13" s="5"/>
    </row>
    <row r="14" spans="1:9" x14ac:dyDescent="0.25">
      <c r="A14" s="5" t="s">
        <v>88</v>
      </c>
      <c r="B14" s="5" t="s">
        <v>7</v>
      </c>
      <c r="C14" s="5" t="s">
        <v>218</v>
      </c>
      <c r="D14" s="5" t="s">
        <v>243</v>
      </c>
      <c r="E14" s="7">
        <v>13772</v>
      </c>
      <c r="F14" s="5"/>
    </row>
    <row r="15" spans="1:9" x14ac:dyDescent="0.25">
      <c r="A15" s="5" t="s">
        <v>89</v>
      </c>
      <c r="B15" s="5" t="s">
        <v>90</v>
      </c>
      <c r="C15" s="5" t="s">
        <v>218</v>
      </c>
      <c r="D15" s="5" t="s">
        <v>195</v>
      </c>
      <c r="E15" s="7">
        <v>13749</v>
      </c>
      <c r="F15" s="5"/>
    </row>
    <row r="16" spans="1:9" x14ac:dyDescent="0.25">
      <c r="A16" s="5" t="s">
        <v>91</v>
      </c>
      <c r="B16" s="5" t="s">
        <v>92</v>
      </c>
      <c r="C16" s="5" t="s">
        <v>217</v>
      </c>
      <c r="D16" s="5"/>
      <c r="E16" s="5"/>
      <c r="F16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/>
  </sheetViews>
  <sheetFormatPr defaultRowHeight="15" x14ac:dyDescent="0.25"/>
  <cols>
    <col min="1" max="1" width="42.7109375" customWidth="1"/>
    <col min="2" max="2" width="52.7109375" customWidth="1"/>
    <col min="4" max="4" width="38" customWidth="1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COUNTIF(C:C,$H1)</f>
        <v>5</v>
      </c>
    </row>
    <row r="2" spans="1:9" x14ac:dyDescent="0.25">
      <c r="A2" s="5" t="s">
        <v>67</v>
      </c>
      <c r="B2" s="5" t="s">
        <v>68</v>
      </c>
      <c r="C2" s="5" t="s">
        <v>217</v>
      </c>
      <c r="D2" s="5"/>
      <c r="E2" s="5"/>
      <c r="F2" s="5"/>
      <c r="H2" s="2" t="s">
        <v>218</v>
      </c>
      <c r="I2" s="5">
        <f>COUNTIF(C:C,$H2)</f>
        <v>13</v>
      </c>
    </row>
    <row r="3" spans="1:9" x14ac:dyDescent="0.25">
      <c r="A3" s="5" t="s">
        <v>190</v>
      </c>
      <c r="B3" s="5" t="s">
        <v>66</v>
      </c>
      <c r="C3" s="5" t="s">
        <v>218</v>
      </c>
      <c r="D3" s="5" t="s">
        <v>240</v>
      </c>
      <c r="E3" s="7">
        <v>13729</v>
      </c>
      <c r="F3" s="5"/>
      <c r="H3" s="5"/>
      <c r="I3" s="9">
        <f>I1/SUM(I1:I2)</f>
        <v>0.27777777777777779</v>
      </c>
    </row>
    <row r="4" spans="1:9" x14ac:dyDescent="0.25">
      <c r="A4" s="5" t="s">
        <v>70</v>
      </c>
      <c r="B4" s="5" t="s">
        <v>71</v>
      </c>
      <c r="C4" s="5" t="s">
        <v>218</v>
      </c>
      <c r="D4" s="5" t="s">
        <v>241</v>
      </c>
      <c r="E4" s="7">
        <v>13762</v>
      </c>
      <c r="F4" s="5"/>
    </row>
    <row r="5" spans="1:9" x14ac:dyDescent="0.25">
      <c r="A5" s="5" t="s">
        <v>191</v>
      </c>
      <c r="B5" s="5" t="s">
        <v>7</v>
      </c>
      <c r="C5" s="5" t="s">
        <v>218</v>
      </c>
      <c r="D5" s="5" t="s">
        <v>188</v>
      </c>
      <c r="E5" s="7">
        <v>13744</v>
      </c>
      <c r="F5" s="5"/>
    </row>
    <row r="6" spans="1:9" x14ac:dyDescent="0.25">
      <c r="A6" s="5" t="s">
        <v>72</v>
      </c>
      <c r="B6" s="5" t="s">
        <v>73</v>
      </c>
      <c r="C6" s="5" t="s">
        <v>218</v>
      </c>
      <c r="D6" s="5" t="s">
        <v>72</v>
      </c>
      <c r="E6" s="7">
        <v>13728</v>
      </c>
      <c r="F6" s="5"/>
    </row>
    <row r="7" spans="1:9" x14ac:dyDescent="0.25">
      <c r="A7" s="5" t="s">
        <v>74</v>
      </c>
      <c r="B7" s="5" t="s">
        <v>75</v>
      </c>
      <c r="C7" s="5" t="s">
        <v>217</v>
      </c>
      <c r="D7" s="5"/>
      <c r="E7" s="5"/>
      <c r="F7" s="5"/>
    </row>
    <row r="8" spans="1:9" x14ac:dyDescent="0.25">
      <c r="A8" s="5" t="s">
        <v>192</v>
      </c>
      <c r="B8" s="5" t="s">
        <v>188</v>
      </c>
      <c r="C8" s="5" t="s">
        <v>218</v>
      </c>
      <c r="D8" s="5" t="s">
        <v>242</v>
      </c>
      <c r="E8" s="7">
        <v>13752</v>
      </c>
      <c r="F8" s="5"/>
    </row>
    <row r="9" spans="1:9" x14ac:dyDescent="0.25">
      <c r="A9" s="5" t="s">
        <v>76</v>
      </c>
      <c r="B9" s="5" t="s">
        <v>77</v>
      </c>
      <c r="C9" s="5" t="s">
        <v>218</v>
      </c>
      <c r="D9" s="5" t="s">
        <v>242</v>
      </c>
      <c r="E9" s="7">
        <v>13752</v>
      </c>
      <c r="F9" s="5"/>
    </row>
    <row r="10" spans="1:9" x14ac:dyDescent="0.25">
      <c r="A10" s="5" t="s">
        <v>193</v>
      </c>
      <c r="B10" s="5" t="s">
        <v>79</v>
      </c>
      <c r="C10" s="5" t="s">
        <v>217</v>
      </c>
      <c r="D10" s="5" t="s">
        <v>219</v>
      </c>
      <c r="E10" s="5"/>
      <c r="F10" s="5"/>
    </row>
    <row r="11" spans="1:9" x14ac:dyDescent="0.25">
      <c r="A11" s="5" t="s">
        <v>194</v>
      </c>
      <c r="B11" s="5" t="s">
        <v>7</v>
      </c>
      <c r="C11" s="5" t="s">
        <v>217</v>
      </c>
      <c r="D11" s="5"/>
      <c r="E11" s="5"/>
      <c r="F11" s="5"/>
    </row>
    <row r="12" spans="1:9" x14ac:dyDescent="0.25">
      <c r="A12" s="5" t="s">
        <v>81</v>
      </c>
      <c r="B12" s="5" t="s">
        <v>82</v>
      </c>
      <c r="C12" s="5" t="s">
        <v>218</v>
      </c>
      <c r="D12" s="5" t="s">
        <v>81</v>
      </c>
      <c r="E12" s="7">
        <v>13721</v>
      </c>
      <c r="F12" s="5"/>
    </row>
    <row r="13" spans="1:9" x14ac:dyDescent="0.25">
      <c r="A13" s="5" t="s">
        <v>83</v>
      </c>
      <c r="B13" s="5" t="s">
        <v>73</v>
      </c>
      <c r="C13" s="5" t="s">
        <v>218</v>
      </c>
      <c r="D13" s="5" t="s">
        <v>83</v>
      </c>
      <c r="E13" s="7">
        <v>13717</v>
      </c>
      <c r="F13" s="5"/>
    </row>
    <row r="14" spans="1:9" x14ac:dyDescent="0.25">
      <c r="A14" s="5" t="s">
        <v>84</v>
      </c>
      <c r="B14" s="5" t="s">
        <v>85</v>
      </c>
      <c r="C14" s="5" t="s">
        <v>218</v>
      </c>
      <c r="D14" s="5" t="s">
        <v>84</v>
      </c>
      <c r="E14" s="7">
        <v>13738</v>
      </c>
      <c r="F14" s="5"/>
    </row>
    <row r="15" spans="1:9" x14ac:dyDescent="0.25">
      <c r="A15" s="5" t="s">
        <v>86</v>
      </c>
      <c r="B15" s="5" t="s">
        <v>87</v>
      </c>
      <c r="C15" s="5" t="s">
        <v>218</v>
      </c>
      <c r="D15" s="5" t="s">
        <v>86</v>
      </c>
      <c r="E15" s="7">
        <v>13716</v>
      </c>
      <c r="F15" s="5"/>
    </row>
    <row r="16" spans="1:9" x14ac:dyDescent="0.25">
      <c r="A16" s="5" t="s">
        <v>88</v>
      </c>
      <c r="B16" s="5" t="s">
        <v>7</v>
      </c>
      <c r="C16" s="5" t="s">
        <v>218</v>
      </c>
      <c r="D16" s="5" t="s">
        <v>243</v>
      </c>
      <c r="E16" s="7">
        <v>13772</v>
      </c>
      <c r="F16" s="5"/>
    </row>
    <row r="17" spans="1:6" x14ac:dyDescent="0.25">
      <c r="A17" s="5" t="s">
        <v>195</v>
      </c>
      <c r="B17" s="5" t="s">
        <v>90</v>
      </c>
      <c r="C17" s="5" t="s">
        <v>218</v>
      </c>
      <c r="D17" s="5" t="s">
        <v>195</v>
      </c>
      <c r="E17" s="7">
        <v>13749</v>
      </c>
      <c r="F17" s="5"/>
    </row>
    <row r="18" spans="1:6" x14ac:dyDescent="0.25">
      <c r="A18" s="5" t="s">
        <v>196</v>
      </c>
      <c r="B18" s="5" t="s">
        <v>197</v>
      </c>
      <c r="C18" s="5" t="s">
        <v>218</v>
      </c>
      <c r="D18" s="5" t="s">
        <v>195</v>
      </c>
      <c r="E18" s="7">
        <v>13749</v>
      </c>
      <c r="F18" s="5"/>
    </row>
    <row r="19" spans="1:6" x14ac:dyDescent="0.25">
      <c r="A19" s="5" t="s">
        <v>92</v>
      </c>
      <c r="B19" s="5" t="s">
        <v>92</v>
      </c>
      <c r="C19" s="5" t="s">
        <v>217</v>
      </c>
      <c r="D19" s="5"/>
      <c r="E19" s="5"/>
      <c r="F19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/>
  </sheetViews>
  <sheetFormatPr defaultRowHeight="15" x14ac:dyDescent="0.25"/>
  <cols>
    <col min="1" max="1" width="48.5703125" customWidth="1"/>
    <col min="2" max="2" width="51.7109375" customWidth="1"/>
    <col min="3" max="3" width="12" customWidth="1"/>
    <col min="4" max="4" width="32.5703125" customWidth="1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COUNTIF(C:C,$H1)</f>
        <v>19</v>
      </c>
    </row>
    <row r="2" spans="1:9" x14ac:dyDescent="0.25">
      <c r="A2" s="5" t="s">
        <v>93</v>
      </c>
      <c r="B2" s="5" t="s">
        <v>94</v>
      </c>
      <c r="C2" s="5" t="s">
        <v>217</v>
      </c>
      <c r="D2" s="5"/>
      <c r="E2" s="5"/>
      <c r="F2" s="5"/>
      <c r="H2" s="2" t="s">
        <v>218</v>
      </c>
      <c r="I2" s="5">
        <f>COUNTIF(C:C,$H2)</f>
        <v>17</v>
      </c>
    </row>
    <row r="3" spans="1:9" x14ac:dyDescent="0.25">
      <c r="A3" s="5" t="s">
        <v>95</v>
      </c>
      <c r="B3" s="5" t="s">
        <v>7</v>
      </c>
      <c r="C3" s="5" t="s">
        <v>217</v>
      </c>
      <c r="D3" s="5"/>
      <c r="E3" s="5"/>
      <c r="F3" s="5"/>
      <c r="H3" s="5"/>
      <c r="I3" s="9">
        <f>I1/SUM(I1:I2)</f>
        <v>0.52777777777777779</v>
      </c>
    </row>
    <row r="4" spans="1:9" x14ac:dyDescent="0.25">
      <c r="A4" s="5" t="s">
        <v>96</v>
      </c>
      <c r="B4" s="5" t="s">
        <v>97</v>
      </c>
      <c r="C4" s="5" t="s">
        <v>218</v>
      </c>
      <c r="D4" s="5" t="s">
        <v>245</v>
      </c>
      <c r="E4" s="7">
        <v>30399</v>
      </c>
      <c r="F4" s="5"/>
    </row>
    <row r="5" spans="1:9" x14ac:dyDescent="0.25">
      <c r="A5" s="5" t="s">
        <v>98</v>
      </c>
      <c r="B5" s="5" t="s">
        <v>99</v>
      </c>
      <c r="C5" s="5" t="s">
        <v>218</v>
      </c>
      <c r="D5" s="5" t="s">
        <v>246</v>
      </c>
      <c r="E5" s="7">
        <v>30396</v>
      </c>
      <c r="F5" s="5"/>
    </row>
    <row r="6" spans="1:9" x14ac:dyDescent="0.25">
      <c r="A6" s="5" t="s">
        <v>100</v>
      </c>
      <c r="B6" s="5" t="s">
        <v>101</v>
      </c>
      <c r="C6" s="5" t="s">
        <v>218</v>
      </c>
      <c r="D6" s="5" t="s">
        <v>247</v>
      </c>
      <c r="E6" s="7">
        <v>30633</v>
      </c>
      <c r="F6" s="5"/>
    </row>
    <row r="7" spans="1:9" x14ac:dyDescent="0.25">
      <c r="A7" s="5" t="s">
        <v>102</v>
      </c>
      <c r="B7" s="5" t="s">
        <v>103</v>
      </c>
      <c r="C7" s="5" t="s">
        <v>218</v>
      </c>
      <c r="D7" s="5" t="s">
        <v>248</v>
      </c>
      <c r="E7" s="7">
        <v>30635</v>
      </c>
      <c r="F7" s="5"/>
    </row>
    <row r="8" spans="1:9" x14ac:dyDescent="0.25">
      <c r="A8" s="5" t="s">
        <v>104</v>
      </c>
      <c r="B8" s="5" t="s">
        <v>105</v>
      </c>
      <c r="C8" s="5" t="s">
        <v>218</v>
      </c>
      <c r="D8" s="5" t="s">
        <v>249</v>
      </c>
      <c r="E8" s="7">
        <v>30628</v>
      </c>
      <c r="F8" s="5"/>
    </row>
    <row r="9" spans="1:9" x14ac:dyDescent="0.25">
      <c r="A9" s="5" t="s">
        <v>106</v>
      </c>
      <c r="B9" s="5" t="s">
        <v>107</v>
      </c>
      <c r="C9" s="5" t="s">
        <v>217</v>
      </c>
      <c r="D9" s="5"/>
      <c r="E9" s="5"/>
      <c r="F9" s="5"/>
    </row>
    <row r="10" spans="1:9" x14ac:dyDescent="0.25">
      <c r="A10" s="5" t="s">
        <v>108</v>
      </c>
      <c r="B10" s="5" t="s">
        <v>109</v>
      </c>
      <c r="C10" s="5" t="s">
        <v>218</v>
      </c>
      <c r="D10" s="5" t="s">
        <v>250</v>
      </c>
      <c r="E10" s="7">
        <v>30425</v>
      </c>
      <c r="F10" s="5"/>
    </row>
    <row r="11" spans="1:9" x14ac:dyDescent="0.25">
      <c r="A11" s="5" t="s">
        <v>110</v>
      </c>
      <c r="B11" s="5" t="s">
        <v>111</v>
      </c>
      <c r="C11" s="5" t="s">
        <v>217</v>
      </c>
      <c r="D11" s="5"/>
      <c r="E11" s="5"/>
      <c r="F11" s="5"/>
    </row>
    <row r="12" spans="1:9" x14ac:dyDescent="0.25">
      <c r="A12" s="5" t="s">
        <v>95</v>
      </c>
      <c r="B12" s="5" t="s">
        <v>7</v>
      </c>
      <c r="C12" s="5" t="s">
        <v>217</v>
      </c>
      <c r="D12" s="5"/>
      <c r="E12" s="5"/>
      <c r="F12" s="5"/>
    </row>
    <row r="13" spans="1:9" x14ac:dyDescent="0.25">
      <c r="A13" s="5" t="s">
        <v>112</v>
      </c>
      <c r="B13" s="5" t="s">
        <v>113</v>
      </c>
      <c r="C13" s="5" t="s">
        <v>218</v>
      </c>
      <c r="D13" s="5" t="s">
        <v>251</v>
      </c>
      <c r="E13" s="7">
        <v>30433</v>
      </c>
      <c r="F13" s="5"/>
    </row>
    <row r="14" spans="1:9" x14ac:dyDescent="0.25">
      <c r="A14" s="5" t="s">
        <v>114</v>
      </c>
      <c r="B14" s="5" t="s">
        <v>115</v>
      </c>
      <c r="C14" s="5" t="s">
        <v>218</v>
      </c>
      <c r="D14" s="5" t="s">
        <v>252</v>
      </c>
      <c r="E14" s="7">
        <v>30429</v>
      </c>
      <c r="F14" s="5"/>
    </row>
    <row r="15" spans="1:9" x14ac:dyDescent="0.25">
      <c r="A15" s="5" t="s">
        <v>116</v>
      </c>
      <c r="B15" s="5" t="s">
        <v>117</v>
      </c>
      <c r="C15" s="5" t="s">
        <v>218</v>
      </c>
      <c r="D15" s="5" t="s">
        <v>253</v>
      </c>
      <c r="E15" s="7">
        <v>30431</v>
      </c>
      <c r="F15" s="5"/>
    </row>
    <row r="16" spans="1:9" x14ac:dyDescent="0.25">
      <c r="A16" s="5" t="s">
        <v>118</v>
      </c>
      <c r="B16" s="5" t="s">
        <v>119</v>
      </c>
      <c r="C16" s="5" t="s">
        <v>218</v>
      </c>
      <c r="D16" s="5" t="s">
        <v>254</v>
      </c>
      <c r="E16" s="7">
        <v>30448</v>
      </c>
      <c r="F16" s="5"/>
    </row>
    <row r="17" spans="1:6" x14ac:dyDescent="0.25">
      <c r="A17" s="5" t="s">
        <v>120</v>
      </c>
      <c r="B17" s="5" t="s">
        <v>121</v>
      </c>
      <c r="C17" s="5" t="s">
        <v>218</v>
      </c>
      <c r="D17" s="5" t="s">
        <v>255</v>
      </c>
      <c r="E17" s="7">
        <v>30449</v>
      </c>
      <c r="F17" s="5"/>
    </row>
    <row r="18" spans="1:6" x14ac:dyDescent="0.25">
      <c r="A18" s="5" t="s">
        <v>122</v>
      </c>
      <c r="B18" s="5" t="s">
        <v>123</v>
      </c>
      <c r="C18" s="5" t="s">
        <v>217</v>
      </c>
      <c r="D18" s="5"/>
      <c r="E18" s="5"/>
      <c r="F18" s="5"/>
    </row>
    <row r="19" spans="1:6" x14ac:dyDescent="0.25">
      <c r="A19" s="5" t="s">
        <v>124</v>
      </c>
      <c r="B19" s="5" t="s">
        <v>125</v>
      </c>
      <c r="C19" s="5" t="s">
        <v>217</v>
      </c>
      <c r="D19" s="5"/>
      <c r="E19" s="5"/>
      <c r="F19" s="5"/>
    </row>
    <row r="20" spans="1:6" x14ac:dyDescent="0.25">
      <c r="A20" s="5" t="s">
        <v>126</v>
      </c>
      <c r="B20" s="5" t="s">
        <v>7</v>
      </c>
      <c r="C20" s="5" t="s">
        <v>217</v>
      </c>
      <c r="D20" s="5"/>
      <c r="E20" s="5"/>
      <c r="F20" s="5"/>
    </row>
    <row r="21" spans="1:6" x14ac:dyDescent="0.25">
      <c r="A21" s="5" t="s">
        <v>127</v>
      </c>
      <c r="B21" s="5" t="s">
        <v>109</v>
      </c>
      <c r="C21" s="5" t="s">
        <v>217</v>
      </c>
      <c r="D21" s="5"/>
      <c r="E21" s="7"/>
      <c r="F21" s="5"/>
    </row>
    <row r="22" spans="1:6" x14ac:dyDescent="0.25">
      <c r="A22" s="5" t="s">
        <v>108</v>
      </c>
      <c r="B22" s="5" t="s">
        <v>109</v>
      </c>
      <c r="C22" s="5" t="s">
        <v>218</v>
      </c>
      <c r="D22" s="5" t="s">
        <v>250</v>
      </c>
      <c r="E22" s="7">
        <v>30426</v>
      </c>
      <c r="F22" s="5"/>
    </row>
    <row r="23" spans="1:6" x14ac:dyDescent="0.25">
      <c r="A23" s="5" t="s">
        <v>128</v>
      </c>
      <c r="B23" s="5" t="s">
        <v>129</v>
      </c>
      <c r="C23" s="5" t="s">
        <v>218</v>
      </c>
      <c r="D23" s="5" t="s">
        <v>281</v>
      </c>
      <c r="E23" s="7">
        <v>17556</v>
      </c>
      <c r="F23" s="5"/>
    </row>
    <row r="24" spans="1:6" x14ac:dyDescent="0.25">
      <c r="A24" s="5" t="s">
        <v>130</v>
      </c>
      <c r="B24" s="5" t="s">
        <v>131</v>
      </c>
      <c r="C24" s="5" t="s">
        <v>218</v>
      </c>
      <c r="D24" s="5" t="s">
        <v>282</v>
      </c>
      <c r="E24" s="7">
        <v>30662</v>
      </c>
      <c r="F24" s="5"/>
    </row>
    <row r="25" spans="1:6" x14ac:dyDescent="0.25">
      <c r="A25" s="5" t="s">
        <v>132</v>
      </c>
      <c r="B25" s="5" t="s">
        <v>113</v>
      </c>
      <c r="C25" s="5" t="s">
        <v>218</v>
      </c>
      <c r="D25" s="5" t="s">
        <v>256</v>
      </c>
      <c r="E25" s="7">
        <v>30432</v>
      </c>
      <c r="F25" s="5"/>
    </row>
    <row r="26" spans="1:6" x14ac:dyDescent="0.25">
      <c r="A26" s="5" t="s">
        <v>133</v>
      </c>
      <c r="B26" s="5" t="s">
        <v>134</v>
      </c>
      <c r="C26" s="5" t="s">
        <v>217</v>
      </c>
      <c r="D26" s="5"/>
      <c r="E26" s="5"/>
      <c r="F26" s="5"/>
    </row>
    <row r="27" spans="1:6" x14ac:dyDescent="0.25">
      <c r="A27" s="5" t="s">
        <v>135</v>
      </c>
      <c r="B27" s="5" t="s">
        <v>7</v>
      </c>
      <c r="C27" s="5" t="s">
        <v>217</v>
      </c>
      <c r="D27" s="5"/>
      <c r="E27" s="5"/>
      <c r="F27" s="5"/>
    </row>
    <row r="28" spans="1:6" x14ac:dyDescent="0.25">
      <c r="A28" s="5" t="s">
        <v>136</v>
      </c>
      <c r="B28" s="5" t="s">
        <v>137</v>
      </c>
      <c r="C28" s="5" t="s">
        <v>217</v>
      </c>
      <c r="D28" s="5"/>
      <c r="E28" s="5"/>
      <c r="F28" s="5"/>
    </row>
    <row r="29" spans="1:6" x14ac:dyDescent="0.25">
      <c r="A29" s="5" t="s">
        <v>138</v>
      </c>
      <c r="B29" s="5" t="s">
        <v>139</v>
      </c>
      <c r="C29" s="5" t="s">
        <v>217</v>
      </c>
      <c r="D29" s="5"/>
      <c r="E29" s="5"/>
      <c r="F29" s="5"/>
    </row>
    <row r="30" spans="1:6" x14ac:dyDescent="0.25">
      <c r="A30" s="5" t="s">
        <v>140</v>
      </c>
      <c r="B30" s="5" t="s">
        <v>141</v>
      </c>
      <c r="C30" s="5" t="s">
        <v>217</v>
      </c>
      <c r="D30" s="5"/>
      <c r="E30" s="5"/>
      <c r="F30" s="5"/>
    </row>
    <row r="31" spans="1:6" x14ac:dyDescent="0.25">
      <c r="A31" s="5" t="s">
        <v>142</v>
      </c>
      <c r="B31" s="5" t="s">
        <v>139</v>
      </c>
      <c r="C31" s="5" t="s">
        <v>218</v>
      </c>
      <c r="D31" s="5" t="s">
        <v>257</v>
      </c>
      <c r="E31" s="7">
        <v>17555</v>
      </c>
      <c r="F31" s="5"/>
    </row>
    <row r="32" spans="1:6" x14ac:dyDescent="0.25">
      <c r="A32" s="5" t="s">
        <v>143</v>
      </c>
      <c r="B32" s="5" t="s">
        <v>144</v>
      </c>
      <c r="C32" s="5" t="s">
        <v>217</v>
      </c>
      <c r="D32" s="5"/>
      <c r="E32" s="5"/>
      <c r="F32" s="5"/>
    </row>
    <row r="33" spans="1:6" x14ac:dyDescent="0.25">
      <c r="A33" s="5" t="s">
        <v>145</v>
      </c>
      <c r="B33" s="5" t="s">
        <v>146</v>
      </c>
      <c r="C33" s="5" t="s">
        <v>217</v>
      </c>
      <c r="D33" s="5"/>
      <c r="E33" s="5"/>
      <c r="F33" s="5"/>
    </row>
    <row r="34" spans="1:6" x14ac:dyDescent="0.25">
      <c r="A34" s="5" t="s">
        <v>147</v>
      </c>
      <c r="B34" s="5" t="s">
        <v>148</v>
      </c>
      <c r="C34" s="5" t="s">
        <v>218</v>
      </c>
      <c r="D34" s="5" t="s">
        <v>258</v>
      </c>
      <c r="E34" s="7">
        <v>17529</v>
      </c>
      <c r="F34" s="5"/>
    </row>
    <row r="35" spans="1:6" x14ac:dyDescent="0.25">
      <c r="A35" s="5" t="s">
        <v>149</v>
      </c>
      <c r="B35" s="5" t="s">
        <v>150</v>
      </c>
      <c r="C35" s="5" t="s">
        <v>217</v>
      </c>
      <c r="D35" s="5"/>
      <c r="E35" s="5"/>
      <c r="F35" s="5"/>
    </row>
    <row r="36" spans="1:6" x14ac:dyDescent="0.25">
      <c r="A36" s="5" t="s">
        <v>151</v>
      </c>
      <c r="B36" s="5" t="s">
        <v>152</v>
      </c>
      <c r="C36" s="5" t="s">
        <v>217</v>
      </c>
      <c r="D36" s="5"/>
      <c r="E36" s="5"/>
      <c r="F36" s="5"/>
    </row>
    <row r="37" spans="1:6" x14ac:dyDescent="0.25">
      <c r="A37" s="5" t="s">
        <v>153</v>
      </c>
      <c r="B37" s="5" t="s">
        <v>154</v>
      </c>
      <c r="C37" s="5" t="s">
        <v>217</v>
      </c>
      <c r="D37" s="5"/>
      <c r="E37" s="5"/>
      <c r="F37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workbookViewId="0"/>
  </sheetViews>
  <sheetFormatPr defaultRowHeight="15" x14ac:dyDescent="0.25"/>
  <cols>
    <col min="1" max="1" width="49.140625" customWidth="1"/>
    <col min="2" max="2" width="41.42578125" customWidth="1"/>
    <col min="4" max="4" width="40.7109375" customWidth="1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COUNTIF(C:C,$H1)</f>
        <v>18</v>
      </c>
    </row>
    <row r="2" spans="1:9" x14ac:dyDescent="0.25">
      <c r="A2" s="5" t="s">
        <v>93</v>
      </c>
      <c r="B2" s="5" t="s">
        <v>94</v>
      </c>
      <c r="C2" s="5" t="s">
        <v>217</v>
      </c>
      <c r="D2" s="5"/>
      <c r="E2" s="5"/>
      <c r="F2" s="5"/>
      <c r="H2" s="2" t="s">
        <v>218</v>
      </c>
      <c r="I2" s="5">
        <f>COUNTIF(C:C,$H2)</f>
        <v>15</v>
      </c>
    </row>
    <row r="3" spans="1:9" x14ac:dyDescent="0.25">
      <c r="A3" s="5" t="s">
        <v>95</v>
      </c>
      <c r="B3" s="5" t="s">
        <v>7</v>
      </c>
      <c r="C3" s="5" t="s">
        <v>217</v>
      </c>
      <c r="D3" s="5"/>
      <c r="E3" s="5"/>
      <c r="F3" s="5"/>
      <c r="H3" s="5"/>
      <c r="I3" s="9">
        <f>I1/SUM(I1:I2)</f>
        <v>0.54545454545454541</v>
      </c>
    </row>
    <row r="4" spans="1:9" x14ac:dyDescent="0.25">
      <c r="A4" s="5" t="s">
        <v>96</v>
      </c>
      <c r="B4" s="5" t="s">
        <v>97</v>
      </c>
      <c r="C4" s="5" t="s">
        <v>218</v>
      </c>
      <c r="D4" s="5" t="s">
        <v>245</v>
      </c>
      <c r="E4" s="7">
        <v>30399</v>
      </c>
      <c r="F4" s="5"/>
    </row>
    <row r="5" spans="1:9" x14ac:dyDescent="0.25">
      <c r="A5" s="5" t="s">
        <v>98</v>
      </c>
      <c r="B5" s="5" t="s">
        <v>99</v>
      </c>
      <c r="C5" s="5" t="s">
        <v>218</v>
      </c>
      <c r="D5" s="5" t="s">
        <v>246</v>
      </c>
      <c r="E5" s="7">
        <v>30396</v>
      </c>
      <c r="F5" s="5"/>
    </row>
    <row r="6" spans="1:9" x14ac:dyDescent="0.25">
      <c r="A6" s="5" t="s">
        <v>198</v>
      </c>
      <c r="B6" s="5" t="s">
        <v>103</v>
      </c>
      <c r="C6" s="5" t="s">
        <v>218</v>
      </c>
      <c r="D6" s="5" t="s">
        <v>247</v>
      </c>
      <c r="E6" s="7">
        <v>30633</v>
      </c>
      <c r="F6" s="5"/>
    </row>
    <row r="7" spans="1:9" x14ac:dyDescent="0.25">
      <c r="A7" s="5" t="s">
        <v>102</v>
      </c>
      <c r="B7" s="5" t="s">
        <v>103</v>
      </c>
      <c r="C7" s="5" t="s">
        <v>218</v>
      </c>
      <c r="D7" s="5" t="s">
        <v>248</v>
      </c>
      <c r="E7" s="7">
        <v>30635</v>
      </c>
      <c r="F7" s="5"/>
    </row>
    <row r="8" spans="1:9" x14ac:dyDescent="0.25">
      <c r="A8" s="5" t="s">
        <v>104</v>
      </c>
      <c r="B8" s="5" t="s">
        <v>105</v>
      </c>
      <c r="C8" s="5" t="s">
        <v>218</v>
      </c>
      <c r="D8" s="5" t="s">
        <v>249</v>
      </c>
      <c r="E8" s="7">
        <v>30628</v>
      </c>
      <c r="F8" s="5"/>
    </row>
    <row r="9" spans="1:9" x14ac:dyDescent="0.25">
      <c r="A9" s="5" t="s">
        <v>110</v>
      </c>
      <c r="B9" s="5" t="s">
        <v>111</v>
      </c>
      <c r="C9" s="5" t="s">
        <v>217</v>
      </c>
      <c r="D9" s="5"/>
      <c r="E9" s="5"/>
      <c r="F9" s="5"/>
    </row>
    <row r="10" spans="1:9" x14ac:dyDescent="0.25">
      <c r="A10" s="5" t="s">
        <v>106</v>
      </c>
      <c r="B10" s="5" t="s">
        <v>107</v>
      </c>
      <c r="C10" s="5" t="s">
        <v>217</v>
      </c>
      <c r="D10" s="5"/>
      <c r="E10" s="5"/>
      <c r="F10" s="5"/>
    </row>
    <row r="11" spans="1:9" x14ac:dyDescent="0.25">
      <c r="A11" s="5" t="s">
        <v>95</v>
      </c>
      <c r="B11" s="5" t="s">
        <v>7</v>
      </c>
      <c r="C11" s="5" t="s">
        <v>217</v>
      </c>
      <c r="D11" s="5"/>
      <c r="E11" s="5"/>
      <c r="F11" s="5"/>
    </row>
    <row r="12" spans="1:9" x14ac:dyDescent="0.25">
      <c r="A12" s="5" t="s">
        <v>112</v>
      </c>
      <c r="B12" s="5" t="s">
        <v>113</v>
      </c>
      <c r="C12" s="5" t="s">
        <v>218</v>
      </c>
      <c r="D12" s="5" t="s">
        <v>251</v>
      </c>
      <c r="E12" s="7">
        <v>30433</v>
      </c>
      <c r="F12" s="5"/>
    </row>
    <row r="13" spans="1:9" x14ac:dyDescent="0.25">
      <c r="A13" s="5" t="s">
        <v>114</v>
      </c>
      <c r="B13" s="5" t="s">
        <v>115</v>
      </c>
      <c r="C13" s="5" t="s">
        <v>218</v>
      </c>
      <c r="D13" s="5" t="s">
        <v>252</v>
      </c>
      <c r="E13" s="7">
        <v>30429</v>
      </c>
      <c r="F13" s="5"/>
    </row>
    <row r="14" spans="1:9" x14ac:dyDescent="0.25">
      <c r="A14" s="5" t="s">
        <v>199</v>
      </c>
      <c r="B14" s="5" t="s">
        <v>117</v>
      </c>
      <c r="C14" s="5" t="s">
        <v>218</v>
      </c>
      <c r="D14" s="5" t="s">
        <v>253</v>
      </c>
      <c r="E14" s="7">
        <v>30431</v>
      </c>
      <c r="F14" s="5"/>
    </row>
    <row r="15" spans="1:9" x14ac:dyDescent="0.25">
      <c r="A15" s="5" t="s">
        <v>118</v>
      </c>
      <c r="B15" s="5" t="s">
        <v>119</v>
      </c>
      <c r="C15" s="5" t="s">
        <v>218</v>
      </c>
      <c r="D15" s="5" t="s">
        <v>254</v>
      </c>
      <c r="E15" s="7">
        <v>30448</v>
      </c>
      <c r="F15" s="5"/>
    </row>
    <row r="16" spans="1:9" x14ac:dyDescent="0.25">
      <c r="A16" s="5" t="s">
        <v>200</v>
      </c>
      <c r="B16" s="5" t="s">
        <v>121</v>
      </c>
      <c r="C16" s="5" t="s">
        <v>218</v>
      </c>
      <c r="D16" s="5" t="s">
        <v>255</v>
      </c>
      <c r="E16" s="7">
        <v>30449</v>
      </c>
      <c r="F16" s="5"/>
    </row>
    <row r="17" spans="1:6" x14ac:dyDescent="0.25">
      <c r="A17" s="5" t="s">
        <v>122</v>
      </c>
      <c r="B17" s="5" t="s">
        <v>123</v>
      </c>
      <c r="C17" s="5" t="s">
        <v>217</v>
      </c>
      <c r="D17" s="5"/>
      <c r="E17" s="5"/>
      <c r="F17" s="5"/>
    </row>
    <row r="18" spans="1:6" x14ac:dyDescent="0.25">
      <c r="A18" s="5" t="s">
        <v>124</v>
      </c>
      <c r="B18" s="5" t="s">
        <v>125</v>
      </c>
      <c r="C18" s="5" t="s">
        <v>217</v>
      </c>
      <c r="D18" s="5"/>
      <c r="E18" s="5"/>
      <c r="F18" s="5"/>
    </row>
    <row r="19" spans="1:6" x14ac:dyDescent="0.25">
      <c r="A19" s="5" t="s">
        <v>126</v>
      </c>
      <c r="B19" s="5" t="s">
        <v>7</v>
      </c>
      <c r="C19" s="5" t="s">
        <v>217</v>
      </c>
      <c r="D19" s="5"/>
      <c r="E19" s="5"/>
      <c r="F19" s="5"/>
    </row>
    <row r="20" spans="1:6" x14ac:dyDescent="0.25">
      <c r="A20" s="5" t="s">
        <v>128</v>
      </c>
      <c r="B20" s="5" t="s">
        <v>129</v>
      </c>
      <c r="C20" s="5" t="s">
        <v>218</v>
      </c>
      <c r="D20" s="5" t="s">
        <v>281</v>
      </c>
      <c r="E20" s="7">
        <v>17556</v>
      </c>
      <c r="F20" s="5"/>
    </row>
    <row r="21" spans="1:6" x14ac:dyDescent="0.25">
      <c r="A21" s="5" t="s">
        <v>130</v>
      </c>
      <c r="B21" s="5" t="s">
        <v>131</v>
      </c>
      <c r="C21" s="5" t="s">
        <v>218</v>
      </c>
      <c r="D21" s="5" t="s">
        <v>282</v>
      </c>
      <c r="E21" s="7">
        <v>30662</v>
      </c>
      <c r="F21" s="5"/>
    </row>
    <row r="22" spans="1:6" x14ac:dyDescent="0.25">
      <c r="A22" s="5" t="s">
        <v>201</v>
      </c>
      <c r="B22" s="5" t="s">
        <v>113</v>
      </c>
      <c r="C22" s="5" t="s">
        <v>218</v>
      </c>
      <c r="D22" s="5" t="s">
        <v>256</v>
      </c>
      <c r="E22" s="7">
        <v>30432</v>
      </c>
      <c r="F22" s="5"/>
    </row>
    <row r="23" spans="1:6" x14ac:dyDescent="0.25">
      <c r="A23" s="5" t="s">
        <v>133</v>
      </c>
      <c r="B23" s="5" t="s">
        <v>134</v>
      </c>
      <c r="C23" s="5" t="s">
        <v>217</v>
      </c>
      <c r="D23" s="5"/>
      <c r="E23" s="5"/>
      <c r="F23" s="5"/>
    </row>
    <row r="24" spans="1:6" x14ac:dyDescent="0.25">
      <c r="A24" s="5" t="s">
        <v>135</v>
      </c>
      <c r="B24" s="5" t="s">
        <v>7</v>
      </c>
      <c r="C24" s="5" t="s">
        <v>217</v>
      </c>
      <c r="D24" s="5"/>
      <c r="E24" s="5"/>
      <c r="F24" s="5"/>
    </row>
    <row r="25" spans="1:6" x14ac:dyDescent="0.25">
      <c r="A25" s="5" t="s">
        <v>136</v>
      </c>
      <c r="B25" s="5" t="s">
        <v>137</v>
      </c>
      <c r="C25" s="5" t="s">
        <v>217</v>
      </c>
      <c r="D25" s="5"/>
      <c r="E25" s="5"/>
      <c r="F25" s="5"/>
    </row>
    <row r="26" spans="1:6" x14ac:dyDescent="0.25">
      <c r="A26" s="5" t="s">
        <v>138</v>
      </c>
      <c r="B26" s="5" t="s">
        <v>139</v>
      </c>
      <c r="C26" s="5" t="s">
        <v>217</v>
      </c>
      <c r="D26" s="5"/>
      <c r="E26" s="5"/>
      <c r="F26" s="5"/>
    </row>
    <row r="27" spans="1:6" x14ac:dyDescent="0.25">
      <c r="A27" s="5" t="s">
        <v>140</v>
      </c>
      <c r="B27" s="5" t="s">
        <v>141</v>
      </c>
      <c r="C27" s="5" t="s">
        <v>217</v>
      </c>
      <c r="D27" s="5"/>
      <c r="E27" s="5"/>
      <c r="F27" s="5"/>
    </row>
    <row r="28" spans="1:6" x14ac:dyDescent="0.25">
      <c r="A28" s="5" t="s">
        <v>202</v>
      </c>
      <c r="B28" s="5" t="s">
        <v>139</v>
      </c>
      <c r="C28" s="5" t="s">
        <v>218</v>
      </c>
      <c r="D28" s="5" t="s">
        <v>257</v>
      </c>
      <c r="E28" s="7">
        <v>17555</v>
      </c>
      <c r="F28" s="5"/>
    </row>
    <row r="29" spans="1:6" x14ac:dyDescent="0.25">
      <c r="A29" s="5" t="s">
        <v>143</v>
      </c>
      <c r="B29" s="5" t="s">
        <v>144</v>
      </c>
      <c r="C29" s="5" t="s">
        <v>217</v>
      </c>
      <c r="D29" s="5"/>
      <c r="E29" s="5"/>
      <c r="F29" s="5"/>
    </row>
    <row r="30" spans="1:6" x14ac:dyDescent="0.25">
      <c r="A30" s="5" t="s">
        <v>145</v>
      </c>
      <c r="B30" s="5" t="s">
        <v>146</v>
      </c>
      <c r="C30" s="5" t="s">
        <v>217</v>
      </c>
      <c r="D30" s="5"/>
      <c r="E30" s="5"/>
      <c r="F30" s="5"/>
    </row>
    <row r="31" spans="1:6" x14ac:dyDescent="0.25">
      <c r="A31" s="5" t="s">
        <v>147</v>
      </c>
      <c r="B31" s="5" t="s">
        <v>148</v>
      </c>
      <c r="C31" s="5" t="s">
        <v>218</v>
      </c>
      <c r="D31" s="5" t="s">
        <v>258</v>
      </c>
      <c r="E31" s="7">
        <v>17529</v>
      </c>
      <c r="F31" s="5"/>
    </row>
    <row r="32" spans="1:6" x14ac:dyDescent="0.25">
      <c r="A32" s="5" t="s">
        <v>149</v>
      </c>
      <c r="B32" s="5" t="s">
        <v>150</v>
      </c>
      <c r="C32" s="5" t="s">
        <v>217</v>
      </c>
      <c r="D32" s="5"/>
      <c r="E32" s="5"/>
      <c r="F32" s="5"/>
    </row>
    <row r="33" spans="1:6" x14ac:dyDescent="0.25">
      <c r="A33" s="5" t="s">
        <v>151</v>
      </c>
      <c r="B33" s="5" t="s">
        <v>152</v>
      </c>
      <c r="C33" s="5" t="s">
        <v>217</v>
      </c>
      <c r="D33" s="5"/>
      <c r="E33" s="5"/>
      <c r="F33" s="5"/>
    </row>
    <row r="34" spans="1:6" x14ac:dyDescent="0.25">
      <c r="A34" s="5" t="s">
        <v>153</v>
      </c>
      <c r="B34" s="5" t="s">
        <v>154</v>
      </c>
      <c r="C34" s="5" t="s">
        <v>217</v>
      </c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workbookViewId="0"/>
  </sheetViews>
  <sheetFormatPr defaultRowHeight="15" x14ac:dyDescent="0.25"/>
  <cols>
    <col min="1" max="1" width="38.85546875" bestFit="1" customWidth="1"/>
    <col min="2" max="2" width="55.7109375" bestFit="1" customWidth="1"/>
    <col min="3" max="3" width="8.85546875" bestFit="1" customWidth="1"/>
    <col min="4" max="4" width="30.42578125" bestFit="1" customWidth="1"/>
    <col min="5" max="5" width="7.5703125" bestFit="1" customWidth="1"/>
    <col min="6" max="6" width="15.140625" bestFit="1" customWidth="1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COUNTIF(C2:C1048576,"correct")</f>
        <v>1</v>
      </c>
    </row>
    <row r="2" spans="1:9" x14ac:dyDescent="0.25">
      <c r="A2" s="5" t="s">
        <v>155</v>
      </c>
      <c r="B2" s="5" t="s">
        <v>156</v>
      </c>
      <c r="C2" s="12" t="s">
        <v>218</v>
      </c>
      <c r="D2" s="12" t="s">
        <v>7</v>
      </c>
      <c r="E2" s="5"/>
      <c r="F2" s="5"/>
      <c r="H2" s="2" t="s">
        <v>218</v>
      </c>
      <c r="I2" s="5">
        <f>COUNTIF(C:C,"Incorrect")</f>
        <v>28</v>
      </c>
    </row>
    <row r="3" spans="1:9" x14ac:dyDescent="0.25">
      <c r="A3" s="5" t="s">
        <v>157</v>
      </c>
      <c r="B3" s="5" t="s">
        <v>117</v>
      </c>
      <c r="C3" s="12" t="s">
        <v>218</v>
      </c>
      <c r="D3" s="12" t="s">
        <v>155</v>
      </c>
      <c r="E3" s="11">
        <v>8920</v>
      </c>
      <c r="F3" s="5" t="s">
        <v>283</v>
      </c>
      <c r="H3" s="5"/>
      <c r="I3" s="9">
        <f>I1/SUM(I1:I2)</f>
        <v>3.4482758620689655E-2</v>
      </c>
    </row>
    <row r="4" spans="1:9" x14ac:dyDescent="0.25">
      <c r="A4" s="5" t="s">
        <v>158</v>
      </c>
      <c r="B4" s="5" t="s">
        <v>117</v>
      </c>
      <c r="C4" s="12" t="s">
        <v>218</v>
      </c>
      <c r="D4" s="12" t="s">
        <v>155</v>
      </c>
      <c r="E4" s="11">
        <v>8920</v>
      </c>
      <c r="F4" s="5" t="s">
        <v>283</v>
      </c>
    </row>
    <row r="5" spans="1:9" x14ac:dyDescent="0.25">
      <c r="A5" s="5" t="s">
        <v>159</v>
      </c>
      <c r="B5" s="5" t="s">
        <v>117</v>
      </c>
      <c r="C5" s="12" t="s">
        <v>218</v>
      </c>
      <c r="D5" s="12" t="s">
        <v>155</v>
      </c>
      <c r="E5" s="11">
        <v>8920</v>
      </c>
      <c r="F5" s="5" t="s">
        <v>283</v>
      </c>
    </row>
    <row r="6" spans="1:9" x14ac:dyDescent="0.25">
      <c r="A6" s="5" t="s">
        <v>160</v>
      </c>
      <c r="B6" s="5" t="s">
        <v>161</v>
      </c>
      <c r="C6" s="12" t="s">
        <v>218</v>
      </c>
      <c r="D6" s="12" t="s">
        <v>155</v>
      </c>
      <c r="E6" s="11">
        <v>8920</v>
      </c>
      <c r="F6" s="5" t="s">
        <v>283</v>
      </c>
    </row>
    <row r="7" spans="1:9" x14ac:dyDescent="0.25">
      <c r="A7" s="5" t="s">
        <v>162</v>
      </c>
      <c r="B7" s="5" t="s">
        <v>156</v>
      </c>
      <c r="C7" s="12" t="s">
        <v>218</v>
      </c>
      <c r="D7" s="12" t="s">
        <v>239</v>
      </c>
      <c r="E7" s="8"/>
      <c r="F7" s="5"/>
    </row>
    <row r="8" spans="1:9" x14ac:dyDescent="0.25">
      <c r="A8" s="5" t="s">
        <v>163</v>
      </c>
      <c r="B8" s="5" t="s">
        <v>94</v>
      </c>
      <c r="C8" s="12" t="s">
        <v>218</v>
      </c>
      <c r="D8" s="12" t="s">
        <v>260</v>
      </c>
      <c r="E8" s="7">
        <v>8924</v>
      </c>
      <c r="F8" s="5"/>
    </row>
    <row r="9" spans="1:9" x14ac:dyDescent="0.25">
      <c r="A9" s="5" t="s">
        <v>164</v>
      </c>
      <c r="B9" s="5" t="s">
        <v>99</v>
      </c>
      <c r="C9" s="12" t="s">
        <v>218</v>
      </c>
      <c r="D9" s="12" t="s">
        <v>259</v>
      </c>
      <c r="E9" s="7">
        <v>8931</v>
      </c>
      <c r="F9" s="5"/>
    </row>
    <row r="10" spans="1:9" x14ac:dyDescent="0.25">
      <c r="A10" s="5" t="s">
        <v>165</v>
      </c>
      <c r="B10" s="5" t="s">
        <v>94</v>
      </c>
      <c r="C10" s="12" t="s">
        <v>218</v>
      </c>
      <c r="D10" s="12" t="s">
        <v>7</v>
      </c>
      <c r="E10" s="5"/>
      <c r="F10" s="5"/>
    </row>
    <row r="11" spans="1:9" x14ac:dyDescent="0.25">
      <c r="A11" s="5" t="s">
        <v>157</v>
      </c>
      <c r="B11" s="5" t="s">
        <v>117</v>
      </c>
      <c r="C11" s="12" t="s">
        <v>218</v>
      </c>
      <c r="D11" s="12" t="s">
        <v>268</v>
      </c>
      <c r="E11" s="11">
        <v>8919</v>
      </c>
      <c r="F11" s="5" t="s">
        <v>283</v>
      </c>
    </row>
    <row r="12" spans="1:9" x14ac:dyDescent="0.25">
      <c r="A12" s="5" t="s">
        <v>166</v>
      </c>
      <c r="B12" s="5" t="s">
        <v>117</v>
      </c>
      <c r="C12" s="12" t="s">
        <v>218</v>
      </c>
      <c r="D12" s="12" t="s">
        <v>268</v>
      </c>
      <c r="E12" s="11">
        <v>8919</v>
      </c>
      <c r="F12" s="5" t="s">
        <v>283</v>
      </c>
    </row>
    <row r="13" spans="1:9" x14ac:dyDescent="0.25">
      <c r="A13" s="5" t="s">
        <v>159</v>
      </c>
      <c r="B13" s="5" t="s">
        <v>117</v>
      </c>
      <c r="C13" s="12" t="s">
        <v>218</v>
      </c>
      <c r="D13" s="12" t="s">
        <v>268</v>
      </c>
      <c r="E13" s="11">
        <v>8919</v>
      </c>
      <c r="F13" s="5" t="s">
        <v>283</v>
      </c>
    </row>
    <row r="14" spans="1:9" x14ac:dyDescent="0.25">
      <c r="A14" s="5" t="s">
        <v>167</v>
      </c>
      <c r="B14" s="5" t="s">
        <v>161</v>
      </c>
      <c r="C14" s="12" t="s">
        <v>218</v>
      </c>
      <c r="D14" s="12" t="s">
        <v>268</v>
      </c>
      <c r="E14" s="11">
        <v>8919</v>
      </c>
      <c r="F14" s="5" t="s">
        <v>283</v>
      </c>
    </row>
    <row r="15" spans="1:9" x14ac:dyDescent="0.25">
      <c r="A15" s="5" t="s">
        <v>168</v>
      </c>
      <c r="B15" s="5" t="s">
        <v>156</v>
      </c>
      <c r="C15" s="12" t="s">
        <v>218</v>
      </c>
      <c r="D15" s="12" t="s">
        <v>239</v>
      </c>
      <c r="E15" s="5"/>
      <c r="F15" s="5"/>
    </row>
    <row r="16" spans="1:9" x14ac:dyDescent="0.25">
      <c r="A16" s="5" t="s">
        <v>169</v>
      </c>
      <c r="B16" s="5" t="s">
        <v>7</v>
      </c>
      <c r="C16" s="12" t="s">
        <v>217</v>
      </c>
      <c r="D16" s="12"/>
      <c r="E16" s="5"/>
      <c r="F16" s="5"/>
    </row>
    <row r="17" spans="1:6" x14ac:dyDescent="0.25">
      <c r="A17" s="5" t="s">
        <v>157</v>
      </c>
      <c r="B17" s="5" t="s">
        <v>117</v>
      </c>
      <c r="C17" s="12" t="s">
        <v>218</v>
      </c>
      <c r="D17" s="12" t="s">
        <v>269</v>
      </c>
      <c r="E17" s="7">
        <v>18571</v>
      </c>
      <c r="F17" s="5" t="s">
        <v>283</v>
      </c>
    </row>
    <row r="18" spans="1:6" x14ac:dyDescent="0.25">
      <c r="A18" s="5" t="s">
        <v>158</v>
      </c>
      <c r="B18" s="5" t="s">
        <v>117</v>
      </c>
      <c r="C18" s="12" t="s">
        <v>218</v>
      </c>
      <c r="D18" s="12" t="s">
        <v>269</v>
      </c>
      <c r="E18" s="7">
        <v>18571</v>
      </c>
      <c r="F18" s="5" t="s">
        <v>283</v>
      </c>
    </row>
    <row r="19" spans="1:6" x14ac:dyDescent="0.25">
      <c r="A19" s="5" t="s">
        <v>159</v>
      </c>
      <c r="B19" s="5" t="s">
        <v>117</v>
      </c>
      <c r="C19" s="12" t="s">
        <v>218</v>
      </c>
      <c r="D19" s="12" t="s">
        <v>269</v>
      </c>
      <c r="E19" s="7">
        <v>18571</v>
      </c>
      <c r="F19" s="5" t="s">
        <v>283</v>
      </c>
    </row>
    <row r="20" spans="1:6" x14ac:dyDescent="0.25">
      <c r="A20" s="5" t="s">
        <v>160</v>
      </c>
      <c r="B20" s="5" t="s">
        <v>161</v>
      </c>
      <c r="C20" s="12" t="s">
        <v>218</v>
      </c>
      <c r="D20" s="12" t="s">
        <v>269</v>
      </c>
      <c r="E20" s="7">
        <v>18571</v>
      </c>
      <c r="F20" s="5" t="s">
        <v>283</v>
      </c>
    </row>
    <row r="21" spans="1:6" x14ac:dyDescent="0.25">
      <c r="A21" s="5" t="s">
        <v>170</v>
      </c>
      <c r="B21" s="5" t="s">
        <v>171</v>
      </c>
      <c r="C21" s="12" t="s">
        <v>218</v>
      </c>
      <c r="D21" s="12" t="s">
        <v>261</v>
      </c>
      <c r="E21" s="7">
        <v>18580</v>
      </c>
      <c r="F21" s="5"/>
    </row>
    <row r="22" spans="1:6" x14ac:dyDescent="0.25">
      <c r="A22" s="5" t="s">
        <v>172</v>
      </c>
      <c r="B22" s="5" t="s">
        <v>66</v>
      </c>
      <c r="C22" s="12" t="s">
        <v>218</v>
      </c>
      <c r="D22" s="12" t="s">
        <v>262</v>
      </c>
      <c r="E22" s="11">
        <v>18578</v>
      </c>
      <c r="F22" s="5"/>
    </row>
    <row r="23" spans="1:6" x14ac:dyDescent="0.25">
      <c r="A23" s="5" t="s">
        <v>173</v>
      </c>
      <c r="B23" s="5" t="s">
        <v>66</v>
      </c>
      <c r="C23" s="12" t="s">
        <v>218</v>
      </c>
      <c r="D23" s="12" t="s">
        <v>7</v>
      </c>
      <c r="E23" s="5"/>
      <c r="F23" s="5"/>
    </row>
    <row r="24" spans="1:6" x14ac:dyDescent="0.25">
      <c r="A24" s="5" t="s">
        <v>157</v>
      </c>
      <c r="B24" s="5" t="s">
        <v>117</v>
      </c>
      <c r="C24" s="12" t="s">
        <v>218</v>
      </c>
      <c r="D24" s="12" t="s">
        <v>270</v>
      </c>
      <c r="E24" s="7">
        <v>18573</v>
      </c>
      <c r="F24" s="5" t="s">
        <v>283</v>
      </c>
    </row>
    <row r="25" spans="1:6" x14ac:dyDescent="0.25">
      <c r="A25" s="5" t="s">
        <v>158</v>
      </c>
      <c r="B25" s="5" t="s">
        <v>117</v>
      </c>
      <c r="C25" s="12" t="s">
        <v>218</v>
      </c>
      <c r="D25" s="12" t="s">
        <v>270</v>
      </c>
      <c r="E25" s="7">
        <v>18573</v>
      </c>
      <c r="F25" s="5" t="s">
        <v>283</v>
      </c>
    </row>
    <row r="26" spans="1:6" x14ac:dyDescent="0.25">
      <c r="A26" s="5" t="s">
        <v>159</v>
      </c>
      <c r="B26" s="5" t="s">
        <v>117</v>
      </c>
      <c r="C26" s="12" t="s">
        <v>218</v>
      </c>
      <c r="D26" s="12" t="s">
        <v>270</v>
      </c>
      <c r="E26" s="7">
        <v>18573</v>
      </c>
      <c r="F26" s="5" t="s">
        <v>283</v>
      </c>
    </row>
    <row r="27" spans="1:6" x14ac:dyDescent="0.25">
      <c r="A27" s="5" t="s">
        <v>160</v>
      </c>
      <c r="B27" s="5" t="s">
        <v>161</v>
      </c>
      <c r="C27" s="12" t="s">
        <v>218</v>
      </c>
      <c r="D27" s="12" t="s">
        <v>270</v>
      </c>
      <c r="E27" s="7">
        <v>18573</v>
      </c>
      <c r="F27" s="5" t="s">
        <v>283</v>
      </c>
    </row>
    <row r="28" spans="1:6" x14ac:dyDescent="0.25">
      <c r="A28" s="5" t="s">
        <v>170</v>
      </c>
      <c r="B28" s="5" t="s">
        <v>171</v>
      </c>
      <c r="C28" s="12" t="s">
        <v>218</v>
      </c>
      <c r="D28" s="12" t="s">
        <v>263</v>
      </c>
      <c r="E28" s="7">
        <v>18581</v>
      </c>
      <c r="F28" s="5"/>
    </row>
    <row r="29" spans="1:6" x14ac:dyDescent="0.25">
      <c r="A29" s="5" t="s">
        <v>174</v>
      </c>
      <c r="B29" s="5" t="s">
        <v>150</v>
      </c>
      <c r="C29" s="12" t="s">
        <v>218</v>
      </c>
      <c r="D29" s="12" t="s">
        <v>264</v>
      </c>
      <c r="E29" s="11">
        <v>18579</v>
      </c>
      <c r="F29" s="5"/>
    </row>
    <row r="30" spans="1:6" x14ac:dyDescent="0.25">
      <c r="A30" s="5" t="s">
        <v>175</v>
      </c>
      <c r="B30" s="5" t="s">
        <v>137</v>
      </c>
      <c r="C30" s="12" t="s">
        <v>218</v>
      </c>
      <c r="D30" s="12" t="s">
        <v>284</v>
      </c>
      <c r="E30" s="11">
        <v>18575</v>
      </c>
      <c r="F30" s="5"/>
    </row>
    <row r="31" spans="1:6" x14ac:dyDescent="0.25">
      <c r="A31" s="5" t="s">
        <v>176</v>
      </c>
      <c r="B31" s="5" t="s">
        <v>66</v>
      </c>
      <c r="C31" s="5"/>
      <c r="D31" s="5"/>
      <c r="E31" s="5"/>
      <c r="F31" s="5" t="s">
        <v>244</v>
      </c>
    </row>
    <row r="32" spans="1:6" x14ac:dyDescent="0.25">
      <c r="A32" s="5" t="s">
        <v>177</v>
      </c>
      <c r="B32" s="5" t="s">
        <v>7</v>
      </c>
      <c r="C32" s="5"/>
      <c r="D32" s="5"/>
      <c r="E32" s="5"/>
      <c r="F32" s="5" t="s">
        <v>244</v>
      </c>
    </row>
    <row r="33" spans="1:6" x14ac:dyDescent="0.25">
      <c r="A33" s="5" t="s">
        <v>178</v>
      </c>
      <c r="B33" s="5" t="s">
        <v>154</v>
      </c>
      <c r="C33" s="5"/>
      <c r="D33" s="5"/>
      <c r="E33" s="5"/>
      <c r="F33" s="5" t="s">
        <v>244</v>
      </c>
    </row>
    <row r="34" spans="1:6" x14ac:dyDescent="0.25">
      <c r="A34" s="5" t="s">
        <v>157</v>
      </c>
      <c r="B34" s="5" t="s">
        <v>117</v>
      </c>
      <c r="C34" s="5"/>
      <c r="D34" s="5" t="s">
        <v>219</v>
      </c>
      <c r="E34" s="5"/>
      <c r="F34" s="5" t="s">
        <v>244</v>
      </c>
    </row>
    <row r="35" spans="1:6" x14ac:dyDescent="0.25">
      <c r="A35" s="5" t="s">
        <v>179</v>
      </c>
      <c r="B35" s="5" t="s">
        <v>161</v>
      </c>
      <c r="C35" s="5"/>
      <c r="D35" s="5"/>
      <c r="E35" s="5"/>
      <c r="F35" s="5" t="s">
        <v>244</v>
      </c>
    </row>
    <row r="36" spans="1:6" x14ac:dyDescent="0.25">
      <c r="A36" s="5" t="s">
        <v>180</v>
      </c>
      <c r="B36" s="5" t="s">
        <v>117</v>
      </c>
      <c r="C36" s="5"/>
      <c r="D36" s="5"/>
      <c r="E36" s="5"/>
      <c r="F36" s="5" t="s">
        <v>244</v>
      </c>
    </row>
    <row r="37" spans="1:6" x14ac:dyDescent="0.25">
      <c r="A37" s="5" t="s">
        <v>178</v>
      </c>
      <c r="B37" s="5" t="s">
        <v>154</v>
      </c>
      <c r="C37" s="5"/>
      <c r="D37" s="5"/>
      <c r="E37" s="5"/>
      <c r="F37" s="5" t="s">
        <v>244</v>
      </c>
    </row>
    <row r="38" spans="1:6" x14ac:dyDescent="0.25">
      <c r="A38" s="5" t="s">
        <v>157</v>
      </c>
      <c r="B38" s="5" t="s">
        <v>117</v>
      </c>
      <c r="C38" s="5"/>
      <c r="D38" s="5"/>
      <c r="E38" s="5"/>
      <c r="F38" s="5" t="s">
        <v>244</v>
      </c>
    </row>
    <row r="39" spans="1:6" x14ac:dyDescent="0.25">
      <c r="A39" s="5" t="s">
        <v>179</v>
      </c>
      <c r="B39" s="5" t="s">
        <v>161</v>
      </c>
      <c r="C39" s="5"/>
      <c r="D39" s="5"/>
      <c r="E39" s="5"/>
      <c r="F39" s="5" t="s">
        <v>244</v>
      </c>
    </row>
    <row r="40" spans="1:6" x14ac:dyDescent="0.25">
      <c r="A40" s="5" t="s">
        <v>180</v>
      </c>
      <c r="B40" s="5" t="s">
        <v>117</v>
      </c>
      <c r="C40" s="5"/>
      <c r="D40" s="5"/>
      <c r="E40" s="5"/>
      <c r="F40" s="5" t="s">
        <v>244</v>
      </c>
    </row>
    <row r="41" spans="1:6" x14ac:dyDescent="0.25">
      <c r="A41" s="5" t="s">
        <v>181</v>
      </c>
      <c r="B41" s="5" t="s">
        <v>154</v>
      </c>
      <c r="C41" s="5"/>
      <c r="D41" s="5"/>
      <c r="E41" s="5"/>
      <c r="F41" s="5" t="s">
        <v>244</v>
      </c>
    </row>
    <row r="42" spans="1:6" x14ac:dyDescent="0.25">
      <c r="A42" s="5" t="s">
        <v>157</v>
      </c>
      <c r="B42" s="5" t="s">
        <v>117</v>
      </c>
      <c r="C42" s="5"/>
      <c r="D42" s="5"/>
      <c r="E42" s="5"/>
      <c r="F42" s="5" t="s">
        <v>244</v>
      </c>
    </row>
    <row r="43" spans="1:6" x14ac:dyDescent="0.25">
      <c r="A43" s="5" t="s">
        <v>179</v>
      </c>
      <c r="B43" s="5" t="s">
        <v>161</v>
      </c>
      <c r="C43" s="5"/>
      <c r="D43" s="5"/>
      <c r="E43" s="5"/>
      <c r="F43" s="5" t="s">
        <v>244</v>
      </c>
    </row>
    <row r="44" spans="1:6" x14ac:dyDescent="0.25">
      <c r="A44" s="5" t="s">
        <v>180</v>
      </c>
      <c r="B44" s="5" t="s">
        <v>117</v>
      </c>
      <c r="C44" s="5"/>
      <c r="D44" s="5"/>
      <c r="E44" s="5"/>
      <c r="F44" s="5" t="s">
        <v>244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3"/>
  <sheetViews>
    <sheetView workbookViewId="0"/>
  </sheetViews>
  <sheetFormatPr defaultRowHeight="15" x14ac:dyDescent="0.25"/>
  <cols>
    <col min="1" max="1" width="39.7109375" customWidth="1"/>
    <col min="2" max="2" width="44.7109375" customWidth="1"/>
    <col min="3" max="3" width="8.85546875" bestFit="1" customWidth="1"/>
    <col min="4" max="4" width="32.42578125" bestFit="1" customWidth="1"/>
    <col min="5" max="5" width="7.5703125" bestFit="1" customWidth="1"/>
    <col min="6" max="6" width="22.5703125" bestFit="1" customWidth="1"/>
    <col min="7" max="7" width="1.42578125" bestFit="1" customWidth="1"/>
    <col min="8" max="8" width="8.85546875" bestFit="1" customWidth="1"/>
    <col min="9" max="9" width="3.5703125" bestFit="1" customWidth="1"/>
  </cols>
  <sheetData>
    <row r="1" spans="1:9" x14ac:dyDescent="0.25">
      <c r="A1" s="1" t="s">
        <v>0</v>
      </c>
      <c r="B1" s="1" t="s">
        <v>1</v>
      </c>
      <c r="C1" s="2" t="s">
        <v>213</v>
      </c>
      <c r="D1" s="2" t="s">
        <v>214</v>
      </c>
      <c r="E1" s="3" t="s">
        <v>215</v>
      </c>
      <c r="F1" s="2" t="s">
        <v>216</v>
      </c>
      <c r="H1" s="2" t="s">
        <v>217</v>
      </c>
      <c r="I1" s="5">
        <f>COUNTIF(C2:C1048576,"correct")</f>
        <v>4</v>
      </c>
    </row>
    <row r="2" spans="1:9" x14ac:dyDescent="0.25">
      <c r="A2" s="5" t="s">
        <v>155</v>
      </c>
      <c r="B2" s="5" t="s">
        <v>156</v>
      </c>
      <c r="C2" s="5" t="s">
        <v>218</v>
      </c>
      <c r="D2" s="5" t="s">
        <v>7</v>
      </c>
      <c r="E2" s="5"/>
      <c r="F2" s="5"/>
      <c r="H2" s="5" t="s">
        <v>218</v>
      </c>
      <c r="I2" s="5">
        <f>COUNTIF(C:C,"Incorrect")</f>
        <v>45</v>
      </c>
    </row>
    <row r="3" spans="1:9" x14ac:dyDescent="0.25">
      <c r="A3" s="5" t="s">
        <v>157</v>
      </c>
      <c r="B3" s="5" t="s">
        <v>117</v>
      </c>
      <c r="C3" s="5" t="s">
        <v>218</v>
      </c>
      <c r="D3" s="12" t="s">
        <v>155</v>
      </c>
      <c r="E3" s="11">
        <v>8920</v>
      </c>
      <c r="F3" s="5" t="s">
        <v>283</v>
      </c>
      <c r="H3" s="5"/>
      <c r="I3" s="9">
        <f>I1/SUM(I1:I2)</f>
        <v>8.1632653061224483E-2</v>
      </c>
    </row>
    <row r="4" spans="1:9" x14ac:dyDescent="0.25">
      <c r="A4" s="5" t="s">
        <v>166</v>
      </c>
      <c r="B4" s="5" t="s">
        <v>117</v>
      </c>
      <c r="C4" s="5" t="s">
        <v>218</v>
      </c>
      <c r="D4" s="12" t="s">
        <v>155</v>
      </c>
      <c r="E4" s="11">
        <v>8920</v>
      </c>
      <c r="F4" s="5" t="s">
        <v>283</v>
      </c>
    </row>
    <row r="5" spans="1:9" x14ac:dyDescent="0.25">
      <c r="A5" s="5" t="s">
        <v>159</v>
      </c>
      <c r="B5" s="5" t="s">
        <v>117</v>
      </c>
      <c r="C5" s="5" t="s">
        <v>218</v>
      </c>
      <c r="D5" s="12" t="s">
        <v>155</v>
      </c>
      <c r="E5" s="11">
        <v>8920</v>
      </c>
      <c r="F5" s="5" t="s">
        <v>283</v>
      </c>
    </row>
    <row r="6" spans="1:9" x14ac:dyDescent="0.25">
      <c r="A6" s="5" t="s">
        <v>160</v>
      </c>
      <c r="B6" s="5" t="s">
        <v>161</v>
      </c>
      <c r="C6" s="5" t="s">
        <v>218</v>
      </c>
      <c r="D6" s="12" t="s">
        <v>155</v>
      </c>
      <c r="E6" s="11">
        <v>8920</v>
      </c>
      <c r="F6" s="5" t="s">
        <v>283</v>
      </c>
    </row>
    <row r="7" spans="1:9" x14ac:dyDescent="0.25">
      <c r="A7" s="5" t="s">
        <v>203</v>
      </c>
      <c r="B7" s="5" t="s">
        <v>204</v>
      </c>
      <c r="C7" s="5" t="s">
        <v>218</v>
      </c>
      <c r="D7" s="12" t="s">
        <v>155</v>
      </c>
      <c r="E7" s="11">
        <v>8920</v>
      </c>
      <c r="F7" s="5" t="s">
        <v>283</v>
      </c>
      <c r="G7" t="s">
        <v>219</v>
      </c>
    </row>
    <row r="8" spans="1:9" x14ac:dyDescent="0.25">
      <c r="A8" s="5" t="s">
        <v>205</v>
      </c>
      <c r="B8" s="5" t="s">
        <v>206</v>
      </c>
      <c r="C8" s="5" t="s">
        <v>218</v>
      </c>
      <c r="D8" s="12" t="s">
        <v>155</v>
      </c>
      <c r="E8" s="11">
        <v>8920</v>
      </c>
      <c r="F8" s="5" t="s">
        <v>283</v>
      </c>
    </row>
    <row r="9" spans="1:9" x14ac:dyDescent="0.25">
      <c r="A9" s="5" t="s">
        <v>8</v>
      </c>
      <c r="B9" s="5" t="s">
        <v>206</v>
      </c>
      <c r="C9" s="5" t="s">
        <v>218</v>
      </c>
      <c r="D9" s="12" t="s">
        <v>155</v>
      </c>
      <c r="E9" s="11">
        <v>8920</v>
      </c>
      <c r="F9" s="5" t="s">
        <v>283</v>
      </c>
    </row>
    <row r="10" spans="1:9" x14ac:dyDescent="0.25">
      <c r="A10" s="5" t="s">
        <v>162</v>
      </c>
      <c r="B10" s="5" t="s">
        <v>156</v>
      </c>
      <c r="C10" s="5" t="s">
        <v>218</v>
      </c>
      <c r="D10" s="5" t="s">
        <v>239</v>
      </c>
      <c r="E10" s="5"/>
      <c r="F10" s="5"/>
    </row>
    <row r="11" spans="1:9" x14ac:dyDescent="0.25">
      <c r="A11" s="5" t="s">
        <v>163</v>
      </c>
      <c r="B11" s="5" t="s">
        <v>94</v>
      </c>
      <c r="C11" s="5" t="s">
        <v>218</v>
      </c>
      <c r="D11" s="5" t="s">
        <v>260</v>
      </c>
      <c r="E11" s="7">
        <v>8924</v>
      </c>
      <c r="F11" s="5"/>
    </row>
    <row r="12" spans="1:9" x14ac:dyDescent="0.25">
      <c r="A12" s="5" t="s">
        <v>164</v>
      </c>
      <c r="B12" s="5" t="s">
        <v>99</v>
      </c>
      <c r="C12" s="5" t="s">
        <v>218</v>
      </c>
      <c r="D12" s="12" t="s">
        <v>259</v>
      </c>
      <c r="E12" s="11">
        <v>8931</v>
      </c>
      <c r="F12" s="5"/>
    </row>
    <row r="13" spans="1:9" x14ac:dyDescent="0.25">
      <c r="A13" s="5" t="s">
        <v>207</v>
      </c>
      <c r="B13" s="5" t="s">
        <v>94</v>
      </c>
      <c r="C13" s="5" t="s">
        <v>218</v>
      </c>
      <c r="D13" s="5" t="s">
        <v>7</v>
      </c>
      <c r="E13" s="5"/>
      <c r="F13" s="5"/>
    </row>
    <row r="14" spans="1:9" x14ac:dyDescent="0.25">
      <c r="A14" s="5" t="s">
        <v>157</v>
      </c>
      <c r="B14" s="5" t="s">
        <v>117</v>
      </c>
      <c r="C14" s="5" t="s">
        <v>218</v>
      </c>
      <c r="D14" s="12" t="s">
        <v>268</v>
      </c>
      <c r="E14" s="11">
        <v>8919</v>
      </c>
      <c r="F14" s="5" t="s">
        <v>283</v>
      </c>
    </row>
    <row r="15" spans="1:9" x14ac:dyDescent="0.25">
      <c r="A15" s="5" t="s">
        <v>166</v>
      </c>
      <c r="B15" s="5" t="s">
        <v>117</v>
      </c>
      <c r="C15" s="5" t="s">
        <v>218</v>
      </c>
      <c r="D15" s="12" t="s">
        <v>268</v>
      </c>
      <c r="E15" s="11">
        <v>8919</v>
      </c>
      <c r="F15" s="5" t="s">
        <v>283</v>
      </c>
    </row>
    <row r="16" spans="1:9" x14ac:dyDescent="0.25">
      <c r="A16" s="5" t="s">
        <v>159</v>
      </c>
      <c r="B16" s="5" t="s">
        <v>117</v>
      </c>
      <c r="C16" s="5" t="s">
        <v>218</v>
      </c>
      <c r="D16" s="12" t="s">
        <v>268</v>
      </c>
      <c r="E16" s="11">
        <v>8919</v>
      </c>
      <c r="F16" s="5" t="s">
        <v>283</v>
      </c>
    </row>
    <row r="17" spans="1:6" x14ac:dyDescent="0.25">
      <c r="A17" s="5" t="s">
        <v>160</v>
      </c>
      <c r="B17" s="5" t="s">
        <v>161</v>
      </c>
      <c r="C17" s="5" t="s">
        <v>218</v>
      </c>
      <c r="D17" s="12" t="s">
        <v>268</v>
      </c>
      <c r="E17" s="11">
        <v>8919</v>
      </c>
      <c r="F17" s="5" t="s">
        <v>283</v>
      </c>
    </row>
    <row r="18" spans="1:6" x14ac:dyDescent="0.25">
      <c r="A18" s="5" t="s">
        <v>203</v>
      </c>
      <c r="B18" s="5" t="s">
        <v>204</v>
      </c>
      <c r="C18" s="5" t="s">
        <v>218</v>
      </c>
      <c r="D18" s="12" t="s">
        <v>268</v>
      </c>
      <c r="E18" s="11">
        <v>8919</v>
      </c>
      <c r="F18" s="5" t="s">
        <v>283</v>
      </c>
    </row>
    <row r="19" spans="1:6" x14ac:dyDescent="0.25">
      <c r="A19" s="5" t="s">
        <v>205</v>
      </c>
      <c r="B19" s="5" t="s">
        <v>206</v>
      </c>
      <c r="C19" s="5" t="s">
        <v>218</v>
      </c>
      <c r="D19" s="12" t="s">
        <v>268</v>
      </c>
      <c r="E19" s="11">
        <v>8919</v>
      </c>
      <c r="F19" s="5" t="s">
        <v>283</v>
      </c>
    </row>
    <row r="20" spans="1:6" x14ac:dyDescent="0.25">
      <c r="A20" s="5" t="s">
        <v>8</v>
      </c>
      <c r="B20" s="5" t="s">
        <v>206</v>
      </c>
      <c r="C20" s="5" t="s">
        <v>218</v>
      </c>
      <c r="D20" s="12" t="s">
        <v>268</v>
      </c>
      <c r="E20" s="11">
        <v>8919</v>
      </c>
      <c r="F20" s="5" t="s">
        <v>283</v>
      </c>
    </row>
    <row r="21" spans="1:6" x14ac:dyDescent="0.25">
      <c r="A21" s="5" t="s">
        <v>168</v>
      </c>
      <c r="B21" s="5" t="s">
        <v>156</v>
      </c>
      <c r="C21" s="5" t="s">
        <v>218</v>
      </c>
      <c r="D21" s="5" t="s">
        <v>239</v>
      </c>
      <c r="E21" s="5"/>
      <c r="F21" s="5"/>
    </row>
    <row r="22" spans="1:6" x14ac:dyDescent="0.25">
      <c r="A22" s="5" t="s">
        <v>208</v>
      </c>
      <c r="B22" s="5" t="s">
        <v>7</v>
      </c>
      <c r="C22" s="5" t="s">
        <v>218</v>
      </c>
      <c r="D22" s="5" t="s">
        <v>285</v>
      </c>
      <c r="E22" s="7">
        <v>8929</v>
      </c>
      <c r="F22" s="5"/>
    </row>
    <row r="23" spans="1:6" x14ac:dyDescent="0.25">
      <c r="A23" s="5" t="s">
        <v>209</v>
      </c>
      <c r="B23" s="5" t="s">
        <v>210</v>
      </c>
      <c r="C23" s="5" t="s">
        <v>218</v>
      </c>
      <c r="D23" s="5" t="s">
        <v>266</v>
      </c>
      <c r="E23" s="7">
        <v>8921</v>
      </c>
      <c r="F23" s="5"/>
    </row>
    <row r="24" spans="1:6" x14ac:dyDescent="0.25">
      <c r="A24" s="5" t="s">
        <v>211</v>
      </c>
      <c r="B24" s="5" t="s">
        <v>94</v>
      </c>
      <c r="C24" s="5" t="s">
        <v>218</v>
      </c>
      <c r="D24" s="12" t="s">
        <v>267</v>
      </c>
      <c r="E24" s="11">
        <v>8908</v>
      </c>
      <c r="F24" s="5"/>
    </row>
    <row r="25" spans="1:6" x14ac:dyDescent="0.25">
      <c r="A25" s="5" t="s">
        <v>169</v>
      </c>
      <c r="B25" s="5" t="s">
        <v>7</v>
      </c>
      <c r="C25" s="5" t="s">
        <v>217</v>
      </c>
      <c r="D25" s="5"/>
      <c r="E25" s="5"/>
      <c r="F25" s="5"/>
    </row>
    <row r="26" spans="1:6" x14ac:dyDescent="0.25">
      <c r="A26" s="5" t="s">
        <v>157</v>
      </c>
      <c r="B26" s="5" t="s">
        <v>117</v>
      </c>
      <c r="C26" s="5" t="s">
        <v>218</v>
      </c>
      <c r="D26" s="5" t="s">
        <v>269</v>
      </c>
      <c r="E26" s="7">
        <v>18571</v>
      </c>
      <c r="F26" s="5" t="s">
        <v>283</v>
      </c>
    </row>
    <row r="27" spans="1:6" x14ac:dyDescent="0.25">
      <c r="A27" s="5" t="s">
        <v>166</v>
      </c>
      <c r="B27" s="5" t="s">
        <v>117</v>
      </c>
      <c r="C27" s="5" t="s">
        <v>218</v>
      </c>
      <c r="D27" s="5" t="s">
        <v>269</v>
      </c>
      <c r="E27" s="7">
        <v>18571</v>
      </c>
      <c r="F27" s="5" t="s">
        <v>283</v>
      </c>
    </row>
    <row r="28" spans="1:6" x14ac:dyDescent="0.25">
      <c r="A28" s="5" t="s">
        <v>159</v>
      </c>
      <c r="B28" s="5" t="s">
        <v>117</v>
      </c>
      <c r="C28" s="5" t="s">
        <v>218</v>
      </c>
      <c r="D28" s="5" t="s">
        <v>269</v>
      </c>
      <c r="E28" s="7">
        <v>18571</v>
      </c>
      <c r="F28" s="5" t="s">
        <v>283</v>
      </c>
    </row>
    <row r="29" spans="1:6" x14ac:dyDescent="0.25">
      <c r="A29" s="5" t="s">
        <v>160</v>
      </c>
      <c r="B29" s="5" t="s">
        <v>161</v>
      </c>
      <c r="C29" s="5" t="s">
        <v>218</v>
      </c>
      <c r="D29" s="5" t="s">
        <v>269</v>
      </c>
      <c r="E29" s="7">
        <v>18571</v>
      </c>
      <c r="F29" s="5" t="s">
        <v>283</v>
      </c>
    </row>
    <row r="30" spans="1:6" x14ac:dyDescent="0.25">
      <c r="A30" s="5" t="s">
        <v>203</v>
      </c>
      <c r="B30" s="5" t="s">
        <v>204</v>
      </c>
      <c r="C30" s="5" t="s">
        <v>218</v>
      </c>
      <c r="D30" s="5" t="s">
        <v>269</v>
      </c>
      <c r="E30" s="7">
        <v>18571</v>
      </c>
      <c r="F30" s="5" t="s">
        <v>283</v>
      </c>
    </row>
    <row r="31" spans="1:6" x14ac:dyDescent="0.25">
      <c r="A31" s="5" t="s">
        <v>205</v>
      </c>
      <c r="B31" s="5" t="s">
        <v>206</v>
      </c>
      <c r="C31" s="5" t="s">
        <v>218</v>
      </c>
      <c r="D31" s="5" t="s">
        <v>269</v>
      </c>
      <c r="E31" s="7">
        <v>18571</v>
      </c>
      <c r="F31" s="5" t="s">
        <v>283</v>
      </c>
    </row>
    <row r="32" spans="1:6" x14ac:dyDescent="0.25">
      <c r="A32" s="5" t="s">
        <v>8</v>
      </c>
      <c r="B32" s="5" t="s">
        <v>206</v>
      </c>
      <c r="C32" s="5" t="s">
        <v>218</v>
      </c>
      <c r="D32" s="5" t="s">
        <v>269</v>
      </c>
      <c r="E32" s="7">
        <v>18571</v>
      </c>
      <c r="F32" s="5" t="s">
        <v>283</v>
      </c>
    </row>
    <row r="33" spans="1:6" x14ac:dyDescent="0.25">
      <c r="A33" s="5" t="s">
        <v>170</v>
      </c>
      <c r="B33" s="5" t="s">
        <v>171</v>
      </c>
      <c r="C33" s="5" t="s">
        <v>218</v>
      </c>
      <c r="D33" s="5" t="s">
        <v>261</v>
      </c>
      <c r="E33" s="7">
        <v>18580</v>
      </c>
      <c r="F33" s="5"/>
    </row>
    <row r="34" spans="1:6" x14ac:dyDescent="0.25">
      <c r="A34" s="5" t="s">
        <v>176</v>
      </c>
      <c r="B34" s="5" t="s">
        <v>66</v>
      </c>
      <c r="C34" s="5" t="s">
        <v>217</v>
      </c>
      <c r="D34" s="5"/>
      <c r="E34" s="7"/>
      <c r="F34" s="5"/>
    </row>
    <row r="35" spans="1:6" x14ac:dyDescent="0.25">
      <c r="A35" s="5" t="s">
        <v>208</v>
      </c>
      <c r="B35" s="5" t="s">
        <v>7</v>
      </c>
      <c r="C35" s="5" t="s">
        <v>218</v>
      </c>
      <c r="D35" s="5" t="s">
        <v>261</v>
      </c>
      <c r="E35" s="7">
        <v>18580</v>
      </c>
      <c r="F35" s="5"/>
    </row>
    <row r="36" spans="1:6" x14ac:dyDescent="0.25">
      <c r="A36" s="5" t="s">
        <v>172</v>
      </c>
      <c r="B36" s="5" t="s">
        <v>66</v>
      </c>
      <c r="C36" s="5" t="s">
        <v>218</v>
      </c>
      <c r="D36" s="12" t="s">
        <v>262</v>
      </c>
      <c r="E36" s="11">
        <v>18578</v>
      </c>
      <c r="F36" s="5"/>
    </row>
    <row r="37" spans="1:6" x14ac:dyDescent="0.25">
      <c r="A37" s="5" t="s">
        <v>173</v>
      </c>
      <c r="B37" s="5" t="s">
        <v>66</v>
      </c>
      <c r="C37" s="5" t="s">
        <v>218</v>
      </c>
      <c r="D37" s="5" t="s">
        <v>7</v>
      </c>
      <c r="E37" s="5"/>
      <c r="F37" s="5"/>
    </row>
    <row r="38" spans="1:6" x14ac:dyDescent="0.25">
      <c r="A38" s="5" t="s">
        <v>157</v>
      </c>
      <c r="B38" s="5" t="s">
        <v>117</v>
      </c>
      <c r="C38" s="5" t="s">
        <v>218</v>
      </c>
      <c r="D38" s="5" t="s">
        <v>270</v>
      </c>
      <c r="E38" s="7">
        <v>18573</v>
      </c>
      <c r="F38" s="5" t="s">
        <v>283</v>
      </c>
    </row>
    <row r="39" spans="1:6" x14ac:dyDescent="0.25">
      <c r="A39" s="5" t="s">
        <v>166</v>
      </c>
      <c r="B39" s="5" t="s">
        <v>117</v>
      </c>
      <c r="C39" s="5" t="s">
        <v>218</v>
      </c>
      <c r="D39" s="5" t="s">
        <v>270</v>
      </c>
      <c r="E39" s="7">
        <v>18573</v>
      </c>
      <c r="F39" s="5" t="s">
        <v>283</v>
      </c>
    </row>
    <row r="40" spans="1:6" x14ac:dyDescent="0.25">
      <c r="A40" s="5" t="s">
        <v>159</v>
      </c>
      <c r="B40" s="5" t="s">
        <v>117</v>
      </c>
      <c r="C40" s="5" t="s">
        <v>218</v>
      </c>
      <c r="D40" s="5" t="s">
        <v>270</v>
      </c>
      <c r="E40" s="7">
        <v>18573</v>
      </c>
      <c r="F40" s="5" t="s">
        <v>283</v>
      </c>
    </row>
    <row r="41" spans="1:6" x14ac:dyDescent="0.25">
      <c r="A41" s="5" t="s">
        <v>160</v>
      </c>
      <c r="B41" s="5" t="s">
        <v>161</v>
      </c>
      <c r="C41" s="5" t="s">
        <v>218</v>
      </c>
      <c r="D41" s="5" t="s">
        <v>270</v>
      </c>
      <c r="E41" s="7">
        <v>18573</v>
      </c>
      <c r="F41" s="5" t="s">
        <v>283</v>
      </c>
    </row>
    <row r="42" spans="1:6" x14ac:dyDescent="0.25">
      <c r="A42" s="5" t="s">
        <v>203</v>
      </c>
      <c r="B42" s="5" t="s">
        <v>204</v>
      </c>
      <c r="C42" s="5" t="s">
        <v>218</v>
      </c>
      <c r="D42" s="5" t="s">
        <v>270</v>
      </c>
      <c r="E42" s="7">
        <v>18573</v>
      </c>
      <c r="F42" s="5" t="s">
        <v>283</v>
      </c>
    </row>
    <row r="43" spans="1:6" x14ac:dyDescent="0.25">
      <c r="A43" s="5" t="s">
        <v>205</v>
      </c>
      <c r="B43" s="5" t="s">
        <v>206</v>
      </c>
      <c r="C43" s="5" t="s">
        <v>218</v>
      </c>
      <c r="D43" s="5" t="s">
        <v>270</v>
      </c>
      <c r="E43" s="7">
        <v>18573</v>
      </c>
      <c r="F43" s="5" t="s">
        <v>283</v>
      </c>
    </row>
    <row r="44" spans="1:6" x14ac:dyDescent="0.25">
      <c r="A44" s="5" t="s">
        <v>8</v>
      </c>
      <c r="B44" s="5" t="s">
        <v>206</v>
      </c>
      <c r="C44" s="5" t="s">
        <v>218</v>
      </c>
      <c r="D44" s="5" t="s">
        <v>270</v>
      </c>
      <c r="E44" s="7">
        <v>18573</v>
      </c>
      <c r="F44" s="5" t="s">
        <v>283</v>
      </c>
    </row>
    <row r="45" spans="1:6" x14ac:dyDescent="0.25">
      <c r="A45" s="5" t="s">
        <v>170</v>
      </c>
      <c r="B45" s="5" t="s">
        <v>171</v>
      </c>
      <c r="C45" s="5" t="s">
        <v>218</v>
      </c>
      <c r="D45" s="5" t="s">
        <v>263</v>
      </c>
      <c r="E45" s="7">
        <v>18581</v>
      </c>
      <c r="F45" s="5"/>
    </row>
    <row r="46" spans="1:6" x14ac:dyDescent="0.25">
      <c r="A46" s="5" t="s">
        <v>176</v>
      </c>
      <c r="B46" s="5" t="s">
        <v>66</v>
      </c>
      <c r="C46" s="5" t="s">
        <v>217</v>
      </c>
      <c r="D46" s="2"/>
      <c r="E46" s="8"/>
      <c r="F46" s="5"/>
    </row>
    <row r="47" spans="1:6" x14ac:dyDescent="0.25">
      <c r="A47" s="5" t="s">
        <v>208</v>
      </c>
      <c r="B47" s="5" t="s">
        <v>7</v>
      </c>
      <c r="C47" s="5" t="s">
        <v>218</v>
      </c>
      <c r="D47" s="5" t="s">
        <v>263</v>
      </c>
      <c r="E47" s="7">
        <v>18581</v>
      </c>
      <c r="F47" s="5"/>
    </row>
    <row r="48" spans="1:6" x14ac:dyDescent="0.25">
      <c r="A48" s="5" t="s">
        <v>174</v>
      </c>
      <c r="B48" s="5" t="s">
        <v>150</v>
      </c>
      <c r="C48" s="5" t="s">
        <v>218</v>
      </c>
      <c r="D48" s="12" t="s">
        <v>264</v>
      </c>
      <c r="E48" s="11">
        <v>18579</v>
      </c>
      <c r="F48" s="5"/>
    </row>
    <row r="49" spans="1:6" x14ac:dyDescent="0.25">
      <c r="A49" s="5" t="s">
        <v>212</v>
      </c>
      <c r="B49" s="5" t="s">
        <v>137</v>
      </c>
      <c r="C49" s="5" t="s">
        <v>218</v>
      </c>
      <c r="D49" s="12" t="s">
        <v>265</v>
      </c>
      <c r="E49" s="11">
        <v>8930</v>
      </c>
      <c r="F49" s="5"/>
    </row>
    <row r="50" spans="1:6" x14ac:dyDescent="0.25">
      <c r="A50" s="5" t="s">
        <v>176</v>
      </c>
      <c r="B50" s="5" t="s">
        <v>66</v>
      </c>
      <c r="C50" s="5" t="s">
        <v>217</v>
      </c>
      <c r="D50" s="5"/>
      <c r="E50" s="5"/>
      <c r="F50" s="5"/>
    </row>
    <row r="53" spans="1:6" x14ac:dyDescent="0.25">
      <c r="C53" t="s">
        <v>219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2026-06-03T07:13:53Z</dcterms:created>
  <dcterms:modified xsi:type="dcterms:W3CDTF">2026-06-08T06:40:57Z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2026-06-04T05:10:12Z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deae28cf-48d0-4845-8b8b-6f8425ceea34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