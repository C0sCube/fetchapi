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DD1A61EB-5544-4606-B5D8-70D7CE92F3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5" r:id="rId1"/>
    <sheet name="Consolidated Profit &amp; Loss" sheetId="1" r:id="rId2"/>
    <sheet name="Standalone Balance Sheet" sheetId="6" r:id="rId3"/>
    <sheet name="Consolidated Balance Sheet" sheetId="2" r:id="rId4"/>
    <sheet name="Standalone Cash Flow" sheetId="7" r:id="rId5"/>
    <sheet name="Consolidated Cash Flow" sheetId="3" r:id="rId6"/>
    <sheet name="Segment Finance - Standalone" sheetId="8" r:id="rId7"/>
    <sheet name="Segment Finance - Consolidated" sheetId="4" r:id="rId8"/>
  </sheets>
  <definedNames>
    <definedName name="_xlnm._FilterDatabase" localSheetId="5" hidden="1">'Consolidated Cash Flow'!$A$1:$F$33</definedName>
    <definedName name="_xlnm._FilterDatabase" localSheetId="1" hidden="1">'Consolidated Profit &amp; Loss'!$A$1:$F$45</definedName>
    <definedName name="_xlnm._FilterDatabase" localSheetId="7" hidden="1">'Segment Finance - Consolidated'!$A$1:$F$55</definedName>
    <definedName name="_xlnm._FilterDatabase" localSheetId="4" hidden="1">'Standalone Cash Flow'!$A$1:$F$32</definedName>
    <definedName name="_xlnm._FilterDatabase" localSheetId="0" hidden="1">'Standalone Profit &amp; Loss'!$A$1:$F$43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5" l="1"/>
  <c r="I2" i="4"/>
  <c r="I1" i="4"/>
  <c r="I2" i="8"/>
  <c r="I1" i="8"/>
  <c r="I3" i="8" s="1"/>
  <c r="I2" i="3"/>
  <c r="I1" i="3"/>
  <c r="I2" i="7"/>
  <c r="I1" i="7"/>
  <c r="I2" i="6"/>
  <c r="I1" i="6"/>
  <c r="I2" i="2"/>
  <c r="I1" i="2"/>
  <c r="I3" i="4" l="1"/>
  <c r="I3" i="3"/>
  <c r="I3" i="7"/>
  <c r="I3" i="2"/>
  <c r="I3" i="6"/>
  <c r="I2" i="1"/>
  <c r="I1" i="1"/>
  <c r="I2" i="5"/>
  <c r="I3" i="5" s="1"/>
  <c r="I3" i="1" l="1"/>
</calcChain>
</file>

<file path=xl/sharedStrings.xml><?xml version="1.0" encoding="utf-8"?>
<sst xmlns="http://schemas.openxmlformats.org/spreadsheetml/2006/main" count="1202" uniqueCount="264">
  <si>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</si>
  <si>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</si>
  <si>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</si>
  <si>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</si>
  <si>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</si>
  <si>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</si>
  <si>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and other inter -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</si>
  <si>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</si>
  <si>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</si>
  <si>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</si>
  <si>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</si>
  <si>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</si>
  <si>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</si>
  <si>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</si>
  <si>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</si>
  <si>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</si>
  <si>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</si>
  <si>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</si>
  <si>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</si>
  <si>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Excluding Provisions and Contingencies</t>
  </si>
  <si>
    <t>Profit/(Loss) from Ordinary Activities after Finance Costs but before Exceptional Items</t>
  </si>
  <si>
    <t>Operating Profit before Provisions and Contingencies</t>
  </si>
  <si>
    <t>Provisions ( other than tax ) and Contingencies</t>
  </si>
  <si>
    <t>Changes in Inventories of Finished Goods, Work-In-Progress and Stock-In-Trade</t>
  </si>
  <si>
    <t>Exceptional items</t>
  </si>
  <si>
    <t>Other Exceptional Items</t>
  </si>
  <si>
    <t>Profit / Loss from Ordinary Activities before Tax</t>
  </si>
  <si>
    <t>Profit/(Loss) From Ordinary Activities before Tax</t>
  </si>
  <si>
    <t>Tax Expense</t>
  </si>
  <si>
    <t>Net Profit / Loss from Ordinary Activities after Tax</t>
  </si>
  <si>
    <t>Net Profit/(Loss) from Ordinary Activities after Tax</t>
  </si>
  <si>
    <t>Extraordinary items ( net of tax expense )</t>
  </si>
  <si>
    <t>Net Profit / Loss before share of Associate</t>
  </si>
  <si>
    <t>Share of Profit/(loss) of associates and Joint Ventures before ebt</t>
  </si>
  <si>
    <t>Share in profit/(loss) of Associate</t>
  </si>
  <si>
    <t>Share of Profit/(Loss) of Associates/Joint Ventures</t>
  </si>
  <si>
    <t>Net Profit / Loss for the period</t>
  </si>
  <si>
    <t>Net Profit/(Loss) for the Period</t>
  </si>
  <si>
    <t>Paid up Equity Share Capital (Face Value: Rs.10/- each)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</si>
  <si>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</si>
  <si>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</si>
  <si>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</si>
  <si>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</t>
  </si>
  <si>
    <t>Percentage of shares held by Government of India</t>
  </si>
  <si>
    <t>Capital Adequacy Ratio (%) - Basel III</t>
  </si>
  <si>
    <t>CET 1 Ratio</t>
  </si>
  <si>
    <t>Basic EPS</t>
  </si>
  <si>
    <t>Earnings per share (EPS) - (Basic and Diluted) (Rs .)</t>
  </si>
  <si>
    <t>Basic EPS for the period / year before Extraordinary items ( not annualized )</t>
  </si>
  <si>
    <t>Diluted EPS for the period / year before Extraordinary items (not annualized)</t>
  </si>
  <si>
    <t>Diluted EPS</t>
  </si>
  <si>
    <t>Basic EPS for the period / year after Extraordinary items (not annualized)</t>
  </si>
  <si>
    <t>Diluted EPS for the period / year after Extraordinary items (not annualized)</t>
  </si>
  <si>
    <t>NPA Ratios</t>
  </si>
  <si>
    <t>Minority Interest</t>
  </si>
  <si>
    <t>Gross NPA</t>
  </si>
  <si>
    <t>Net NPA</t>
  </si>
  <si>
    <t>Deferred Tax</t>
  </si>
  <si>
    <t>Gross NPA (%)</t>
  </si>
  <si>
    <t>NOVAL</t>
  </si>
  <si>
    <t>Net NPA (%)</t>
  </si>
  <si>
    <t>Return on Assets (%) (annualized)</t>
  </si>
  <si>
    <t>Net Worth</t>
  </si>
  <si>
    <t>Outstanding Redeemable Preference Shares</t>
  </si>
  <si>
    <t>Capital Redemption Reserve</t>
  </si>
  <si>
    <t>Debt Equity Ratio</t>
  </si>
  <si>
    <t>Total Debt to Total Assets</t>
  </si>
  <si>
    <t>Total Field</t>
  </si>
  <si>
    <t>Capital</t>
  </si>
  <si>
    <t>Share Capital</t>
  </si>
  <si>
    <t>Employee Stock Options Outstanding</t>
  </si>
  <si>
    <t>Total Share Holder's Funds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</si>
  <si>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</si>
  <si>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</si>
  <si>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</si>
  <si>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</si>
  <si>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</si>
  <si>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</si>
  <si>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</si>
  <si>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</si>
  <si>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</si>
  <si>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</si>
  <si>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</si>
  <si>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</si>
  <si>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</si>
  <si>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</si>
  <si>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</si>
  <si>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</si>
  <si>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</si>
  <si>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</si>
  <si>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</si>
  <si>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</si>
  <si>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Net Profit before taxation</t>
  </si>
  <si>
    <t>Net Profit Before Tax And Exceptional Item</t>
  </si>
  <si>
    <t>Adjustments for :</t>
  </si>
  <si>
    <t>Depreciation on Fixed assets</t>
  </si>
  <si>
    <t>Depreciation and Amortisation Expense</t>
  </si>
  <si>
    <t>Depreciation on Investments</t>
  </si>
  <si>
    <t>Employees Stock Option expenses</t>
  </si>
  <si>
    <t>Employees Stock Options Grants</t>
  </si>
  <si>
    <t>Loan Loss and Other Provisions</t>
  </si>
  <si>
    <t>Provisions</t>
  </si>
  <si>
    <t>Amortisation of premium/(discount) on investments</t>
  </si>
  <si>
    <t>Loss on sale of fixed assets</t>
  </si>
  <si>
    <t>Loss On Sale Of Fixed Assets</t>
  </si>
  <si>
    <t>Share in current period profit of Associate</t>
  </si>
  <si>
    <t>Share Of Profit &amp; Loss from Partnership Firm or Association of Persons Etc</t>
  </si>
  <si>
    <t>Operating Profit before Working Capital changes</t>
  </si>
  <si>
    <t>Operating Profit Before Working Capital Changes</t>
  </si>
  <si>
    <t>(Increase)/Decrease in Advances</t>
  </si>
  <si>
    <t>Loans And Advances</t>
  </si>
  <si>
    <t>(Increase)/Decrease in Investments</t>
  </si>
  <si>
    <t>Purchase Of Investments</t>
  </si>
  <si>
    <t>(Increase) / Decrease in Other Assets</t>
  </si>
  <si>
    <t>Other Current and Non Current Assets</t>
  </si>
  <si>
    <t>Increase / (Decrease) in Deposits</t>
  </si>
  <si>
    <t>Fixed Deposits</t>
  </si>
  <si>
    <t>Increase / (Decrease) in Other Liabilities</t>
  </si>
  <si>
    <t>Other Current and Non Current Liabilities</t>
  </si>
  <si>
    <t>Cash generated from / (used in) Operations</t>
  </si>
  <si>
    <t>Cash Generated From Operations</t>
  </si>
  <si>
    <t>Direct Taxes paid (net of refunds)</t>
  </si>
  <si>
    <t>Income Tax Paid</t>
  </si>
  <si>
    <t>Net Cash generated from / (used in) Operating Activities</t>
  </si>
  <si>
    <t>Net Cash Flow From Operating Activities</t>
  </si>
  <si>
    <t>Cash flows from investing activities</t>
  </si>
  <si>
    <t>Purchase of Fixed Assets (including WIP)</t>
  </si>
  <si>
    <t>Purchase Of Fixed Assets (Tangible / Intangible)</t>
  </si>
  <si>
    <t>Proceeds from sale of Fixed Assets</t>
  </si>
  <si>
    <t>Sale Of Fixed Assets (Tangible / Intangible)</t>
  </si>
  <si>
    <t>Net Cash generated from / (used in) Investing Activities</t>
  </si>
  <si>
    <t>Net Cash Flow From Investing Activities</t>
  </si>
  <si>
    <t>Cash flows from financing activities</t>
  </si>
  <si>
    <t>Proceeds from issue of equity shares (net of issue expenses)</t>
  </si>
  <si>
    <t>Proceeds From Issue Of Equity Shares (Inclu Share Premium)</t>
  </si>
  <si>
    <t>Dividends paid</t>
  </si>
  <si>
    <t>Dividend Paid</t>
  </si>
  <si>
    <t>Increase / (Decrease) in Borrowings</t>
  </si>
  <si>
    <t>Increase/Decrease In Borrowings</t>
  </si>
  <si>
    <t>Net Cash generated from / (used in) Financing Activities</t>
  </si>
  <si>
    <t>Net Cash Flow From Financing Activities</t>
  </si>
  <si>
    <t>Effect of foreign currency translation reserve</t>
  </si>
  <si>
    <t>Foreign Exchange Gain / Loss</t>
  </si>
  <si>
    <t>Net increase / (decrease) in cash and cash equivalents</t>
  </si>
  <si>
    <t>Net Increase in Cash and Cash Equivalents</t>
  </si>
  <si>
    <t>Cash and cash equivalents at beginning of period / year</t>
  </si>
  <si>
    <t>Cash and Cash Equivalents at the Beginning of the Year</t>
  </si>
  <si>
    <t>Cash and cash equivalents at end of period / year</t>
  </si>
  <si>
    <t>Cash and Cash Equivalents at the End of the Year</t>
  </si>
  <si>
    <t>COMMA Cantonment</t>
  </si>
  <si>
    <t>Others-Before Working Capital Changes</t>
  </si>
  <si>
    <t>COMMA Pune 411 001CIN : L65191PN1994PLC076333</t>
  </si>
  <si>
    <t>Segment Reporting for the quarter and year ended March 31COMMA 2026</t>
  </si>
  <si>
    <t>Business Segments : Rs . in lakhs</t>
  </si>
  <si>
    <t>Consolidated</t>
  </si>
  <si>
    <t>Segment Revenue :</t>
  </si>
  <si>
    <t>Treasury Operations</t>
  </si>
  <si>
    <t>Corporate / Wholesale Banking</t>
  </si>
  <si>
    <t>Retail Banking</t>
  </si>
  <si>
    <t>Digital Banking</t>
  </si>
  <si>
    <t>Others-Investing Activities</t>
  </si>
  <si>
    <t>Other Retail Banking</t>
  </si>
  <si>
    <t>Other Banking Business</t>
  </si>
  <si>
    <t>Total [ Itemsto ]</t>
  </si>
  <si>
    <t>Less : Inter - segment Revenue</t>
  </si>
  <si>
    <t>Segment Results :</t>
  </si>
  <si>
    <t>Add : Unallocated Revenue</t>
  </si>
  <si>
    <t>Less : Unallocated Expenses</t>
  </si>
  <si>
    <t>Other Adjustments</t>
  </si>
  <si>
    <t>Operating Profit</t>
  </si>
  <si>
    <t>Less : Provisions &amp; Contingencies</t>
  </si>
  <si>
    <t>Net Profit before tax</t>
  </si>
  <si>
    <t>Less : Taxes including Deferred Taxes</t>
  </si>
  <si>
    <t>Extraordinary Profit / Loss</t>
  </si>
  <si>
    <t>Net Profit before share of associate</t>
  </si>
  <si>
    <t>Add : Share in profit / loss of Associate</t>
  </si>
  <si>
    <t>Trade And Other Receivables</t>
  </si>
  <si>
    <t>Net Profit</t>
  </si>
  <si>
    <t>Other Information :</t>
  </si>
  <si>
    <t>Segment Assets</t>
  </si>
  <si>
    <t>Unallocated Assets</t>
  </si>
  <si>
    <t>Total Assets</t>
  </si>
  <si>
    <t>Segment Liabilities</t>
  </si>
  <si>
    <t>Unallocated Liabilities</t>
  </si>
  <si>
    <t>Other Provisions Written Off</t>
  </si>
  <si>
    <t>Capital &amp; Other Reserves</t>
  </si>
  <si>
    <t>Total Liabilities</t>
  </si>
  <si>
    <t>Operating Expenses+</t>
  </si>
  <si>
    <t>Provisions (other than tax) and Contingencies</t>
  </si>
  <si>
    <t>Extraordinary items (net of tax expense)</t>
  </si>
  <si>
    <t>Basic EPS for the period / year before Extraordinary items (not annualized)</t>
  </si>
  <si>
    <t>CAPITAL AND LIABILITIES</t>
  </si>
  <si>
    <t>Capital Work-In-Progress</t>
  </si>
  <si>
    <t xml:space="preserve">Employee Stock Options Outstanding </t>
  </si>
  <si>
    <t>Standalone</t>
  </si>
  <si>
    <t>Retail Banking :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</si>
  <si>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</si>
  <si>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</si>
  <si>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</si>
  <si>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</si>
  <si>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</si>
  <si>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</si>
  <si>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</si>
  <si>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</si>
  <si>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</si>
  <si>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Interest/Discount on Advances/Bills</t>
  </si>
  <si>
    <t>Total Income from Operations (net)</t>
  </si>
  <si>
    <t>Other Expenses</t>
  </si>
  <si>
    <t>Operating Profit/ (Loss) before Provisions and Contingencies</t>
  </si>
  <si>
    <t>Provisions (Other than tax) and Contingencies</t>
  </si>
  <si>
    <t>Percentage of Shares Held by GOI</t>
  </si>
  <si>
    <t>Ignore This Field</t>
  </si>
  <si>
    <t>Calculated Field</t>
  </si>
  <si>
    <t>Interest on Balances with RBI and other Inter-Bank Funds</t>
  </si>
  <si>
    <t>BASEL - III Capital Adequacy (CRAR) (%)</t>
  </si>
  <si>
    <t>Common Equity Tier 1 capital (CET1)(%)</t>
  </si>
  <si>
    <t>Amount of Gross NPA</t>
  </si>
  <si>
    <t>Amount of Net NPA</t>
  </si>
  <si>
    <t>% of Gross NPA</t>
  </si>
  <si>
    <t>% of Net NPA</t>
  </si>
  <si>
    <t>Return on Assets</t>
  </si>
  <si>
    <t>Net Profit/(Loss) After Taxes But Before Share of Profit/(Loss) of Associates and Minority Interest</t>
  </si>
  <si>
    <t>Debt Equity Ratio (%)</t>
  </si>
  <si>
    <t>Employees Stock Options Outstanding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</si>
  <si>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</si>
  <si>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</si>
  <si>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</si>
  <si>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</si>
  <si>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CAPITAL &amp; LIABILITIES</t>
  </si>
  <si>
    <t>Depreciation</t>
  </si>
  <si>
    <t>Increase/Decrease In Advances</t>
  </si>
  <si>
    <t>Increase/Decrease In Investments</t>
  </si>
  <si>
    <t>Amortisation</t>
  </si>
  <si>
    <t>Increase/Decrease In Other Assets</t>
  </si>
  <si>
    <t>Increase/Decrease In Deposits</t>
  </si>
  <si>
    <t>Increase/Decrease In Other Liablities &amp; Provisions</t>
  </si>
  <si>
    <t>Purchase Of Fixed Assets</t>
  </si>
  <si>
    <t>Sale Of Fixed Assets</t>
  </si>
  <si>
    <t>Effect of Exchange Fluctuation Translation Reserve</t>
  </si>
  <si>
    <t>Segment Revenue</t>
  </si>
  <si>
    <t>Unallocated Income (Expenses)</t>
  </si>
  <si>
    <t>Total Segment Revenue</t>
  </si>
  <si>
    <t>Less: Inter Segment Revenue</t>
  </si>
  <si>
    <t>Segment Results</t>
  </si>
  <si>
    <t>Current Tax</t>
  </si>
  <si>
    <t>Net Profit/(Loss) for the period</t>
  </si>
  <si>
    <t>Profit/(Loss) from ordinary activities before tax</t>
  </si>
  <si>
    <t>Unallocable Corporate Assets</t>
  </si>
  <si>
    <t>Total Segment Assets</t>
  </si>
  <si>
    <t>Unallocable Corporate Liabilities</t>
  </si>
  <si>
    <t>Total Segment Liabilities</t>
  </si>
  <si>
    <t>Exceptional Item</t>
  </si>
  <si>
    <t>Extraordinary items</t>
  </si>
  <si>
    <t>Net Profit/(Loss) After Taxes but before Share of Profit/(Loss) of associates and minority interest</t>
  </si>
  <si>
    <t>Share of Profit/(Loss) of Associates</t>
  </si>
  <si>
    <t>(Interest/ discount on advances/ bills + Income on Investments +Interest on balances with Reserve Bank of India and other inter bank funds +Others)</t>
  </si>
  <si>
    <t xml:space="preserve">Employees Cost +Other Operating Expenses </t>
  </si>
  <si>
    <t>Employees Cost + Other Operating Expenses</t>
  </si>
  <si>
    <t>Sine value is given negtive, should be mapped to "Profit On Sale Of Fixed Assets"</t>
  </si>
  <si>
    <t>Repayment Of Long Term Borrowings</t>
  </si>
  <si>
    <t>Sine value is given Positive, should be mapped to "Proceeds From Long Term Borrowings"</t>
  </si>
  <si>
    <t>It is product Name.</t>
  </si>
  <si>
    <t>Digital Banking + Other Retail Bankrng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</si>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</sst>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0" borderId="1" xfId="0" applyBorder="1"/>
    <xf numFmtId="0" fontId="4" fillId="3" borderId="1" xfId="0" applyFont="1" applyFill="1" applyBorder="1" applyAlignment="1">
      <alignment horizontal="center" vertical="top"/>
    </xf>
    <xf numFmtId="0" fontId="0" fillId="3" borderId="1" xfId="0" applyFill="1" applyBorder="1"/>
    <xf numFmtId="2" fontId="0" fillId="0" borderId="1" xfId="0" applyNumberFormat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abSelected="1" workbookViewId="0"/>
  </sheetViews>
  <sheetFormatPr defaultRowHeight="15" x14ac:dyDescent="0.25"/>
  <cols>
    <col min="1" max="1" width="44.28515625" customWidth="1"/>
    <col min="2" max="2" width="43.140625" customWidth="1"/>
    <col min="3" max="3" width="9" customWidth="1"/>
    <col min="4" max="4" width="46.7109375" bestFit="1" customWidth="1"/>
    <col min="5" max="5" width="6.85546875" customWidth="1"/>
    <col min="6" max="6" width="28.140625" customWidth="1"/>
  </cols>
  <sheetData>
    <row r="1" spans="1:9" x14ac:dyDescent="0.25">
      <c r="A1" s="1" t="s">
        <v>0</v>
      </c>
      <c r="B1" s="1" t="s">
        <v>1</v>
      </c>
      <c r="C1" s="2" t="s">
        <v>196</v>
      </c>
      <c r="D1" s="2" t="s">
        <v>197</v>
      </c>
      <c r="E1" s="3" t="s">
        <v>198</v>
      </c>
      <c r="F1" s="2" t="s">
        <v>199</v>
      </c>
      <c r="H1" s="4" t="s">
        <v>200</v>
      </c>
      <c r="I1">
        <f>COUNTIF(C:C,$H1)</f>
        <v>14</v>
      </c>
    </row>
    <row r="2" spans="1:9" x14ac:dyDescent="0.25">
      <c r="A2" s="12" t="s">
        <v>202</v>
      </c>
      <c r="B2" s="13"/>
      <c r="C2" s="14" t="s">
        <v>201</v>
      </c>
      <c r="D2" s="14" t="s">
        <v>212</v>
      </c>
      <c r="E2" s="15"/>
      <c r="F2" t="s">
        <v>255</v>
      </c>
      <c r="G2" s="9" t="s">
        <v>204</v>
      </c>
      <c r="H2" s="5" t="s">
        <v>201</v>
      </c>
      <c r="I2">
        <f>COUNTIF(C:C,$H2)</f>
        <v>28</v>
      </c>
    </row>
    <row r="3" spans="1:9" x14ac:dyDescent="0.25">
      <c r="A3" s="7" t="s">
        <v>2</v>
      </c>
      <c r="B3" s="7" t="s">
        <v>3</v>
      </c>
      <c r="C3" s="7" t="s">
        <v>201</v>
      </c>
      <c r="D3" s="7" t="s">
        <v>205</v>
      </c>
      <c r="E3" s="7">
        <v>259</v>
      </c>
      <c r="F3" s="7"/>
      <c r="I3" s="6">
        <f>I1/SUM(I1:I2)</f>
        <v>0.33333333333333331</v>
      </c>
    </row>
    <row r="4" spans="1:9" x14ac:dyDescent="0.25">
      <c r="A4" s="7" t="s">
        <v>4</v>
      </c>
      <c r="B4" s="7" t="s">
        <v>5</v>
      </c>
      <c r="C4" s="7" t="s">
        <v>201</v>
      </c>
      <c r="D4" s="7" t="s">
        <v>4</v>
      </c>
      <c r="E4" s="7">
        <v>257</v>
      </c>
      <c r="F4" s="7"/>
    </row>
    <row r="5" spans="1:9" x14ac:dyDescent="0.25">
      <c r="A5" s="7" t="s">
        <v>6</v>
      </c>
      <c r="B5" s="7" t="s">
        <v>7</v>
      </c>
      <c r="C5" s="7" t="s">
        <v>201</v>
      </c>
      <c r="D5" s="7" t="s">
        <v>213</v>
      </c>
      <c r="E5" s="7">
        <v>261</v>
      </c>
      <c r="F5" s="7"/>
    </row>
    <row r="6" spans="1:9" x14ac:dyDescent="0.25">
      <c r="A6" s="7" t="s">
        <v>8</v>
      </c>
      <c r="B6" s="7" t="s">
        <v>9</v>
      </c>
      <c r="C6" s="7" t="s">
        <v>201</v>
      </c>
      <c r="D6" s="7" t="s">
        <v>8</v>
      </c>
      <c r="E6" s="7">
        <v>280</v>
      </c>
      <c r="F6" s="7"/>
    </row>
    <row r="7" spans="1:9" x14ac:dyDescent="0.25">
      <c r="A7" s="7" t="s">
        <v>10</v>
      </c>
      <c r="B7" s="7" t="s">
        <v>11</v>
      </c>
      <c r="C7" s="7" t="s">
        <v>200</v>
      </c>
      <c r="D7" s="7"/>
      <c r="E7" s="7"/>
      <c r="F7" s="7"/>
    </row>
    <row r="8" spans="1:9" x14ac:dyDescent="0.25">
      <c r="A8" s="7" t="s">
        <v>12</v>
      </c>
      <c r="B8" s="7" t="s">
        <v>12</v>
      </c>
      <c r="C8" s="7" t="s">
        <v>201</v>
      </c>
      <c r="D8" s="7" t="s">
        <v>206</v>
      </c>
      <c r="E8" s="7">
        <v>266</v>
      </c>
      <c r="F8" s="7"/>
    </row>
    <row r="9" spans="1:9" x14ac:dyDescent="0.25">
      <c r="A9" s="7" t="s">
        <v>13</v>
      </c>
      <c r="B9" s="7" t="s">
        <v>14</v>
      </c>
      <c r="C9" s="7" t="s">
        <v>201</v>
      </c>
      <c r="D9" s="7" t="s">
        <v>13</v>
      </c>
      <c r="E9" s="7">
        <v>246</v>
      </c>
      <c r="F9" s="7"/>
    </row>
    <row r="10" spans="1:9" x14ac:dyDescent="0.25">
      <c r="A10" s="7" t="s">
        <v>187</v>
      </c>
      <c r="B10" s="7" t="s">
        <v>17</v>
      </c>
      <c r="C10" s="7" t="s">
        <v>201</v>
      </c>
      <c r="D10" s="7" t="s">
        <v>212</v>
      </c>
      <c r="E10" s="7"/>
      <c r="F10" s="7" t="s">
        <v>256</v>
      </c>
    </row>
    <row r="11" spans="1:9" x14ac:dyDescent="0.25">
      <c r="A11" s="7" t="s">
        <v>16</v>
      </c>
      <c r="B11" s="7" t="s">
        <v>17</v>
      </c>
      <c r="C11" s="7" t="s">
        <v>201</v>
      </c>
      <c r="D11" s="7" t="s">
        <v>16</v>
      </c>
      <c r="E11" s="7">
        <v>238</v>
      </c>
      <c r="F11" s="7"/>
    </row>
    <row r="12" spans="1:9" x14ac:dyDescent="0.25">
      <c r="A12" s="7" t="s">
        <v>18</v>
      </c>
      <c r="B12" s="7" t="s">
        <v>15</v>
      </c>
      <c r="C12" s="7" t="s">
        <v>201</v>
      </c>
      <c r="D12" s="7" t="s">
        <v>207</v>
      </c>
      <c r="E12" s="7">
        <v>279</v>
      </c>
      <c r="F12" s="7"/>
    </row>
    <row r="13" spans="1:9" x14ac:dyDescent="0.25">
      <c r="A13" s="7" t="s">
        <v>19</v>
      </c>
      <c r="B13" s="7" t="s">
        <v>20</v>
      </c>
      <c r="C13" s="7" t="s">
        <v>201</v>
      </c>
      <c r="D13" s="7" t="s">
        <v>212</v>
      </c>
      <c r="E13" s="7"/>
      <c r="F13" s="7"/>
    </row>
    <row r="14" spans="1:9" x14ac:dyDescent="0.25">
      <c r="A14" s="7" t="s">
        <v>21</v>
      </c>
      <c r="B14" s="7" t="s">
        <v>20</v>
      </c>
      <c r="C14" s="7" t="s">
        <v>201</v>
      </c>
      <c r="D14" s="7" t="s">
        <v>208</v>
      </c>
      <c r="E14" s="7">
        <v>277</v>
      </c>
      <c r="F14" s="7"/>
    </row>
    <row r="15" spans="1:9" x14ac:dyDescent="0.25">
      <c r="A15" s="7" t="s">
        <v>188</v>
      </c>
      <c r="B15" s="7" t="s">
        <v>23</v>
      </c>
      <c r="C15" s="7" t="s">
        <v>201</v>
      </c>
      <c r="D15" s="7" t="s">
        <v>209</v>
      </c>
      <c r="E15" s="7">
        <v>303</v>
      </c>
      <c r="F15" s="7"/>
    </row>
    <row r="16" spans="1:9" x14ac:dyDescent="0.25">
      <c r="A16" s="7" t="s">
        <v>24</v>
      </c>
      <c r="B16" s="7" t="s">
        <v>25</v>
      </c>
      <c r="C16" s="7" t="s">
        <v>200</v>
      </c>
      <c r="D16" s="7"/>
      <c r="E16" s="7"/>
      <c r="F16" s="7"/>
    </row>
    <row r="17" spans="1:6" x14ac:dyDescent="0.25">
      <c r="A17" s="7" t="s">
        <v>26</v>
      </c>
      <c r="B17" s="7" t="s">
        <v>27</v>
      </c>
      <c r="C17" s="7" t="s">
        <v>200</v>
      </c>
      <c r="D17" s="7"/>
      <c r="E17" s="7"/>
      <c r="F17" s="7"/>
    </row>
    <row r="18" spans="1:6" x14ac:dyDescent="0.25">
      <c r="A18" s="7" t="s">
        <v>28</v>
      </c>
      <c r="B18" s="7" t="s">
        <v>7</v>
      </c>
      <c r="C18" s="7" t="s">
        <v>201</v>
      </c>
      <c r="D18" s="7" t="s">
        <v>28</v>
      </c>
      <c r="E18" s="7">
        <v>318</v>
      </c>
      <c r="F18" s="7"/>
    </row>
    <row r="19" spans="1:6" x14ac:dyDescent="0.25">
      <c r="A19" s="7" t="s">
        <v>29</v>
      </c>
      <c r="B19" s="7" t="s">
        <v>30</v>
      </c>
      <c r="C19" s="7" t="s">
        <v>200</v>
      </c>
      <c r="D19" s="7" t="s">
        <v>30</v>
      </c>
      <c r="E19" s="7">
        <v>270</v>
      </c>
      <c r="F19" s="7"/>
    </row>
    <row r="20" spans="1:6" x14ac:dyDescent="0.25">
      <c r="A20" s="7" t="s">
        <v>189</v>
      </c>
      <c r="B20" s="7" t="s">
        <v>14</v>
      </c>
      <c r="C20" s="7" t="s">
        <v>200</v>
      </c>
      <c r="D20" s="7"/>
      <c r="E20" s="7"/>
      <c r="F20" s="7"/>
    </row>
    <row r="21" spans="1:6" x14ac:dyDescent="0.25">
      <c r="A21" s="7" t="s">
        <v>36</v>
      </c>
      <c r="B21" s="7" t="s">
        <v>37</v>
      </c>
      <c r="C21" s="7" t="s">
        <v>200</v>
      </c>
      <c r="D21" s="7"/>
      <c r="E21" s="7"/>
      <c r="F21" s="7"/>
    </row>
    <row r="22" spans="1:6" x14ac:dyDescent="0.25">
      <c r="A22" s="7" t="s">
        <v>38</v>
      </c>
      <c r="B22" s="7" t="s">
        <v>39</v>
      </c>
      <c r="C22" s="7" t="s">
        <v>200</v>
      </c>
      <c r="D22" s="7"/>
      <c r="E22" s="7"/>
      <c r="F22" s="7"/>
    </row>
    <row r="23" spans="1:6" x14ac:dyDescent="0.25">
      <c r="A23" s="7" t="s">
        <v>40</v>
      </c>
      <c r="B23" s="7" t="s">
        <v>41</v>
      </c>
      <c r="C23" s="7" t="s">
        <v>200</v>
      </c>
      <c r="D23" s="7"/>
      <c r="E23" s="7"/>
      <c r="F23" s="7"/>
    </row>
    <row r="24" spans="1:6" x14ac:dyDescent="0.25">
      <c r="A24" s="7" t="s">
        <v>42</v>
      </c>
      <c r="B24" s="7" t="s">
        <v>7</v>
      </c>
      <c r="C24" s="7" t="s">
        <v>200</v>
      </c>
      <c r="D24" s="7"/>
      <c r="E24" s="7"/>
      <c r="F24" s="7"/>
    </row>
    <row r="25" spans="1:6" x14ac:dyDescent="0.25">
      <c r="A25" s="7" t="s">
        <v>43</v>
      </c>
      <c r="B25" s="7" t="s">
        <v>7</v>
      </c>
      <c r="C25" s="7" t="s">
        <v>201</v>
      </c>
      <c r="D25" s="7" t="s">
        <v>210</v>
      </c>
      <c r="E25" s="7">
        <v>290</v>
      </c>
      <c r="F25" s="7"/>
    </row>
    <row r="26" spans="1:6" x14ac:dyDescent="0.25">
      <c r="A26" s="7" t="s">
        <v>44</v>
      </c>
      <c r="B26" s="7" t="s">
        <v>7</v>
      </c>
      <c r="C26" s="7" t="s">
        <v>201</v>
      </c>
      <c r="D26" s="10" t="s">
        <v>214</v>
      </c>
      <c r="E26" s="11">
        <v>220</v>
      </c>
      <c r="F26" s="7"/>
    </row>
    <row r="27" spans="1:6" x14ac:dyDescent="0.25">
      <c r="A27" s="7" t="s">
        <v>45</v>
      </c>
      <c r="B27" s="7" t="s">
        <v>46</v>
      </c>
      <c r="C27" s="7" t="s">
        <v>201</v>
      </c>
      <c r="D27" s="7" t="s">
        <v>215</v>
      </c>
      <c r="E27" s="7">
        <v>24692</v>
      </c>
      <c r="F27" s="7"/>
    </row>
    <row r="28" spans="1:6" x14ac:dyDescent="0.25">
      <c r="A28" s="7" t="s">
        <v>47</v>
      </c>
      <c r="B28" s="7" t="s">
        <v>7</v>
      </c>
      <c r="C28" s="7" t="s">
        <v>200</v>
      </c>
      <c r="D28" s="7"/>
      <c r="E28" s="7"/>
      <c r="F28" s="7"/>
    </row>
    <row r="29" spans="1:6" x14ac:dyDescent="0.25">
      <c r="A29" s="7" t="s">
        <v>190</v>
      </c>
      <c r="B29" s="7" t="s">
        <v>46</v>
      </c>
      <c r="C29" s="7" t="s">
        <v>200</v>
      </c>
      <c r="D29" s="10" t="s">
        <v>46</v>
      </c>
      <c r="E29" s="11">
        <v>222</v>
      </c>
      <c r="F29" s="7"/>
    </row>
    <row r="30" spans="1:6" x14ac:dyDescent="0.25">
      <c r="A30" s="7" t="s">
        <v>49</v>
      </c>
      <c r="B30" s="7" t="s">
        <v>50</v>
      </c>
      <c r="C30" s="7" t="s">
        <v>200</v>
      </c>
      <c r="D30" s="10" t="s">
        <v>50</v>
      </c>
      <c r="E30" s="11">
        <v>234</v>
      </c>
      <c r="F30" s="7"/>
    </row>
    <row r="31" spans="1:6" x14ac:dyDescent="0.25">
      <c r="A31" s="7" t="s">
        <v>51</v>
      </c>
      <c r="B31" s="7" t="s">
        <v>46</v>
      </c>
      <c r="C31" s="7" t="s">
        <v>200</v>
      </c>
      <c r="D31" s="10" t="s">
        <v>46</v>
      </c>
      <c r="E31" s="11">
        <v>221</v>
      </c>
      <c r="F31" s="7"/>
    </row>
    <row r="32" spans="1:6" x14ac:dyDescent="0.25">
      <c r="A32" s="7" t="s">
        <v>52</v>
      </c>
      <c r="B32" s="7" t="s">
        <v>50</v>
      </c>
      <c r="C32" s="7" t="s">
        <v>200</v>
      </c>
      <c r="D32" s="10" t="s">
        <v>50</v>
      </c>
      <c r="E32" s="11">
        <v>233</v>
      </c>
      <c r="F32" s="7"/>
    </row>
    <row r="33" spans="1:6" x14ac:dyDescent="0.25">
      <c r="A33" s="7" t="s">
        <v>53</v>
      </c>
      <c r="B33" s="7" t="s">
        <v>54</v>
      </c>
      <c r="C33" s="7" t="s">
        <v>201</v>
      </c>
      <c r="D33" s="7" t="s">
        <v>203</v>
      </c>
      <c r="E33" s="7"/>
      <c r="F33" s="7"/>
    </row>
    <row r="34" spans="1:6" x14ac:dyDescent="0.25">
      <c r="A34" s="7" t="s">
        <v>55</v>
      </c>
      <c r="B34" s="7" t="s">
        <v>7</v>
      </c>
      <c r="C34" s="7" t="s">
        <v>201</v>
      </c>
      <c r="D34" s="7" t="s">
        <v>216</v>
      </c>
      <c r="E34" s="7">
        <v>255</v>
      </c>
      <c r="F34" s="7"/>
    </row>
    <row r="35" spans="1:6" x14ac:dyDescent="0.25">
      <c r="A35" s="7" t="s">
        <v>56</v>
      </c>
      <c r="B35" s="7" t="s">
        <v>57</v>
      </c>
      <c r="C35" s="7" t="s">
        <v>201</v>
      </c>
      <c r="D35" s="7" t="s">
        <v>217</v>
      </c>
      <c r="E35" s="7">
        <v>267</v>
      </c>
      <c r="F35" s="7"/>
    </row>
    <row r="36" spans="1:6" x14ac:dyDescent="0.25">
      <c r="A36" s="7" t="s">
        <v>58</v>
      </c>
      <c r="B36" s="7" t="s">
        <v>59</v>
      </c>
      <c r="C36" s="7" t="s">
        <v>201</v>
      </c>
      <c r="D36" s="7" t="s">
        <v>218</v>
      </c>
      <c r="E36" s="7">
        <v>283</v>
      </c>
      <c r="F36" s="7"/>
    </row>
    <row r="37" spans="1:6" x14ac:dyDescent="0.25">
      <c r="A37" s="7" t="s">
        <v>60</v>
      </c>
      <c r="B37" s="7" t="s">
        <v>46</v>
      </c>
      <c r="C37" s="7" t="s">
        <v>201</v>
      </c>
      <c r="D37" s="7" t="s">
        <v>219</v>
      </c>
      <c r="E37" s="7">
        <v>284</v>
      </c>
      <c r="F37" s="7"/>
    </row>
    <row r="38" spans="1:6" x14ac:dyDescent="0.25">
      <c r="A38" s="7" t="s">
        <v>61</v>
      </c>
      <c r="B38" s="7" t="s">
        <v>37</v>
      </c>
      <c r="C38" s="7" t="s">
        <v>201</v>
      </c>
      <c r="D38" s="7" t="s">
        <v>220</v>
      </c>
      <c r="E38" s="7">
        <v>312</v>
      </c>
      <c r="F38" s="7"/>
    </row>
    <row r="39" spans="1:6" x14ac:dyDescent="0.25">
      <c r="A39" s="7" t="s">
        <v>62</v>
      </c>
      <c r="B39" s="7" t="s">
        <v>5</v>
      </c>
      <c r="C39" s="7" t="s">
        <v>201</v>
      </c>
      <c r="D39" s="7"/>
      <c r="E39" s="7"/>
      <c r="F39" s="7" t="s">
        <v>211</v>
      </c>
    </row>
    <row r="40" spans="1:6" x14ac:dyDescent="0.25">
      <c r="A40" s="7" t="s">
        <v>63</v>
      </c>
      <c r="B40" s="7" t="s">
        <v>7</v>
      </c>
      <c r="C40" s="7" t="s">
        <v>201</v>
      </c>
      <c r="D40" s="7"/>
      <c r="E40" s="7"/>
      <c r="F40" s="7" t="s">
        <v>211</v>
      </c>
    </row>
    <row r="41" spans="1:6" x14ac:dyDescent="0.25">
      <c r="A41" s="7" t="s">
        <v>64</v>
      </c>
      <c r="B41" s="7" t="s">
        <v>39</v>
      </c>
      <c r="C41" s="7" t="s">
        <v>201</v>
      </c>
      <c r="D41" s="7"/>
      <c r="E41" s="7"/>
      <c r="F41" s="7" t="s">
        <v>211</v>
      </c>
    </row>
    <row r="42" spans="1:6" x14ac:dyDescent="0.25">
      <c r="A42" s="7" t="s">
        <v>65</v>
      </c>
      <c r="B42" s="7" t="s">
        <v>7</v>
      </c>
      <c r="C42" s="7" t="s">
        <v>201</v>
      </c>
      <c r="D42" s="7" t="s">
        <v>222</v>
      </c>
      <c r="E42" s="7">
        <v>24697</v>
      </c>
      <c r="F42" s="7"/>
    </row>
    <row r="43" spans="1:6" x14ac:dyDescent="0.25">
      <c r="A43" s="7" t="s">
        <v>66</v>
      </c>
      <c r="B43" s="7" t="s">
        <v>67</v>
      </c>
      <c r="C43" s="7" t="s">
        <v>201</v>
      </c>
      <c r="D43" s="7"/>
      <c r="E43" s="7"/>
      <c r="F43" s="7" t="s">
        <v>211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workbookViewId="0"/>
  </sheetViews>
  <sheetFormatPr defaultRowHeight="15" x14ac:dyDescent="0.25"/>
  <cols>
    <col min="1" max="1" width="51.42578125" customWidth="1"/>
    <col min="2" max="2" width="45" customWidth="1"/>
    <col min="3" max="3" width="8.85546875" customWidth="1"/>
    <col min="4" max="4" width="34.7109375" customWidth="1"/>
    <col min="5" max="5" width="6.85546875" bestFit="1" customWidth="1"/>
    <col min="6" max="6" width="27" customWidth="1"/>
  </cols>
  <sheetData>
    <row r="1" spans="1:9" x14ac:dyDescent="0.25">
      <c r="A1" s="1" t="s">
        <v>0</v>
      </c>
      <c r="B1" s="1" t="s">
        <v>1</v>
      </c>
      <c r="C1" s="2" t="s">
        <v>196</v>
      </c>
      <c r="D1" s="2" t="s">
        <v>197</v>
      </c>
      <c r="E1" s="3" t="s">
        <v>198</v>
      </c>
      <c r="F1" s="2" t="s">
        <v>199</v>
      </c>
      <c r="H1" s="4" t="s">
        <v>200</v>
      </c>
      <c r="I1">
        <f>COUNTIF(C:C,$H1)</f>
        <v>15</v>
      </c>
    </row>
    <row r="2" spans="1:9" x14ac:dyDescent="0.25">
      <c r="A2" s="12" t="s">
        <v>202</v>
      </c>
      <c r="B2" s="13"/>
      <c r="C2" s="14" t="s">
        <v>201</v>
      </c>
      <c r="D2" s="14" t="s">
        <v>212</v>
      </c>
      <c r="E2" s="15"/>
      <c r="F2" t="s">
        <v>255</v>
      </c>
      <c r="G2" s="9" t="s">
        <v>204</v>
      </c>
      <c r="H2" s="5" t="s">
        <v>201</v>
      </c>
      <c r="I2">
        <f>COUNTIF(C:C,$H2)</f>
        <v>29</v>
      </c>
    </row>
    <row r="3" spans="1:9" x14ac:dyDescent="0.25">
      <c r="A3" s="7" t="s">
        <v>2</v>
      </c>
      <c r="B3" s="7" t="s">
        <v>3</v>
      </c>
      <c r="C3" s="7" t="s">
        <v>201</v>
      </c>
      <c r="D3" s="7" t="s">
        <v>205</v>
      </c>
      <c r="E3" s="7">
        <v>259</v>
      </c>
      <c r="F3" s="7"/>
      <c r="I3" s="6">
        <f>I1/SUM(I1:I2)</f>
        <v>0.34090909090909088</v>
      </c>
    </row>
    <row r="4" spans="1:9" x14ac:dyDescent="0.25">
      <c r="A4" s="7" t="s">
        <v>4</v>
      </c>
      <c r="B4" s="7" t="s">
        <v>5</v>
      </c>
      <c r="C4" s="7" t="s">
        <v>201</v>
      </c>
      <c r="D4" s="7" t="s">
        <v>4</v>
      </c>
      <c r="E4" s="7">
        <v>257</v>
      </c>
      <c r="F4" s="7"/>
    </row>
    <row r="5" spans="1:9" x14ac:dyDescent="0.25">
      <c r="A5" s="7" t="s">
        <v>6</v>
      </c>
      <c r="B5" s="7" t="s">
        <v>7</v>
      </c>
      <c r="C5" s="7" t="s">
        <v>201</v>
      </c>
      <c r="D5" s="7" t="s">
        <v>213</v>
      </c>
      <c r="E5" s="7">
        <v>261</v>
      </c>
      <c r="F5" s="7"/>
    </row>
    <row r="6" spans="1:9" x14ac:dyDescent="0.25">
      <c r="A6" s="7" t="s">
        <v>8</v>
      </c>
      <c r="B6" s="7" t="s">
        <v>9</v>
      </c>
      <c r="C6" s="7" t="s">
        <v>201</v>
      </c>
      <c r="D6" s="7" t="s">
        <v>8</v>
      </c>
      <c r="E6" s="7">
        <v>280</v>
      </c>
      <c r="F6" s="7"/>
    </row>
    <row r="7" spans="1:9" x14ac:dyDescent="0.25">
      <c r="A7" s="7" t="s">
        <v>10</v>
      </c>
      <c r="B7" s="7" t="s">
        <v>11</v>
      </c>
      <c r="C7" s="7" t="s">
        <v>200</v>
      </c>
      <c r="D7" s="7"/>
      <c r="E7" s="7"/>
      <c r="F7" s="7"/>
    </row>
    <row r="8" spans="1:9" x14ac:dyDescent="0.25">
      <c r="A8" s="7" t="s">
        <v>12</v>
      </c>
      <c r="B8" s="7" t="s">
        <v>12</v>
      </c>
      <c r="C8" s="7" t="s">
        <v>201</v>
      </c>
      <c r="D8" s="7" t="s">
        <v>206</v>
      </c>
      <c r="E8" s="7">
        <v>266</v>
      </c>
      <c r="F8" s="7"/>
    </row>
    <row r="9" spans="1:9" x14ac:dyDescent="0.25">
      <c r="A9" s="7" t="s">
        <v>13</v>
      </c>
      <c r="B9" s="7" t="s">
        <v>14</v>
      </c>
      <c r="C9" s="7" t="s">
        <v>201</v>
      </c>
      <c r="D9" s="7" t="s">
        <v>13</v>
      </c>
      <c r="E9" s="7">
        <v>246</v>
      </c>
      <c r="F9" s="7"/>
    </row>
    <row r="10" spans="1:9" x14ac:dyDescent="0.25">
      <c r="A10" s="7" t="s">
        <v>15</v>
      </c>
      <c r="B10" s="7" t="s">
        <v>15</v>
      </c>
      <c r="C10" s="7" t="s">
        <v>201</v>
      </c>
      <c r="D10" s="7" t="s">
        <v>212</v>
      </c>
      <c r="E10" s="7"/>
      <c r="F10" s="7" t="s">
        <v>257</v>
      </c>
    </row>
    <row r="11" spans="1:9" x14ac:dyDescent="0.25">
      <c r="A11" s="7" t="s">
        <v>16</v>
      </c>
      <c r="B11" s="7" t="s">
        <v>17</v>
      </c>
      <c r="C11" s="7" t="s">
        <v>201</v>
      </c>
      <c r="D11" s="7" t="s">
        <v>16</v>
      </c>
      <c r="E11" s="7">
        <v>238</v>
      </c>
      <c r="F11" s="7"/>
    </row>
    <row r="12" spans="1:9" x14ac:dyDescent="0.25">
      <c r="A12" s="7" t="s">
        <v>18</v>
      </c>
      <c r="B12" s="7" t="s">
        <v>15</v>
      </c>
      <c r="C12" s="7" t="s">
        <v>201</v>
      </c>
      <c r="D12" s="7" t="s">
        <v>207</v>
      </c>
      <c r="E12" s="7">
        <v>279</v>
      </c>
      <c r="F12" s="7"/>
    </row>
    <row r="13" spans="1:9" x14ac:dyDescent="0.25">
      <c r="A13" s="7" t="s">
        <v>19</v>
      </c>
      <c r="B13" s="7" t="s">
        <v>20</v>
      </c>
      <c r="C13" s="7" t="s">
        <v>201</v>
      </c>
      <c r="D13" s="7" t="s">
        <v>212</v>
      </c>
      <c r="E13" s="7"/>
      <c r="F13" s="7"/>
    </row>
    <row r="14" spans="1:9" x14ac:dyDescent="0.25">
      <c r="A14" s="7" t="s">
        <v>21</v>
      </c>
      <c r="B14" s="7" t="s">
        <v>20</v>
      </c>
      <c r="C14" s="7" t="s">
        <v>201</v>
      </c>
      <c r="D14" s="7" t="s">
        <v>208</v>
      </c>
      <c r="E14" s="7">
        <v>277</v>
      </c>
      <c r="F14" s="7"/>
    </row>
    <row r="15" spans="1:9" x14ac:dyDescent="0.25">
      <c r="A15" s="7" t="s">
        <v>22</v>
      </c>
      <c r="B15" s="7" t="s">
        <v>23</v>
      </c>
      <c r="C15" s="7" t="s">
        <v>201</v>
      </c>
      <c r="D15" s="7" t="s">
        <v>209</v>
      </c>
      <c r="E15" s="7">
        <v>303</v>
      </c>
      <c r="F15" s="7"/>
    </row>
    <row r="16" spans="1:9" x14ac:dyDescent="0.25">
      <c r="A16" s="7" t="s">
        <v>24</v>
      </c>
      <c r="B16" s="7" t="s">
        <v>25</v>
      </c>
      <c r="C16" s="7" t="s">
        <v>200</v>
      </c>
      <c r="D16" s="7"/>
      <c r="E16" s="7"/>
      <c r="F16" s="7"/>
    </row>
    <row r="17" spans="1:6" x14ac:dyDescent="0.25">
      <c r="A17" s="7" t="s">
        <v>26</v>
      </c>
      <c r="B17" s="7" t="s">
        <v>27</v>
      </c>
      <c r="C17" s="7" t="s">
        <v>200</v>
      </c>
      <c r="D17" s="7"/>
      <c r="E17" s="7"/>
      <c r="F17" s="7"/>
    </row>
    <row r="18" spans="1:6" x14ac:dyDescent="0.25">
      <c r="A18" s="7" t="s">
        <v>28</v>
      </c>
      <c r="B18" s="7" t="s">
        <v>7</v>
      </c>
      <c r="C18" s="7" t="s">
        <v>201</v>
      </c>
      <c r="D18" s="7" t="s">
        <v>28</v>
      </c>
      <c r="E18" s="7">
        <v>318</v>
      </c>
      <c r="F18" s="7"/>
    </row>
    <row r="19" spans="1:6" x14ac:dyDescent="0.25">
      <c r="A19" s="7" t="s">
        <v>29</v>
      </c>
      <c r="B19" s="7" t="s">
        <v>30</v>
      </c>
      <c r="C19" s="7" t="s">
        <v>200</v>
      </c>
      <c r="D19" s="7" t="s">
        <v>30</v>
      </c>
      <c r="E19" s="7">
        <v>270</v>
      </c>
      <c r="F19" s="7"/>
    </row>
    <row r="20" spans="1:6" x14ac:dyDescent="0.25">
      <c r="A20" s="7" t="s">
        <v>31</v>
      </c>
      <c r="B20" s="7" t="s">
        <v>14</v>
      </c>
      <c r="C20" s="7" t="s">
        <v>200</v>
      </c>
      <c r="D20" s="7"/>
      <c r="E20" s="7"/>
      <c r="F20" s="7"/>
    </row>
    <row r="21" spans="1:6" x14ac:dyDescent="0.25">
      <c r="A21" s="7" t="s">
        <v>32</v>
      </c>
      <c r="B21" s="7" t="s">
        <v>33</v>
      </c>
      <c r="C21" s="7" t="s">
        <v>201</v>
      </c>
      <c r="D21" s="2" t="s">
        <v>221</v>
      </c>
      <c r="E21" s="16">
        <v>268</v>
      </c>
      <c r="F21" s="7"/>
    </row>
    <row r="22" spans="1:6" x14ac:dyDescent="0.25">
      <c r="A22" s="7" t="s">
        <v>34</v>
      </c>
      <c r="B22" s="7" t="s">
        <v>35</v>
      </c>
      <c r="C22" s="7" t="s">
        <v>200</v>
      </c>
      <c r="D22" s="7" t="s">
        <v>35</v>
      </c>
      <c r="E22" s="11">
        <v>292</v>
      </c>
      <c r="F22" s="7"/>
    </row>
    <row r="23" spans="1:6" x14ac:dyDescent="0.25">
      <c r="A23" s="7" t="s">
        <v>36</v>
      </c>
      <c r="B23" s="7" t="s">
        <v>37</v>
      </c>
      <c r="C23" s="7" t="s">
        <v>200</v>
      </c>
      <c r="D23" s="7"/>
      <c r="E23" s="7"/>
      <c r="F23" s="7"/>
    </row>
    <row r="24" spans="1:6" x14ac:dyDescent="0.25">
      <c r="A24" s="7" t="s">
        <v>38</v>
      </c>
      <c r="B24" s="7" t="s">
        <v>39</v>
      </c>
      <c r="C24" s="7" t="s">
        <v>200</v>
      </c>
      <c r="D24" s="7"/>
      <c r="E24" s="7"/>
      <c r="F24" s="7"/>
    </row>
    <row r="25" spans="1:6" x14ac:dyDescent="0.25">
      <c r="A25" s="7" t="s">
        <v>40</v>
      </c>
      <c r="B25" s="7" t="s">
        <v>41</v>
      </c>
      <c r="C25" s="7" t="s">
        <v>200</v>
      </c>
      <c r="D25" s="7"/>
      <c r="E25" s="7"/>
      <c r="F25" s="7"/>
    </row>
    <row r="26" spans="1:6" x14ac:dyDescent="0.25">
      <c r="A26" s="7" t="s">
        <v>42</v>
      </c>
      <c r="B26" s="7" t="s">
        <v>7</v>
      </c>
      <c r="C26" s="7" t="s">
        <v>200</v>
      </c>
      <c r="D26" s="7"/>
      <c r="E26" s="7"/>
      <c r="F26" s="7"/>
    </row>
    <row r="27" spans="1:6" x14ac:dyDescent="0.25">
      <c r="A27" s="7" t="s">
        <v>43</v>
      </c>
      <c r="B27" s="7" t="s">
        <v>7</v>
      </c>
      <c r="C27" s="7" t="s">
        <v>201</v>
      </c>
      <c r="D27" s="7" t="s">
        <v>210</v>
      </c>
      <c r="E27" s="7">
        <v>290</v>
      </c>
      <c r="F27" s="7"/>
    </row>
    <row r="28" spans="1:6" x14ac:dyDescent="0.25">
      <c r="A28" s="7" t="s">
        <v>44</v>
      </c>
      <c r="B28" s="7" t="s">
        <v>7</v>
      </c>
      <c r="C28" s="7" t="s">
        <v>201</v>
      </c>
      <c r="D28" s="7" t="s">
        <v>214</v>
      </c>
      <c r="E28" s="7">
        <v>220</v>
      </c>
      <c r="F28" s="7"/>
    </row>
    <row r="29" spans="1:6" x14ac:dyDescent="0.25">
      <c r="A29" s="7" t="s">
        <v>45</v>
      </c>
      <c r="B29" s="7" t="s">
        <v>46</v>
      </c>
      <c r="C29" s="7" t="s">
        <v>201</v>
      </c>
      <c r="D29" s="7" t="s">
        <v>215</v>
      </c>
      <c r="E29" s="7">
        <v>24692</v>
      </c>
      <c r="F29" s="7"/>
    </row>
    <row r="30" spans="1:6" x14ac:dyDescent="0.25">
      <c r="A30" s="7" t="s">
        <v>47</v>
      </c>
      <c r="B30" s="7" t="s">
        <v>7</v>
      </c>
      <c r="C30" s="7" t="s">
        <v>200</v>
      </c>
      <c r="D30" s="7"/>
      <c r="E30" s="7"/>
      <c r="F30" s="7"/>
    </row>
    <row r="31" spans="1:6" x14ac:dyDescent="0.25">
      <c r="A31" s="7" t="s">
        <v>48</v>
      </c>
      <c r="B31" s="7" t="s">
        <v>46</v>
      </c>
      <c r="C31" s="7" t="s">
        <v>200</v>
      </c>
      <c r="D31" s="7" t="s">
        <v>46</v>
      </c>
      <c r="E31" s="11">
        <v>222</v>
      </c>
      <c r="F31" s="7"/>
    </row>
    <row r="32" spans="1:6" x14ac:dyDescent="0.25">
      <c r="A32" s="7" t="s">
        <v>49</v>
      </c>
      <c r="B32" s="7" t="s">
        <v>50</v>
      </c>
      <c r="C32" s="7" t="s">
        <v>200</v>
      </c>
      <c r="D32" s="7" t="s">
        <v>50</v>
      </c>
      <c r="E32" s="11">
        <v>234</v>
      </c>
      <c r="F32" s="7"/>
    </row>
    <row r="33" spans="1:6" x14ac:dyDescent="0.25">
      <c r="A33" s="7" t="s">
        <v>51</v>
      </c>
      <c r="B33" s="7" t="s">
        <v>46</v>
      </c>
      <c r="C33" s="7" t="s">
        <v>200</v>
      </c>
      <c r="D33" s="7" t="s">
        <v>46</v>
      </c>
      <c r="E33" s="11">
        <v>221</v>
      </c>
      <c r="F33" s="7"/>
    </row>
    <row r="34" spans="1:6" x14ac:dyDescent="0.25">
      <c r="A34" s="7" t="s">
        <v>52</v>
      </c>
      <c r="B34" s="7" t="s">
        <v>50</v>
      </c>
      <c r="C34" s="7" t="s">
        <v>200</v>
      </c>
      <c r="D34" s="7" t="s">
        <v>50</v>
      </c>
      <c r="E34" s="11">
        <v>233</v>
      </c>
      <c r="F34" s="7"/>
    </row>
    <row r="35" spans="1:6" x14ac:dyDescent="0.25">
      <c r="A35" s="7" t="s">
        <v>53</v>
      </c>
      <c r="B35" s="7" t="s">
        <v>54</v>
      </c>
      <c r="C35" s="7" t="s">
        <v>201</v>
      </c>
      <c r="D35" s="7" t="s">
        <v>203</v>
      </c>
      <c r="E35" s="7"/>
      <c r="F35" s="7"/>
    </row>
    <row r="36" spans="1:6" x14ac:dyDescent="0.25">
      <c r="A36" s="7" t="s">
        <v>55</v>
      </c>
      <c r="B36" s="7" t="s">
        <v>7</v>
      </c>
      <c r="C36" s="7" t="s">
        <v>201</v>
      </c>
      <c r="D36" s="7" t="s">
        <v>216</v>
      </c>
      <c r="E36" s="7">
        <v>255</v>
      </c>
      <c r="F36" s="7"/>
    </row>
    <row r="37" spans="1:6" x14ac:dyDescent="0.25">
      <c r="A37" s="7" t="s">
        <v>56</v>
      </c>
      <c r="B37" s="7" t="s">
        <v>57</v>
      </c>
      <c r="C37" s="7" t="s">
        <v>201</v>
      </c>
      <c r="D37" s="7" t="s">
        <v>217</v>
      </c>
      <c r="E37" s="7">
        <v>267</v>
      </c>
      <c r="F37" s="7"/>
    </row>
    <row r="38" spans="1:6" x14ac:dyDescent="0.25">
      <c r="A38" s="7" t="s">
        <v>58</v>
      </c>
      <c r="B38" s="7" t="s">
        <v>59</v>
      </c>
      <c r="C38" s="7" t="s">
        <v>201</v>
      </c>
      <c r="D38" s="7" t="s">
        <v>218</v>
      </c>
      <c r="E38" s="7">
        <v>283</v>
      </c>
      <c r="F38" s="7"/>
    </row>
    <row r="39" spans="1:6" x14ac:dyDescent="0.25">
      <c r="A39" s="7" t="s">
        <v>60</v>
      </c>
      <c r="B39" s="7" t="s">
        <v>46</v>
      </c>
      <c r="C39" s="7" t="s">
        <v>201</v>
      </c>
      <c r="D39" s="7" t="s">
        <v>219</v>
      </c>
      <c r="E39" s="7">
        <v>284</v>
      </c>
      <c r="F39" s="7"/>
    </row>
    <row r="40" spans="1:6" x14ac:dyDescent="0.25">
      <c r="A40" s="7" t="s">
        <v>61</v>
      </c>
      <c r="B40" s="7" t="s">
        <v>37</v>
      </c>
      <c r="C40" s="7" t="s">
        <v>201</v>
      </c>
      <c r="D40" s="7" t="s">
        <v>220</v>
      </c>
      <c r="E40" s="7">
        <v>312</v>
      </c>
      <c r="F40" s="7"/>
    </row>
    <row r="41" spans="1:6" x14ac:dyDescent="0.25">
      <c r="A41" s="7" t="s">
        <v>62</v>
      </c>
      <c r="B41" s="7" t="s">
        <v>5</v>
      </c>
      <c r="C41" s="7" t="s">
        <v>201</v>
      </c>
      <c r="D41" s="7"/>
      <c r="E41" s="7"/>
      <c r="F41" s="7" t="s">
        <v>211</v>
      </c>
    </row>
    <row r="42" spans="1:6" x14ac:dyDescent="0.25">
      <c r="A42" s="7" t="s">
        <v>63</v>
      </c>
      <c r="B42" s="7" t="s">
        <v>7</v>
      </c>
      <c r="C42" s="7" t="s">
        <v>201</v>
      </c>
      <c r="D42" s="7"/>
      <c r="E42" s="7"/>
      <c r="F42" s="7" t="s">
        <v>211</v>
      </c>
    </row>
    <row r="43" spans="1:6" x14ac:dyDescent="0.25">
      <c r="A43" s="7" t="s">
        <v>64</v>
      </c>
      <c r="B43" s="7" t="s">
        <v>39</v>
      </c>
      <c r="C43" s="7" t="s">
        <v>201</v>
      </c>
      <c r="D43" s="7"/>
      <c r="E43" s="7"/>
      <c r="F43" s="7" t="s">
        <v>211</v>
      </c>
    </row>
    <row r="44" spans="1:6" x14ac:dyDescent="0.25">
      <c r="A44" s="7" t="s">
        <v>65</v>
      </c>
      <c r="B44" s="7" t="s">
        <v>7</v>
      </c>
      <c r="C44" s="7" t="s">
        <v>201</v>
      </c>
      <c r="D44" s="7" t="s">
        <v>222</v>
      </c>
      <c r="E44" s="7">
        <v>24697</v>
      </c>
      <c r="F44" s="7"/>
    </row>
    <row r="45" spans="1:6" x14ac:dyDescent="0.25">
      <c r="A45" s="7" t="s">
        <v>66</v>
      </c>
      <c r="B45" s="7" t="s">
        <v>67</v>
      </c>
      <c r="C45" s="7" t="s">
        <v>201</v>
      </c>
      <c r="D45" s="7"/>
      <c r="E45" s="7"/>
      <c r="F45" s="7" t="s">
        <v>211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workbookViewId="0"/>
  </sheetViews>
  <sheetFormatPr defaultRowHeight="15" x14ac:dyDescent="0.25"/>
  <cols>
    <col min="1" max="1" width="38.140625" customWidth="1"/>
    <col min="2" max="2" width="30" bestFit="1" customWidth="1"/>
    <col min="3" max="3" width="9.5703125" customWidth="1"/>
    <col min="4" max="4" width="34.140625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196</v>
      </c>
      <c r="D1" s="2" t="s">
        <v>197</v>
      </c>
      <c r="E1" s="3" t="s">
        <v>198</v>
      </c>
      <c r="F1" s="2" t="s">
        <v>199</v>
      </c>
      <c r="H1" s="4" t="s">
        <v>200</v>
      </c>
      <c r="I1">
        <f>COUNTIF(C:C,$H1)</f>
        <v>4</v>
      </c>
    </row>
    <row r="2" spans="1:9" x14ac:dyDescent="0.25">
      <c r="A2" s="7" t="s">
        <v>191</v>
      </c>
      <c r="B2" s="7" t="s">
        <v>192</v>
      </c>
      <c r="C2" s="7" t="s">
        <v>201</v>
      </c>
      <c r="D2" s="7" t="s">
        <v>203</v>
      </c>
      <c r="E2" s="7"/>
      <c r="F2" s="7"/>
      <c r="H2" s="5" t="s">
        <v>201</v>
      </c>
      <c r="I2">
        <f>COUNTIF(C:C,$H2)</f>
        <v>12</v>
      </c>
    </row>
    <row r="3" spans="1:9" x14ac:dyDescent="0.25">
      <c r="A3" s="7" t="s">
        <v>68</v>
      </c>
      <c r="B3" s="7" t="s">
        <v>69</v>
      </c>
      <c r="C3" s="7" t="s">
        <v>200</v>
      </c>
      <c r="D3" s="7"/>
      <c r="E3" s="7"/>
      <c r="F3" s="7"/>
      <c r="I3" s="6">
        <f>I1/SUM(I1:I2)</f>
        <v>0.25</v>
      </c>
    </row>
    <row r="4" spans="1:9" x14ac:dyDescent="0.25">
      <c r="A4" s="7" t="s">
        <v>193</v>
      </c>
      <c r="B4" s="7" t="s">
        <v>71</v>
      </c>
      <c r="C4" s="7" t="s">
        <v>201</v>
      </c>
      <c r="D4" s="7" t="s">
        <v>223</v>
      </c>
      <c r="E4" s="7">
        <v>13729</v>
      </c>
      <c r="F4" s="7"/>
    </row>
    <row r="5" spans="1:9" x14ac:dyDescent="0.25">
      <c r="A5" s="7" t="s">
        <v>72</v>
      </c>
      <c r="B5" s="7" t="s">
        <v>73</v>
      </c>
      <c r="C5" s="7" t="s">
        <v>201</v>
      </c>
      <c r="D5" s="7" t="s">
        <v>224</v>
      </c>
      <c r="E5" s="7">
        <v>13762</v>
      </c>
      <c r="F5" s="7"/>
    </row>
    <row r="6" spans="1:9" x14ac:dyDescent="0.25">
      <c r="A6" s="7" t="s">
        <v>74</v>
      </c>
      <c r="B6" s="7" t="s">
        <v>75</v>
      </c>
      <c r="C6" s="7" t="s">
        <v>201</v>
      </c>
      <c r="D6" s="7" t="s">
        <v>74</v>
      </c>
      <c r="E6" s="7">
        <v>13728</v>
      </c>
      <c r="F6" s="7"/>
    </row>
    <row r="7" spans="1:9" x14ac:dyDescent="0.25">
      <c r="A7" s="7" t="s">
        <v>76</v>
      </c>
      <c r="B7" s="7" t="s">
        <v>76</v>
      </c>
      <c r="C7" s="7" t="s">
        <v>200</v>
      </c>
      <c r="D7" s="7" t="s">
        <v>76</v>
      </c>
      <c r="E7" s="11">
        <v>13718</v>
      </c>
      <c r="F7" s="7"/>
    </row>
    <row r="8" spans="1:9" x14ac:dyDescent="0.25">
      <c r="A8" s="7" t="s">
        <v>77</v>
      </c>
      <c r="B8" s="7" t="s">
        <v>78</v>
      </c>
      <c r="C8" s="7" t="s">
        <v>201</v>
      </c>
      <c r="D8" s="7" t="s">
        <v>225</v>
      </c>
      <c r="E8" s="7">
        <v>13752</v>
      </c>
      <c r="F8" s="7"/>
    </row>
    <row r="9" spans="1:9" x14ac:dyDescent="0.25">
      <c r="A9" s="7" t="s">
        <v>79</v>
      </c>
      <c r="B9" s="7" t="s">
        <v>80</v>
      </c>
      <c r="C9" s="7" t="s">
        <v>200</v>
      </c>
      <c r="D9" s="7"/>
      <c r="E9" s="7"/>
      <c r="F9" s="7"/>
    </row>
    <row r="10" spans="1:9" x14ac:dyDescent="0.25">
      <c r="A10" s="7" t="s">
        <v>81</v>
      </c>
      <c r="B10" s="7" t="s">
        <v>7</v>
      </c>
      <c r="C10" s="7" t="s">
        <v>200</v>
      </c>
      <c r="D10" s="7"/>
      <c r="E10" s="7"/>
      <c r="F10" s="7"/>
    </row>
    <row r="11" spans="1:9" x14ac:dyDescent="0.25">
      <c r="A11" s="7" t="s">
        <v>82</v>
      </c>
      <c r="B11" s="7" t="s">
        <v>83</v>
      </c>
      <c r="C11" s="7" t="s">
        <v>201</v>
      </c>
      <c r="D11" s="7" t="s">
        <v>226</v>
      </c>
      <c r="E11" s="7">
        <v>13721</v>
      </c>
      <c r="F11" s="7"/>
    </row>
    <row r="12" spans="1:9" x14ac:dyDescent="0.25">
      <c r="A12" s="7" t="s">
        <v>84</v>
      </c>
      <c r="B12" s="7" t="s">
        <v>75</v>
      </c>
      <c r="C12" s="7" t="s">
        <v>201</v>
      </c>
      <c r="D12" s="7" t="s">
        <v>227</v>
      </c>
      <c r="E12" s="7">
        <v>13717</v>
      </c>
      <c r="F12" s="7"/>
    </row>
    <row r="13" spans="1:9" x14ac:dyDescent="0.25">
      <c r="A13" s="7" t="s">
        <v>85</v>
      </c>
      <c r="B13" s="7" t="s">
        <v>86</v>
      </c>
      <c r="C13" s="7" t="s">
        <v>201</v>
      </c>
      <c r="D13" s="7" t="s">
        <v>85</v>
      </c>
      <c r="E13" s="7">
        <v>13738</v>
      </c>
      <c r="F13" s="7"/>
    </row>
    <row r="14" spans="1:9" x14ac:dyDescent="0.25">
      <c r="A14" s="7" t="s">
        <v>87</v>
      </c>
      <c r="B14" s="7" t="s">
        <v>88</v>
      </c>
      <c r="C14" s="7" t="s">
        <v>201</v>
      </c>
      <c r="D14" s="7" t="s">
        <v>87</v>
      </c>
      <c r="E14" s="7">
        <v>13716</v>
      </c>
      <c r="F14" s="7"/>
    </row>
    <row r="15" spans="1:9" x14ac:dyDescent="0.25">
      <c r="A15" s="7" t="s">
        <v>89</v>
      </c>
      <c r="B15" s="7" t="s">
        <v>7</v>
      </c>
      <c r="C15" s="7" t="s">
        <v>201</v>
      </c>
      <c r="D15" s="7" t="s">
        <v>89</v>
      </c>
      <c r="E15" s="7">
        <v>13772</v>
      </c>
      <c r="F15" s="7"/>
    </row>
    <row r="16" spans="1:9" x14ac:dyDescent="0.25">
      <c r="A16" s="7" t="s">
        <v>90</v>
      </c>
      <c r="B16" s="7" t="s">
        <v>91</v>
      </c>
      <c r="C16" s="7" t="s">
        <v>201</v>
      </c>
      <c r="D16" s="7" t="s">
        <v>90</v>
      </c>
      <c r="E16" s="7">
        <v>13749</v>
      </c>
      <c r="F16" s="7"/>
    </row>
    <row r="17" spans="1:6" x14ac:dyDescent="0.25">
      <c r="A17" s="7" t="s">
        <v>79</v>
      </c>
      <c r="B17" s="7" t="s">
        <v>80</v>
      </c>
      <c r="C17" s="7" t="s">
        <v>201</v>
      </c>
      <c r="D17" s="7" t="s">
        <v>181</v>
      </c>
      <c r="E17" s="7">
        <v>13771</v>
      </c>
      <c r="F17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/>
  </sheetViews>
  <sheetFormatPr defaultRowHeight="15" x14ac:dyDescent="0.25"/>
  <cols>
    <col min="1" max="1" width="35.85546875" customWidth="1"/>
    <col min="2" max="2" width="34.5703125" customWidth="1"/>
    <col min="3" max="3" width="8.85546875" customWidth="1"/>
    <col min="4" max="4" width="37.85546875" customWidth="1"/>
    <col min="5" max="5" width="7.85546875" customWidth="1"/>
    <col min="6" max="6" width="20" customWidth="1"/>
  </cols>
  <sheetData>
    <row r="1" spans="1:9" x14ac:dyDescent="0.25">
      <c r="A1" s="1" t="s">
        <v>0</v>
      </c>
      <c r="B1" s="1" t="s">
        <v>1</v>
      </c>
      <c r="C1" s="2" t="s">
        <v>196</v>
      </c>
      <c r="D1" s="2" t="s">
        <v>197</v>
      </c>
      <c r="E1" s="3" t="s">
        <v>198</v>
      </c>
      <c r="F1" s="2" t="s">
        <v>199</v>
      </c>
      <c r="H1" s="4" t="s">
        <v>200</v>
      </c>
      <c r="I1">
        <f>COUNTIF(C:C,$H1)</f>
        <v>4</v>
      </c>
    </row>
    <row r="2" spans="1:9" x14ac:dyDescent="0.25">
      <c r="A2" s="8" t="s">
        <v>228</v>
      </c>
      <c r="B2" s="8"/>
      <c r="C2" s="9" t="s">
        <v>201</v>
      </c>
      <c r="D2" s="9" t="s">
        <v>203</v>
      </c>
      <c r="E2" s="9"/>
      <c r="F2" s="9" t="s">
        <v>204</v>
      </c>
      <c r="H2" s="5" t="s">
        <v>201</v>
      </c>
      <c r="I2">
        <f>COUNTIF(C:C,$H2)</f>
        <v>12</v>
      </c>
    </row>
    <row r="3" spans="1:9" x14ac:dyDescent="0.25">
      <c r="A3" s="7" t="s">
        <v>68</v>
      </c>
      <c r="B3" s="7" t="s">
        <v>69</v>
      </c>
      <c r="C3" s="7" t="s">
        <v>200</v>
      </c>
      <c r="D3" s="7"/>
      <c r="E3" s="7"/>
      <c r="F3" s="7"/>
      <c r="I3" s="6">
        <f>I1/SUM(I1:I2)</f>
        <v>0.25</v>
      </c>
    </row>
    <row r="4" spans="1:9" x14ac:dyDescent="0.25">
      <c r="A4" s="7" t="s">
        <v>70</v>
      </c>
      <c r="B4" s="7" t="s">
        <v>71</v>
      </c>
      <c r="C4" s="7" t="s">
        <v>201</v>
      </c>
      <c r="D4" s="7" t="s">
        <v>223</v>
      </c>
      <c r="E4" s="7">
        <v>13729</v>
      </c>
      <c r="F4" s="7"/>
    </row>
    <row r="5" spans="1:9" x14ac:dyDescent="0.25">
      <c r="A5" s="7" t="s">
        <v>72</v>
      </c>
      <c r="B5" s="7" t="s">
        <v>73</v>
      </c>
      <c r="C5" s="7" t="s">
        <v>201</v>
      </c>
      <c r="D5" s="7" t="s">
        <v>224</v>
      </c>
      <c r="E5" s="7">
        <v>13762</v>
      </c>
      <c r="F5" s="7"/>
    </row>
    <row r="6" spans="1:9" x14ac:dyDescent="0.25">
      <c r="A6" s="7" t="s">
        <v>74</v>
      </c>
      <c r="B6" s="7" t="s">
        <v>75</v>
      </c>
      <c r="C6" s="7" t="s">
        <v>201</v>
      </c>
      <c r="D6" s="7" t="s">
        <v>74</v>
      </c>
      <c r="E6" s="7">
        <v>13728</v>
      </c>
      <c r="F6" s="7"/>
    </row>
    <row r="7" spans="1:9" x14ac:dyDescent="0.25">
      <c r="A7" s="7" t="s">
        <v>76</v>
      </c>
      <c r="B7" s="7" t="s">
        <v>76</v>
      </c>
      <c r="C7" s="7" t="s">
        <v>200</v>
      </c>
      <c r="D7" s="7" t="s">
        <v>76</v>
      </c>
      <c r="E7" s="11">
        <v>13718</v>
      </c>
      <c r="F7" s="7"/>
    </row>
    <row r="8" spans="1:9" x14ac:dyDescent="0.25">
      <c r="A8" s="7" t="s">
        <v>77</v>
      </c>
      <c r="B8" s="7" t="s">
        <v>78</v>
      </c>
      <c r="C8" s="7" t="s">
        <v>201</v>
      </c>
      <c r="D8" s="7" t="s">
        <v>225</v>
      </c>
      <c r="E8" s="7">
        <v>13752</v>
      </c>
      <c r="F8" s="7"/>
    </row>
    <row r="9" spans="1:9" x14ac:dyDescent="0.25">
      <c r="A9" s="7" t="s">
        <v>79</v>
      </c>
      <c r="B9" s="7" t="s">
        <v>80</v>
      </c>
      <c r="C9" s="7" t="s">
        <v>200</v>
      </c>
      <c r="D9" s="7"/>
      <c r="E9" s="7"/>
      <c r="F9" s="7"/>
    </row>
    <row r="10" spans="1:9" x14ac:dyDescent="0.25">
      <c r="A10" s="7" t="s">
        <v>81</v>
      </c>
      <c r="B10" s="7" t="s">
        <v>7</v>
      </c>
      <c r="C10" s="7" t="s">
        <v>200</v>
      </c>
      <c r="D10" s="7"/>
      <c r="E10" s="7"/>
      <c r="F10" s="7"/>
    </row>
    <row r="11" spans="1:9" x14ac:dyDescent="0.25">
      <c r="A11" s="7" t="s">
        <v>82</v>
      </c>
      <c r="B11" s="7" t="s">
        <v>83</v>
      </c>
      <c r="C11" s="7" t="s">
        <v>201</v>
      </c>
      <c r="D11" s="7" t="s">
        <v>226</v>
      </c>
      <c r="E11" s="7">
        <v>13721</v>
      </c>
      <c r="F11" s="7"/>
    </row>
    <row r="12" spans="1:9" x14ac:dyDescent="0.25">
      <c r="A12" s="7" t="s">
        <v>84</v>
      </c>
      <c r="B12" s="7" t="s">
        <v>75</v>
      </c>
      <c r="C12" s="7" t="s">
        <v>201</v>
      </c>
      <c r="D12" s="7" t="s">
        <v>227</v>
      </c>
      <c r="E12" s="7">
        <v>13717</v>
      </c>
      <c r="F12" s="7"/>
    </row>
    <row r="13" spans="1:9" x14ac:dyDescent="0.25">
      <c r="A13" s="7" t="s">
        <v>85</v>
      </c>
      <c r="B13" s="7" t="s">
        <v>86</v>
      </c>
      <c r="C13" s="7" t="s">
        <v>201</v>
      </c>
      <c r="D13" s="7" t="s">
        <v>85</v>
      </c>
      <c r="E13" s="7">
        <v>13738</v>
      </c>
      <c r="F13" s="7"/>
    </row>
    <row r="14" spans="1:9" x14ac:dyDescent="0.25">
      <c r="A14" s="7" t="s">
        <v>87</v>
      </c>
      <c r="B14" s="7" t="s">
        <v>88</v>
      </c>
      <c r="C14" s="7" t="s">
        <v>201</v>
      </c>
      <c r="D14" s="7" t="s">
        <v>87</v>
      </c>
      <c r="E14" s="7">
        <v>13716</v>
      </c>
      <c r="F14" s="7"/>
    </row>
    <row r="15" spans="1:9" x14ac:dyDescent="0.25">
      <c r="A15" s="7" t="s">
        <v>89</v>
      </c>
      <c r="B15" s="7" t="s">
        <v>7</v>
      </c>
      <c r="C15" s="7" t="s">
        <v>201</v>
      </c>
      <c r="D15" s="7" t="s">
        <v>89</v>
      </c>
      <c r="E15" s="7">
        <v>13772</v>
      </c>
      <c r="F15" s="7"/>
    </row>
    <row r="16" spans="1:9" x14ac:dyDescent="0.25">
      <c r="A16" s="7" t="s">
        <v>90</v>
      </c>
      <c r="B16" s="7" t="s">
        <v>91</v>
      </c>
      <c r="C16" s="7" t="s">
        <v>201</v>
      </c>
      <c r="D16" s="7" t="s">
        <v>90</v>
      </c>
      <c r="E16" s="7">
        <v>13749</v>
      </c>
      <c r="F16" s="7"/>
    </row>
    <row r="17" spans="1:6" x14ac:dyDescent="0.25">
      <c r="A17" s="7" t="s">
        <v>79</v>
      </c>
      <c r="B17" s="7" t="s">
        <v>80</v>
      </c>
      <c r="C17" s="7" t="s">
        <v>201</v>
      </c>
      <c r="D17" s="7" t="s">
        <v>181</v>
      </c>
      <c r="E17" s="7">
        <v>13771</v>
      </c>
      <c r="F17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2"/>
  <sheetViews>
    <sheetView workbookViewId="0"/>
  </sheetViews>
  <sheetFormatPr defaultRowHeight="15" x14ac:dyDescent="0.25"/>
  <cols>
    <col min="1" max="1" width="46.7109375" customWidth="1"/>
    <col min="2" max="2" width="39.85546875" customWidth="1"/>
    <col min="3" max="3" width="8.85546875" bestFit="1" customWidth="1"/>
    <col min="4" max="4" width="46.7109375" bestFit="1" customWidth="1"/>
    <col min="5" max="5" width="7.5703125" bestFit="1" customWidth="1"/>
    <col min="6" max="6" width="82.28515625" bestFit="1" customWidth="1"/>
  </cols>
  <sheetData>
    <row r="1" spans="1:9" x14ac:dyDescent="0.25">
      <c r="A1" s="1" t="s">
        <v>0</v>
      </c>
      <c r="B1" s="1" t="s">
        <v>1</v>
      </c>
      <c r="C1" s="2" t="s">
        <v>196</v>
      </c>
      <c r="D1" s="2" t="s">
        <v>197</v>
      </c>
      <c r="E1" s="3" t="s">
        <v>198</v>
      </c>
      <c r="F1" s="2" t="s">
        <v>199</v>
      </c>
      <c r="H1" s="4" t="s">
        <v>200</v>
      </c>
      <c r="I1">
        <f>COUNTIF(C:C,$H1)</f>
        <v>18</v>
      </c>
    </row>
    <row r="2" spans="1:9" x14ac:dyDescent="0.25">
      <c r="A2" s="7" t="s">
        <v>92</v>
      </c>
      <c r="B2" s="7" t="s">
        <v>93</v>
      </c>
      <c r="C2" s="7" t="s">
        <v>200</v>
      </c>
      <c r="D2" s="7"/>
      <c r="E2" s="7"/>
      <c r="F2" s="7"/>
      <c r="H2" s="5" t="s">
        <v>201</v>
      </c>
      <c r="I2">
        <f>COUNTIF(C:C,$H2)</f>
        <v>13</v>
      </c>
    </row>
    <row r="3" spans="1:9" x14ac:dyDescent="0.25">
      <c r="A3" s="7" t="s">
        <v>94</v>
      </c>
      <c r="B3" s="7" t="s">
        <v>7</v>
      </c>
      <c r="C3" s="7" t="s">
        <v>200</v>
      </c>
      <c r="D3" s="7"/>
      <c r="E3" s="7"/>
      <c r="F3" s="7"/>
      <c r="I3" s="6">
        <f>I1/SUM(I1:I2)</f>
        <v>0.58064516129032262</v>
      </c>
    </row>
    <row r="4" spans="1:9" x14ac:dyDescent="0.25">
      <c r="A4" s="7" t="s">
        <v>95</v>
      </c>
      <c r="B4" s="7" t="s">
        <v>96</v>
      </c>
      <c r="C4" s="7" t="s">
        <v>201</v>
      </c>
      <c r="D4" s="7" t="s">
        <v>229</v>
      </c>
      <c r="E4" s="7">
        <v>30399</v>
      </c>
      <c r="F4" s="7"/>
    </row>
    <row r="5" spans="1:9" x14ac:dyDescent="0.25">
      <c r="A5" s="7" t="s">
        <v>97</v>
      </c>
      <c r="B5" s="7" t="s">
        <v>96</v>
      </c>
      <c r="C5" s="7" t="s">
        <v>201</v>
      </c>
      <c r="D5" s="7" t="s">
        <v>97</v>
      </c>
      <c r="E5" s="7">
        <v>30396</v>
      </c>
      <c r="F5" s="7"/>
    </row>
    <row r="6" spans="1:9" x14ac:dyDescent="0.25">
      <c r="A6" s="7" t="s">
        <v>98</v>
      </c>
      <c r="B6" s="7" t="s">
        <v>99</v>
      </c>
      <c r="C6" s="7" t="s">
        <v>200</v>
      </c>
      <c r="D6" s="7"/>
      <c r="E6" s="7"/>
      <c r="F6" s="7"/>
    </row>
    <row r="7" spans="1:9" x14ac:dyDescent="0.25">
      <c r="A7" s="7" t="s">
        <v>100</v>
      </c>
      <c r="B7" s="7" t="s">
        <v>101</v>
      </c>
      <c r="C7" s="7" t="s">
        <v>201</v>
      </c>
      <c r="D7" s="7" t="s">
        <v>150</v>
      </c>
      <c r="E7" s="7">
        <v>17542</v>
      </c>
      <c r="F7" s="7"/>
    </row>
    <row r="8" spans="1:9" x14ac:dyDescent="0.25">
      <c r="A8" s="7" t="s">
        <v>102</v>
      </c>
      <c r="B8" s="7" t="s">
        <v>96</v>
      </c>
      <c r="C8" s="7" t="s">
        <v>201</v>
      </c>
      <c r="D8" s="7" t="s">
        <v>232</v>
      </c>
      <c r="E8" s="7">
        <v>30359</v>
      </c>
      <c r="F8" s="7"/>
    </row>
    <row r="9" spans="1:9" x14ac:dyDescent="0.25">
      <c r="A9" s="7" t="s">
        <v>103</v>
      </c>
      <c r="B9" s="7" t="s">
        <v>104</v>
      </c>
      <c r="C9" s="7" t="s">
        <v>200</v>
      </c>
      <c r="D9" s="7"/>
      <c r="E9" s="7"/>
      <c r="F9" s="7" t="s">
        <v>258</v>
      </c>
    </row>
    <row r="10" spans="1:9" x14ac:dyDescent="0.25">
      <c r="A10" s="7" t="s">
        <v>107</v>
      </c>
      <c r="B10" s="7" t="s">
        <v>108</v>
      </c>
      <c r="C10" s="7" t="s">
        <v>200</v>
      </c>
      <c r="D10" s="7"/>
      <c r="E10" s="7"/>
      <c r="F10" s="7"/>
    </row>
    <row r="11" spans="1:9" x14ac:dyDescent="0.25">
      <c r="A11" s="7" t="s">
        <v>94</v>
      </c>
      <c r="B11" s="7" t="s">
        <v>7</v>
      </c>
      <c r="C11" s="7" t="s">
        <v>200</v>
      </c>
      <c r="D11" s="7"/>
      <c r="E11" s="7"/>
      <c r="F11" s="7"/>
    </row>
    <row r="12" spans="1:9" x14ac:dyDescent="0.25">
      <c r="A12" s="7" t="s">
        <v>109</v>
      </c>
      <c r="B12" s="7" t="s">
        <v>110</v>
      </c>
      <c r="C12" s="7" t="s">
        <v>201</v>
      </c>
      <c r="D12" s="7" t="s">
        <v>230</v>
      </c>
      <c r="E12" s="7">
        <v>30429</v>
      </c>
      <c r="F12" s="7"/>
    </row>
    <row r="13" spans="1:9" x14ac:dyDescent="0.25">
      <c r="A13" s="7" t="s">
        <v>111</v>
      </c>
      <c r="B13" s="7" t="s">
        <v>112</v>
      </c>
      <c r="C13" s="7" t="s">
        <v>201</v>
      </c>
      <c r="D13" s="7" t="s">
        <v>231</v>
      </c>
      <c r="E13" s="7">
        <v>30433</v>
      </c>
      <c r="F13" s="7"/>
    </row>
    <row r="14" spans="1:9" x14ac:dyDescent="0.25">
      <c r="A14" s="7" t="s">
        <v>113</v>
      </c>
      <c r="B14" s="7" t="s">
        <v>114</v>
      </c>
      <c r="C14" s="7" t="s">
        <v>201</v>
      </c>
      <c r="D14" s="7" t="s">
        <v>233</v>
      </c>
      <c r="E14" s="7">
        <v>30448</v>
      </c>
      <c r="F14" s="7"/>
    </row>
    <row r="15" spans="1:9" x14ac:dyDescent="0.25">
      <c r="A15" s="7" t="s">
        <v>115</v>
      </c>
      <c r="B15" s="7" t="s">
        <v>116</v>
      </c>
      <c r="C15" s="7" t="s">
        <v>201</v>
      </c>
      <c r="D15" s="7" t="s">
        <v>234</v>
      </c>
      <c r="E15" s="7">
        <v>30431</v>
      </c>
      <c r="F15" s="7"/>
    </row>
    <row r="16" spans="1:9" x14ac:dyDescent="0.25">
      <c r="A16" s="7" t="s">
        <v>117</v>
      </c>
      <c r="B16" s="7" t="s">
        <v>118</v>
      </c>
      <c r="C16" s="7" t="s">
        <v>201</v>
      </c>
      <c r="D16" s="7" t="s">
        <v>235</v>
      </c>
      <c r="E16" s="7">
        <v>30449</v>
      </c>
      <c r="F16" s="7"/>
    </row>
    <row r="17" spans="1:6" x14ac:dyDescent="0.25">
      <c r="A17" s="7" t="s">
        <v>119</v>
      </c>
      <c r="B17" s="7" t="s">
        <v>120</v>
      </c>
      <c r="C17" s="7" t="s">
        <v>200</v>
      </c>
      <c r="D17" s="7"/>
      <c r="E17" s="7"/>
      <c r="F17" s="7"/>
    </row>
    <row r="18" spans="1:6" x14ac:dyDescent="0.25">
      <c r="A18" s="7" t="s">
        <v>121</v>
      </c>
      <c r="B18" s="7" t="s">
        <v>122</v>
      </c>
      <c r="C18" s="7" t="s">
        <v>200</v>
      </c>
      <c r="D18" s="7"/>
      <c r="E18" s="7"/>
      <c r="F18" s="7"/>
    </row>
    <row r="19" spans="1:6" x14ac:dyDescent="0.25">
      <c r="A19" s="7" t="s">
        <v>123</v>
      </c>
      <c r="B19" s="7" t="s">
        <v>124</v>
      </c>
      <c r="C19" s="7" t="s">
        <v>200</v>
      </c>
      <c r="D19" s="7"/>
      <c r="E19" s="7"/>
      <c r="F19" s="7"/>
    </row>
    <row r="20" spans="1:6" x14ac:dyDescent="0.25">
      <c r="A20" s="7" t="s">
        <v>125</v>
      </c>
      <c r="B20" s="7" t="s">
        <v>7</v>
      </c>
      <c r="C20" s="7" t="s">
        <v>200</v>
      </c>
      <c r="D20" s="7"/>
      <c r="E20" s="7"/>
      <c r="F20" s="7"/>
    </row>
    <row r="21" spans="1:6" x14ac:dyDescent="0.25">
      <c r="A21" s="7" t="s">
        <v>126</v>
      </c>
      <c r="B21" s="7" t="s">
        <v>127</v>
      </c>
      <c r="C21" s="7" t="s">
        <v>201</v>
      </c>
      <c r="D21" s="7" t="s">
        <v>236</v>
      </c>
      <c r="E21" s="7">
        <v>17556</v>
      </c>
      <c r="F21" s="7"/>
    </row>
    <row r="22" spans="1:6" x14ac:dyDescent="0.25">
      <c r="A22" s="7" t="s">
        <v>128</v>
      </c>
      <c r="B22" s="7" t="s">
        <v>129</v>
      </c>
      <c r="C22" s="7" t="s">
        <v>201</v>
      </c>
      <c r="D22" s="7" t="s">
        <v>237</v>
      </c>
      <c r="E22" s="7">
        <v>30662</v>
      </c>
      <c r="F22" s="7"/>
    </row>
    <row r="23" spans="1:6" x14ac:dyDescent="0.25">
      <c r="A23" s="7" t="s">
        <v>130</v>
      </c>
      <c r="B23" s="7" t="s">
        <v>131</v>
      </c>
      <c r="C23" s="7" t="s">
        <v>200</v>
      </c>
      <c r="D23" s="7"/>
      <c r="E23" s="7"/>
      <c r="F23" s="7"/>
    </row>
    <row r="24" spans="1:6" x14ac:dyDescent="0.25">
      <c r="A24" s="7" t="s">
        <v>132</v>
      </c>
      <c r="B24" s="7" t="s">
        <v>7</v>
      </c>
      <c r="C24" s="7" t="s">
        <v>200</v>
      </c>
      <c r="D24" s="7"/>
      <c r="E24" s="7"/>
      <c r="F24" s="7"/>
    </row>
    <row r="25" spans="1:6" x14ac:dyDescent="0.25">
      <c r="A25" s="7" t="s">
        <v>133</v>
      </c>
      <c r="B25" s="7" t="s">
        <v>134</v>
      </c>
      <c r="C25" s="7" t="s">
        <v>200</v>
      </c>
      <c r="D25" s="7"/>
      <c r="E25" s="7"/>
      <c r="F25" s="7"/>
    </row>
    <row r="26" spans="1:6" x14ac:dyDescent="0.25">
      <c r="A26" s="7" t="s">
        <v>135</v>
      </c>
      <c r="B26" s="7" t="s">
        <v>136</v>
      </c>
      <c r="C26" s="7" t="s">
        <v>200</v>
      </c>
      <c r="D26" s="7"/>
      <c r="E26" s="7"/>
      <c r="F26" s="7"/>
    </row>
    <row r="27" spans="1:6" x14ac:dyDescent="0.25">
      <c r="A27" s="7" t="s">
        <v>137</v>
      </c>
      <c r="B27" s="7" t="s">
        <v>138</v>
      </c>
      <c r="C27" s="7" t="s">
        <v>201</v>
      </c>
      <c r="D27" s="7" t="s">
        <v>259</v>
      </c>
      <c r="E27" s="11">
        <v>30658</v>
      </c>
      <c r="F27" s="7" t="s">
        <v>260</v>
      </c>
    </row>
    <row r="28" spans="1:6" x14ac:dyDescent="0.25">
      <c r="A28" s="7" t="s">
        <v>139</v>
      </c>
      <c r="B28" s="7" t="s">
        <v>140</v>
      </c>
      <c r="C28" s="7" t="s">
        <v>200</v>
      </c>
      <c r="D28" s="7"/>
      <c r="E28" s="7"/>
      <c r="F28" s="7"/>
    </row>
    <row r="29" spans="1:6" x14ac:dyDescent="0.25">
      <c r="A29" s="7" t="s">
        <v>141</v>
      </c>
      <c r="B29" s="7" t="s">
        <v>142</v>
      </c>
      <c r="C29" s="7" t="s">
        <v>201</v>
      </c>
      <c r="D29" s="7" t="s">
        <v>238</v>
      </c>
      <c r="E29" s="7">
        <v>17529</v>
      </c>
      <c r="F29" s="7"/>
    </row>
    <row r="30" spans="1:6" x14ac:dyDescent="0.25">
      <c r="A30" s="7" t="s">
        <v>143</v>
      </c>
      <c r="B30" s="7" t="s">
        <v>144</v>
      </c>
      <c r="C30" s="7" t="s">
        <v>200</v>
      </c>
      <c r="D30" s="7"/>
      <c r="E30" s="7"/>
      <c r="F30" s="7"/>
    </row>
    <row r="31" spans="1:6" x14ac:dyDescent="0.25">
      <c r="A31" s="7" t="s">
        <v>145</v>
      </c>
      <c r="B31" s="7" t="s">
        <v>146</v>
      </c>
      <c r="C31" s="7" t="s">
        <v>200</v>
      </c>
      <c r="D31" s="7"/>
      <c r="E31" s="7"/>
      <c r="F31" s="7"/>
    </row>
    <row r="32" spans="1:6" x14ac:dyDescent="0.25">
      <c r="A32" s="7" t="s">
        <v>147</v>
      </c>
      <c r="B32" s="7" t="s">
        <v>148</v>
      </c>
      <c r="C32" s="7" t="s">
        <v>200</v>
      </c>
      <c r="D32" s="7"/>
      <c r="E32" s="7"/>
      <c r="F32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workbookViewId="0"/>
  </sheetViews>
  <sheetFormatPr defaultRowHeight="15" x14ac:dyDescent="0.25"/>
  <cols>
    <col min="1" max="1" width="50.5703125" bestFit="1" customWidth="1"/>
    <col min="2" max="2" width="41.140625" customWidth="1"/>
    <col min="3" max="3" width="9" customWidth="1"/>
    <col min="4" max="4" width="41.140625" customWidth="1"/>
    <col min="5" max="5" width="6.85546875" bestFit="1" customWidth="1"/>
    <col min="6" max="6" width="82.28515625" bestFit="1" customWidth="1"/>
  </cols>
  <sheetData>
    <row r="1" spans="1:9" x14ac:dyDescent="0.25">
      <c r="A1" s="1" t="s">
        <v>0</v>
      </c>
      <c r="B1" s="1" t="s">
        <v>1</v>
      </c>
      <c r="C1" s="2" t="s">
        <v>196</v>
      </c>
      <c r="D1" s="2" t="s">
        <v>197</v>
      </c>
      <c r="E1" s="3" t="s">
        <v>198</v>
      </c>
      <c r="F1" s="2" t="s">
        <v>199</v>
      </c>
      <c r="H1" s="4" t="s">
        <v>200</v>
      </c>
      <c r="I1">
        <f>COUNTIF(C:C,$H1)</f>
        <v>19</v>
      </c>
    </row>
    <row r="2" spans="1:9" x14ac:dyDescent="0.25">
      <c r="A2" s="7" t="s">
        <v>92</v>
      </c>
      <c r="B2" s="7" t="s">
        <v>93</v>
      </c>
      <c r="C2" s="7" t="s">
        <v>200</v>
      </c>
      <c r="D2" s="7"/>
      <c r="E2" s="7"/>
      <c r="F2" s="7"/>
      <c r="H2" s="5" t="s">
        <v>201</v>
      </c>
      <c r="I2">
        <f>COUNTIF(C:C,$H2)</f>
        <v>13</v>
      </c>
    </row>
    <row r="3" spans="1:9" x14ac:dyDescent="0.25">
      <c r="A3" s="7" t="s">
        <v>94</v>
      </c>
      <c r="B3" s="7" t="s">
        <v>7</v>
      </c>
      <c r="C3" s="7" t="s">
        <v>200</v>
      </c>
      <c r="D3" s="7"/>
      <c r="E3" s="7"/>
      <c r="F3" s="7"/>
      <c r="I3" s="6">
        <f>I1/SUM(I1:I2)</f>
        <v>0.59375</v>
      </c>
    </row>
    <row r="4" spans="1:9" x14ac:dyDescent="0.25">
      <c r="A4" s="7" t="s">
        <v>95</v>
      </c>
      <c r="B4" s="7" t="s">
        <v>96</v>
      </c>
      <c r="C4" s="7" t="s">
        <v>201</v>
      </c>
      <c r="D4" s="7" t="s">
        <v>229</v>
      </c>
      <c r="E4" s="7">
        <v>30399</v>
      </c>
      <c r="F4" s="7"/>
    </row>
    <row r="5" spans="1:9" x14ac:dyDescent="0.25">
      <c r="A5" s="7" t="s">
        <v>97</v>
      </c>
      <c r="B5" s="7" t="s">
        <v>96</v>
      </c>
      <c r="C5" s="7" t="s">
        <v>201</v>
      </c>
      <c r="D5" s="7" t="s">
        <v>97</v>
      </c>
      <c r="E5" s="7">
        <v>30396</v>
      </c>
      <c r="F5" s="7"/>
    </row>
    <row r="6" spans="1:9" x14ac:dyDescent="0.25">
      <c r="A6" s="7" t="s">
        <v>98</v>
      </c>
      <c r="B6" s="7" t="s">
        <v>99</v>
      </c>
      <c r="C6" s="7" t="s">
        <v>200</v>
      </c>
      <c r="D6" s="7"/>
      <c r="E6" s="7"/>
      <c r="F6" s="7"/>
    </row>
    <row r="7" spans="1:9" x14ac:dyDescent="0.25">
      <c r="A7" s="7" t="s">
        <v>100</v>
      </c>
      <c r="B7" s="7" t="s">
        <v>101</v>
      </c>
      <c r="C7" s="7" t="s">
        <v>201</v>
      </c>
      <c r="D7" s="7" t="s">
        <v>150</v>
      </c>
      <c r="E7" s="7">
        <v>17542</v>
      </c>
      <c r="F7" s="7"/>
    </row>
    <row r="8" spans="1:9" x14ac:dyDescent="0.25">
      <c r="A8" s="7" t="s">
        <v>102</v>
      </c>
      <c r="B8" s="7" t="s">
        <v>96</v>
      </c>
      <c r="C8" s="7" t="s">
        <v>201</v>
      </c>
      <c r="D8" s="7" t="s">
        <v>232</v>
      </c>
      <c r="E8" s="7">
        <v>30359</v>
      </c>
      <c r="F8" s="7"/>
    </row>
    <row r="9" spans="1:9" x14ac:dyDescent="0.25">
      <c r="A9" s="7" t="s">
        <v>103</v>
      </c>
      <c r="B9" s="7" t="s">
        <v>104</v>
      </c>
      <c r="C9" s="7" t="s">
        <v>200</v>
      </c>
      <c r="D9" s="7"/>
      <c r="E9" s="7"/>
      <c r="F9" s="7" t="s">
        <v>258</v>
      </c>
    </row>
    <row r="10" spans="1:9" x14ac:dyDescent="0.25">
      <c r="A10" s="7" t="s">
        <v>105</v>
      </c>
      <c r="B10" s="7" t="s">
        <v>106</v>
      </c>
      <c r="C10" s="7" t="s">
        <v>200</v>
      </c>
      <c r="D10" s="7" t="s">
        <v>106</v>
      </c>
      <c r="E10" s="11">
        <v>30664</v>
      </c>
      <c r="F10" s="7"/>
    </row>
    <row r="11" spans="1:9" x14ac:dyDescent="0.25">
      <c r="A11" s="7" t="s">
        <v>107</v>
      </c>
      <c r="B11" s="7" t="s">
        <v>108</v>
      </c>
      <c r="C11" s="7" t="s">
        <v>200</v>
      </c>
      <c r="D11" s="7"/>
      <c r="E11" s="7"/>
      <c r="F11" s="7"/>
    </row>
    <row r="12" spans="1:9" x14ac:dyDescent="0.25">
      <c r="A12" s="7" t="s">
        <v>94</v>
      </c>
      <c r="B12" s="7" t="s">
        <v>7</v>
      </c>
      <c r="C12" s="7" t="s">
        <v>200</v>
      </c>
      <c r="D12" s="7"/>
      <c r="E12" s="7"/>
      <c r="F12" s="7"/>
    </row>
    <row r="13" spans="1:9" x14ac:dyDescent="0.25">
      <c r="A13" s="7" t="s">
        <v>109</v>
      </c>
      <c r="B13" s="7" t="s">
        <v>110</v>
      </c>
      <c r="C13" s="7" t="s">
        <v>201</v>
      </c>
      <c r="D13" s="7" t="s">
        <v>230</v>
      </c>
      <c r="E13" s="7">
        <v>30429</v>
      </c>
      <c r="F13" s="7"/>
    </row>
    <row r="14" spans="1:9" x14ac:dyDescent="0.25">
      <c r="A14" s="7" t="s">
        <v>111</v>
      </c>
      <c r="B14" s="7" t="s">
        <v>112</v>
      </c>
      <c r="C14" s="7" t="s">
        <v>201</v>
      </c>
      <c r="D14" s="7" t="s">
        <v>231</v>
      </c>
      <c r="E14" s="7">
        <v>30433</v>
      </c>
      <c r="F14" s="7"/>
    </row>
    <row r="15" spans="1:9" x14ac:dyDescent="0.25">
      <c r="A15" s="7" t="s">
        <v>113</v>
      </c>
      <c r="B15" s="7" t="s">
        <v>114</v>
      </c>
      <c r="C15" s="7" t="s">
        <v>201</v>
      </c>
      <c r="D15" s="7" t="s">
        <v>233</v>
      </c>
      <c r="E15" s="7">
        <v>30448</v>
      </c>
      <c r="F15" s="7"/>
    </row>
    <row r="16" spans="1:9" x14ac:dyDescent="0.25">
      <c r="A16" s="7" t="s">
        <v>115</v>
      </c>
      <c r="B16" s="7" t="s">
        <v>116</v>
      </c>
      <c r="C16" s="7" t="s">
        <v>201</v>
      </c>
      <c r="D16" s="7" t="s">
        <v>234</v>
      </c>
      <c r="E16" s="7">
        <v>30431</v>
      </c>
      <c r="F16" s="7"/>
    </row>
    <row r="17" spans="1:6" x14ac:dyDescent="0.25">
      <c r="A17" s="7" t="s">
        <v>117</v>
      </c>
      <c r="B17" s="7" t="s">
        <v>118</v>
      </c>
      <c r="C17" s="7" t="s">
        <v>201</v>
      </c>
      <c r="D17" s="7" t="s">
        <v>235</v>
      </c>
      <c r="E17" s="7">
        <v>30449</v>
      </c>
      <c r="F17" s="7"/>
    </row>
    <row r="18" spans="1:6" x14ac:dyDescent="0.25">
      <c r="A18" s="7" t="s">
        <v>119</v>
      </c>
      <c r="B18" s="7" t="s">
        <v>120</v>
      </c>
      <c r="C18" s="7" t="s">
        <v>200</v>
      </c>
      <c r="D18" s="7"/>
      <c r="E18" s="7"/>
      <c r="F18" s="7"/>
    </row>
    <row r="19" spans="1:6" x14ac:dyDescent="0.25">
      <c r="A19" s="7" t="s">
        <v>121</v>
      </c>
      <c r="B19" s="7" t="s">
        <v>122</v>
      </c>
      <c r="C19" s="7" t="s">
        <v>200</v>
      </c>
      <c r="D19" s="7"/>
      <c r="E19" s="7"/>
      <c r="F19" s="7"/>
    </row>
    <row r="20" spans="1:6" x14ac:dyDescent="0.25">
      <c r="A20" s="7" t="s">
        <v>123</v>
      </c>
      <c r="B20" s="7" t="s">
        <v>124</v>
      </c>
      <c r="C20" s="7" t="s">
        <v>200</v>
      </c>
      <c r="D20" s="7"/>
      <c r="E20" s="7"/>
      <c r="F20" s="7"/>
    </row>
    <row r="21" spans="1:6" x14ac:dyDescent="0.25">
      <c r="A21" s="7" t="s">
        <v>125</v>
      </c>
      <c r="B21" s="7" t="s">
        <v>7</v>
      </c>
      <c r="C21" s="7" t="s">
        <v>200</v>
      </c>
      <c r="D21" s="7"/>
      <c r="E21" s="7"/>
      <c r="F21" s="7"/>
    </row>
    <row r="22" spans="1:6" x14ac:dyDescent="0.25">
      <c r="A22" s="7" t="s">
        <v>126</v>
      </c>
      <c r="B22" s="7" t="s">
        <v>127</v>
      </c>
      <c r="C22" s="7" t="s">
        <v>201</v>
      </c>
      <c r="D22" s="7" t="s">
        <v>236</v>
      </c>
      <c r="E22" s="7">
        <v>17556</v>
      </c>
      <c r="F22" s="7"/>
    </row>
    <row r="23" spans="1:6" x14ac:dyDescent="0.25">
      <c r="A23" s="7" t="s">
        <v>128</v>
      </c>
      <c r="B23" s="7" t="s">
        <v>129</v>
      </c>
      <c r="C23" s="7" t="s">
        <v>201</v>
      </c>
      <c r="D23" s="7" t="s">
        <v>237</v>
      </c>
      <c r="E23" s="7">
        <v>30662</v>
      </c>
      <c r="F23" s="7"/>
    </row>
    <row r="24" spans="1:6" x14ac:dyDescent="0.25">
      <c r="A24" s="7" t="s">
        <v>130</v>
      </c>
      <c r="B24" s="7" t="s">
        <v>131</v>
      </c>
      <c r="C24" s="7" t="s">
        <v>200</v>
      </c>
      <c r="D24" s="7"/>
      <c r="E24" s="7"/>
      <c r="F24" s="7"/>
    </row>
    <row r="25" spans="1:6" x14ac:dyDescent="0.25">
      <c r="A25" s="7" t="s">
        <v>132</v>
      </c>
      <c r="B25" s="7" t="s">
        <v>7</v>
      </c>
      <c r="C25" s="7" t="s">
        <v>200</v>
      </c>
      <c r="D25" s="7"/>
      <c r="E25" s="7"/>
      <c r="F25" s="7"/>
    </row>
    <row r="26" spans="1:6" x14ac:dyDescent="0.25">
      <c r="A26" s="7" t="s">
        <v>133</v>
      </c>
      <c r="B26" s="7" t="s">
        <v>134</v>
      </c>
      <c r="C26" s="7" t="s">
        <v>200</v>
      </c>
      <c r="D26" s="7"/>
      <c r="E26" s="7"/>
      <c r="F26" s="7"/>
    </row>
    <row r="27" spans="1:6" x14ac:dyDescent="0.25">
      <c r="A27" s="7" t="s">
        <v>135</v>
      </c>
      <c r="B27" s="7" t="s">
        <v>136</v>
      </c>
      <c r="C27" s="7" t="s">
        <v>200</v>
      </c>
      <c r="D27" s="7"/>
      <c r="E27" s="7"/>
      <c r="F27" s="7"/>
    </row>
    <row r="28" spans="1:6" x14ac:dyDescent="0.25">
      <c r="A28" s="7" t="s">
        <v>137</v>
      </c>
      <c r="B28" s="7" t="s">
        <v>138</v>
      </c>
      <c r="C28" s="7" t="s">
        <v>201</v>
      </c>
      <c r="D28" s="7" t="s">
        <v>259</v>
      </c>
      <c r="E28" s="11">
        <v>30658</v>
      </c>
      <c r="F28" s="7" t="s">
        <v>260</v>
      </c>
    </row>
    <row r="29" spans="1:6" x14ac:dyDescent="0.25">
      <c r="A29" s="7" t="s">
        <v>139</v>
      </c>
      <c r="B29" s="7" t="s">
        <v>140</v>
      </c>
      <c r="C29" s="7" t="s">
        <v>200</v>
      </c>
      <c r="D29" s="7"/>
      <c r="E29" s="7"/>
      <c r="F29" s="7"/>
    </row>
    <row r="30" spans="1:6" x14ac:dyDescent="0.25">
      <c r="A30" s="7" t="s">
        <v>141</v>
      </c>
      <c r="B30" s="7" t="s">
        <v>142</v>
      </c>
      <c r="C30" s="7" t="s">
        <v>201</v>
      </c>
      <c r="D30" s="7" t="s">
        <v>238</v>
      </c>
      <c r="E30" s="7">
        <v>17529</v>
      </c>
      <c r="F30" s="7"/>
    </row>
    <row r="31" spans="1:6" x14ac:dyDescent="0.25">
      <c r="A31" s="7" t="s">
        <v>143</v>
      </c>
      <c r="B31" s="7" t="s">
        <v>144</v>
      </c>
      <c r="C31" s="7" t="s">
        <v>200</v>
      </c>
      <c r="D31" s="7"/>
      <c r="E31" s="7"/>
      <c r="F31" s="7"/>
    </row>
    <row r="32" spans="1:6" x14ac:dyDescent="0.25">
      <c r="A32" s="7" t="s">
        <v>145</v>
      </c>
      <c r="B32" s="7" t="s">
        <v>146</v>
      </c>
      <c r="C32" s="7" t="s">
        <v>200</v>
      </c>
      <c r="D32" s="7"/>
      <c r="E32" s="7"/>
      <c r="F32" s="7"/>
    </row>
    <row r="33" spans="1:6" x14ac:dyDescent="0.25">
      <c r="A33" s="7" t="s">
        <v>147</v>
      </c>
      <c r="B33" s="7" t="s">
        <v>148</v>
      </c>
      <c r="C33" s="7" t="s">
        <v>200</v>
      </c>
      <c r="D33" s="7"/>
      <c r="E33" s="7"/>
      <c r="F33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3"/>
  <sheetViews>
    <sheetView workbookViewId="0"/>
  </sheetViews>
  <sheetFormatPr defaultRowHeight="15" x14ac:dyDescent="0.25"/>
  <cols>
    <col min="1" max="1" width="62.5703125" bestFit="1" customWidth="1"/>
    <col min="2" max="2" width="36.7109375" bestFit="1" customWidth="1"/>
    <col min="3" max="3" width="9.28515625" customWidth="1"/>
    <col min="4" max="4" width="43.7109375" bestFit="1" customWidth="1"/>
    <col min="5" max="5" width="6.85546875" bestFit="1" customWidth="1"/>
    <col min="6" max="6" width="35.140625" bestFit="1" customWidth="1"/>
  </cols>
  <sheetData>
    <row r="1" spans="1:9" x14ac:dyDescent="0.25">
      <c r="A1" s="1" t="s">
        <v>0</v>
      </c>
      <c r="B1" s="1" t="s">
        <v>1</v>
      </c>
      <c r="C1" s="2" t="s">
        <v>196</v>
      </c>
      <c r="D1" s="2" t="s">
        <v>197</v>
      </c>
      <c r="E1" s="3" t="s">
        <v>198</v>
      </c>
      <c r="F1" s="2" t="s">
        <v>199</v>
      </c>
      <c r="H1" s="4" t="s">
        <v>200</v>
      </c>
      <c r="I1">
        <f>COUNTIF(C:C,$H1)</f>
        <v>4</v>
      </c>
    </row>
    <row r="2" spans="1:9" x14ac:dyDescent="0.25">
      <c r="A2" s="7" t="s">
        <v>149</v>
      </c>
      <c r="B2" s="7" t="s">
        <v>150</v>
      </c>
      <c r="C2" s="7" t="s">
        <v>201</v>
      </c>
      <c r="D2" s="7"/>
      <c r="E2" s="7"/>
      <c r="F2" s="7" t="s">
        <v>211</v>
      </c>
      <c r="H2" s="5" t="s">
        <v>201</v>
      </c>
      <c r="I2">
        <f>COUNTIF(C:C,$H2)</f>
        <v>48</v>
      </c>
    </row>
    <row r="3" spans="1:9" x14ac:dyDescent="0.25">
      <c r="A3" s="7" t="s">
        <v>151</v>
      </c>
      <c r="B3" s="7" t="s">
        <v>116</v>
      </c>
      <c r="C3" s="7" t="s">
        <v>201</v>
      </c>
      <c r="D3" s="7"/>
      <c r="E3" s="7"/>
      <c r="F3" s="7" t="s">
        <v>211</v>
      </c>
      <c r="I3" s="6">
        <f>I1/SUM(I1:I2)</f>
        <v>7.6923076923076927E-2</v>
      </c>
    </row>
    <row r="4" spans="1:9" x14ac:dyDescent="0.25">
      <c r="A4" s="7" t="s">
        <v>152</v>
      </c>
      <c r="B4" s="7" t="s">
        <v>7</v>
      </c>
      <c r="C4" s="7" t="s">
        <v>201</v>
      </c>
      <c r="D4" s="7"/>
      <c r="E4" s="7"/>
      <c r="F4" s="7" t="s">
        <v>211</v>
      </c>
    </row>
    <row r="5" spans="1:9" x14ac:dyDescent="0.25">
      <c r="A5" s="7" t="s">
        <v>153</v>
      </c>
      <c r="B5" s="7" t="s">
        <v>7</v>
      </c>
      <c r="C5" s="7" t="s">
        <v>201</v>
      </c>
      <c r="D5" s="7"/>
      <c r="E5" s="7"/>
      <c r="F5" s="7" t="s">
        <v>211</v>
      </c>
    </row>
    <row r="6" spans="1:9" x14ac:dyDescent="0.25">
      <c r="A6" s="7" t="s">
        <v>194</v>
      </c>
      <c r="B6" s="7" t="s">
        <v>150</v>
      </c>
      <c r="C6" s="7" t="s">
        <v>201</v>
      </c>
      <c r="D6" s="7"/>
      <c r="E6" s="7"/>
      <c r="F6" s="7" t="s">
        <v>211</v>
      </c>
    </row>
    <row r="7" spans="1:9" x14ac:dyDescent="0.25">
      <c r="A7" s="7" t="s">
        <v>0</v>
      </c>
      <c r="B7" s="7" t="s">
        <v>7</v>
      </c>
      <c r="C7" s="7" t="s">
        <v>201</v>
      </c>
      <c r="D7" s="7"/>
      <c r="E7" s="7"/>
      <c r="F7" s="7" t="s">
        <v>211</v>
      </c>
    </row>
    <row r="8" spans="1:9" x14ac:dyDescent="0.25">
      <c r="A8" s="7" t="s">
        <v>155</v>
      </c>
      <c r="B8" s="7" t="s">
        <v>7</v>
      </c>
      <c r="C8" s="7" t="s">
        <v>200</v>
      </c>
      <c r="D8" s="7"/>
      <c r="E8" s="7"/>
      <c r="F8" s="7"/>
    </row>
    <row r="9" spans="1:9" x14ac:dyDescent="0.25">
      <c r="A9" s="7" t="s">
        <v>156</v>
      </c>
      <c r="B9" s="7" t="s">
        <v>93</v>
      </c>
      <c r="C9" s="7" t="s">
        <v>201</v>
      </c>
      <c r="D9" s="7" t="s">
        <v>239</v>
      </c>
      <c r="E9" s="7">
        <v>8920</v>
      </c>
      <c r="F9" s="7" t="s">
        <v>261</v>
      </c>
    </row>
    <row r="10" spans="1:9" x14ac:dyDescent="0.25">
      <c r="A10" s="7" t="s">
        <v>157</v>
      </c>
      <c r="B10" s="7" t="s">
        <v>7</v>
      </c>
      <c r="C10" s="7" t="s">
        <v>201</v>
      </c>
      <c r="D10" s="7" t="s">
        <v>239</v>
      </c>
      <c r="E10" s="11">
        <v>8920</v>
      </c>
      <c r="F10" s="7" t="s">
        <v>261</v>
      </c>
    </row>
    <row r="11" spans="1:9" x14ac:dyDescent="0.25">
      <c r="A11" s="7" t="s">
        <v>195</v>
      </c>
      <c r="B11" s="7" t="s">
        <v>7</v>
      </c>
      <c r="C11" s="7" t="s">
        <v>200</v>
      </c>
      <c r="D11" s="7" t="s">
        <v>212</v>
      </c>
      <c r="E11" s="7"/>
      <c r="F11" s="7" t="s">
        <v>262</v>
      </c>
    </row>
    <row r="12" spans="1:9" x14ac:dyDescent="0.25">
      <c r="A12" s="7" t="s">
        <v>159</v>
      </c>
      <c r="B12" s="7" t="s">
        <v>160</v>
      </c>
      <c r="C12" s="7" t="s">
        <v>201</v>
      </c>
      <c r="D12" s="7" t="s">
        <v>239</v>
      </c>
      <c r="E12" s="7">
        <v>8920</v>
      </c>
      <c r="F12" s="7" t="s">
        <v>261</v>
      </c>
    </row>
    <row r="13" spans="1:9" x14ac:dyDescent="0.25">
      <c r="A13" s="7" t="s">
        <v>161</v>
      </c>
      <c r="B13" s="7" t="s">
        <v>116</v>
      </c>
      <c r="C13" s="7" t="s">
        <v>201</v>
      </c>
      <c r="D13" s="7" t="s">
        <v>239</v>
      </c>
      <c r="E13" s="7">
        <v>8920</v>
      </c>
      <c r="F13" s="7" t="s">
        <v>261</v>
      </c>
    </row>
    <row r="14" spans="1:9" x14ac:dyDescent="0.25">
      <c r="A14" s="7" t="s">
        <v>162</v>
      </c>
      <c r="B14" s="7" t="s">
        <v>116</v>
      </c>
      <c r="C14" s="7" t="s">
        <v>201</v>
      </c>
      <c r="D14" s="7" t="s">
        <v>239</v>
      </c>
      <c r="E14" s="7">
        <v>8920</v>
      </c>
      <c r="F14" s="7" t="s">
        <v>261</v>
      </c>
    </row>
    <row r="15" spans="1:9" x14ac:dyDescent="0.25">
      <c r="A15" s="7" t="s">
        <v>163</v>
      </c>
      <c r="B15" s="7" t="s">
        <v>67</v>
      </c>
      <c r="C15" s="7" t="s">
        <v>201</v>
      </c>
      <c r="D15" s="7" t="s">
        <v>212</v>
      </c>
      <c r="E15" s="7"/>
      <c r="F15" s="7"/>
    </row>
    <row r="16" spans="1:9" x14ac:dyDescent="0.25">
      <c r="A16" s="7" t="s">
        <v>164</v>
      </c>
      <c r="B16" s="7" t="s">
        <v>120</v>
      </c>
      <c r="C16" s="7" t="s">
        <v>201</v>
      </c>
      <c r="D16" s="7" t="s">
        <v>242</v>
      </c>
      <c r="E16" s="7">
        <v>8924</v>
      </c>
      <c r="F16" s="7"/>
    </row>
    <row r="17" spans="1:6" x14ac:dyDescent="0.25">
      <c r="A17" s="7" t="s">
        <v>12</v>
      </c>
      <c r="B17" s="7" t="s">
        <v>5</v>
      </c>
      <c r="C17" s="7" t="s">
        <v>201</v>
      </c>
      <c r="D17" s="7" t="s">
        <v>241</v>
      </c>
      <c r="E17" s="7">
        <v>8931</v>
      </c>
      <c r="F17" s="7"/>
    </row>
    <row r="18" spans="1:6" x14ac:dyDescent="0.25">
      <c r="A18" s="7" t="s">
        <v>165</v>
      </c>
      <c r="B18" s="7" t="s">
        <v>7</v>
      </c>
      <c r="C18" s="7" t="s">
        <v>200</v>
      </c>
      <c r="D18" s="7"/>
      <c r="E18" s="7"/>
      <c r="F18" s="7"/>
    </row>
    <row r="19" spans="1:6" x14ac:dyDescent="0.25">
      <c r="A19" s="7" t="s">
        <v>156</v>
      </c>
      <c r="B19" s="7" t="s">
        <v>93</v>
      </c>
      <c r="C19" s="7" t="s">
        <v>201</v>
      </c>
      <c r="D19" s="7" t="s">
        <v>243</v>
      </c>
      <c r="E19" s="7">
        <v>8919</v>
      </c>
      <c r="F19" s="7" t="s">
        <v>261</v>
      </c>
    </row>
    <row r="20" spans="1:6" x14ac:dyDescent="0.25">
      <c r="A20" s="7" t="s">
        <v>157</v>
      </c>
      <c r="B20" s="7" t="s">
        <v>7</v>
      </c>
      <c r="C20" s="7" t="s">
        <v>201</v>
      </c>
      <c r="D20" s="7" t="s">
        <v>243</v>
      </c>
      <c r="E20" s="7">
        <v>8919</v>
      </c>
      <c r="F20" s="7" t="s">
        <v>261</v>
      </c>
    </row>
    <row r="21" spans="1:6" x14ac:dyDescent="0.25">
      <c r="A21" s="7" t="s">
        <v>158</v>
      </c>
      <c r="B21" s="7" t="s">
        <v>116</v>
      </c>
      <c r="C21" s="7" t="s">
        <v>201</v>
      </c>
      <c r="D21" s="7" t="s">
        <v>212</v>
      </c>
      <c r="E21" s="7"/>
      <c r="F21" s="7" t="s">
        <v>262</v>
      </c>
    </row>
    <row r="22" spans="1:6" x14ac:dyDescent="0.25">
      <c r="A22" s="7" t="s">
        <v>159</v>
      </c>
      <c r="B22" s="7" t="s">
        <v>160</v>
      </c>
      <c r="C22" s="7" t="s">
        <v>201</v>
      </c>
      <c r="D22" s="7" t="s">
        <v>243</v>
      </c>
      <c r="E22" s="7">
        <v>8919</v>
      </c>
      <c r="F22" s="7" t="s">
        <v>261</v>
      </c>
    </row>
    <row r="23" spans="1:6" x14ac:dyDescent="0.25">
      <c r="A23" s="7" t="s">
        <v>161</v>
      </c>
      <c r="B23" s="7" t="s">
        <v>116</v>
      </c>
      <c r="C23" s="7" t="s">
        <v>201</v>
      </c>
      <c r="D23" s="7" t="s">
        <v>243</v>
      </c>
      <c r="E23" s="7">
        <v>8919</v>
      </c>
      <c r="F23" s="7" t="s">
        <v>261</v>
      </c>
    </row>
    <row r="24" spans="1:6" x14ac:dyDescent="0.25">
      <c r="A24" s="7" t="s">
        <v>162</v>
      </c>
      <c r="B24" s="7" t="s">
        <v>116</v>
      </c>
      <c r="C24" s="7" t="s">
        <v>201</v>
      </c>
      <c r="D24" s="7" t="s">
        <v>243</v>
      </c>
      <c r="E24" s="7">
        <v>8919</v>
      </c>
      <c r="F24" s="7" t="s">
        <v>261</v>
      </c>
    </row>
    <row r="25" spans="1:6" x14ac:dyDescent="0.25">
      <c r="A25" s="7" t="s">
        <v>163</v>
      </c>
      <c r="B25" s="7" t="s">
        <v>67</v>
      </c>
      <c r="C25" s="7" t="s">
        <v>201</v>
      </c>
      <c r="D25" s="7" t="s">
        <v>212</v>
      </c>
      <c r="E25" s="7"/>
      <c r="F25" s="7"/>
    </row>
    <row r="26" spans="1:6" x14ac:dyDescent="0.25">
      <c r="A26" s="7" t="s">
        <v>166</v>
      </c>
      <c r="B26" s="7" t="s">
        <v>150</v>
      </c>
      <c r="C26" s="7" t="s">
        <v>201</v>
      </c>
      <c r="D26" s="7" t="s">
        <v>240</v>
      </c>
      <c r="E26" s="7">
        <v>8929</v>
      </c>
      <c r="F26" s="7"/>
    </row>
    <row r="27" spans="1:6" x14ac:dyDescent="0.25">
      <c r="A27" s="7" t="s">
        <v>167</v>
      </c>
      <c r="B27" s="7" t="s">
        <v>168</v>
      </c>
      <c r="C27" s="7" t="s">
        <v>201</v>
      </c>
      <c r="D27" s="7" t="s">
        <v>240</v>
      </c>
      <c r="E27" s="7">
        <v>8929</v>
      </c>
      <c r="F27" s="7"/>
    </row>
    <row r="28" spans="1:6" x14ac:dyDescent="0.25">
      <c r="A28" s="7" t="s">
        <v>169</v>
      </c>
      <c r="B28" s="7" t="s">
        <v>93</v>
      </c>
      <c r="C28" s="7" t="s">
        <v>201</v>
      </c>
      <c r="D28" s="7" t="s">
        <v>212</v>
      </c>
      <c r="E28" s="7"/>
      <c r="F28" s="7"/>
    </row>
    <row r="29" spans="1:6" x14ac:dyDescent="0.25">
      <c r="A29" s="7" t="s">
        <v>170</v>
      </c>
      <c r="B29" s="7" t="s">
        <v>168</v>
      </c>
      <c r="C29" s="7" t="s">
        <v>201</v>
      </c>
      <c r="D29" s="7" t="s">
        <v>251</v>
      </c>
      <c r="E29" s="11">
        <v>8926</v>
      </c>
      <c r="F29" s="7"/>
    </row>
    <row r="30" spans="1:6" x14ac:dyDescent="0.25">
      <c r="A30" s="7" t="s">
        <v>171</v>
      </c>
      <c r="B30" s="7" t="s">
        <v>93</v>
      </c>
      <c r="C30" s="7" t="s">
        <v>201</v>
      </c>
      <c r="D30" s="7" t="s">
        <v>246</v>
      </c>
      <c r="E30" s="7">
        <v>8911</v>
      </c>
      <c r="F30" s="7"/>
    </row>
    <row r="31" spans="1:6" x14ac:dyDescent="0.25">
      <c r="A31" s="7" t="s">
        <v>172</v>
      </c>
      <c r="B31" s="7" t="s">
        <v>122</v>
      </c>
      <c r="C31" s="7" t="s">
        <v>201</v>
      </c>
      <c r="D31" s="7" t="s">
        <v>244</v>
      </c>
      <c r="E31" s="7">
        <v>8901</v>
      </c>
      <c r="F31" s="7"/>
    </row>
    <row r="32" spans="1:6" x14ac:dyDescent="0.25">
      <c r="A32" s="7" t="s">
        <v>173</v>
      </c>
      <c r="B32" s="7" t="s">
        <v>93</v>
      </c>
      <c r="C32" s="7" t="s">
        <v>201</v>
      </c>
      <c r="D32" s="7" t="s">
        <v>252</v>
      </c>
      <c r="E32" s="11">
        <v>8903</v>
      </c>
      <c r="F32" s="7"/>
    </row>
    <row r="33" spans="1:6" x14ac:dyDescent="0.25">
      <c r="A33" s="7" t="s">
        <v>177</v>
      </c>
      <c r="B33" s="7" t="s">
        <v>93</v>
      </c>
      <c r="C33" s="7" t="s">
        <v>201</v>
      </c>
      <c r="D33" s="7" t="s">
        <v>245</v>
      </c>
      <c r="E33" s="7">
        <v>8908</v>
      </c>
      <c r="F33" s="7"/>
    </row>
    <row r="34" spans="1:6" x14ac:dyDescent="0.25">
      <c r="A34" s="7" t="s">
        <v>178</v>
      </c>
      <c r="B34" s="7" t="s">
        <v>116</v>
      </c>
      <c r="C34" s="7" t="s">
        <v>201</v>
      </c>
      <c r="D34" s="7"/>
      <c r="E34" s="7"/>
      <c r="F34" s="7" t="s">
        <v>211</v>
      </c>
    </row>
    <row r="35" spans="1:6" x14ac:dyDescent="0.25">
      <c r="A35" s="7" t="s">
        <v>179</v>
      </c>
      <c r="B35" s="7" t="s">
        <v>7</v>
      </c>
      <c r="C35" s="7" t="s">
        <v>200</v>
      </c>
      <c r="D35" s="7"/>
      <c r="E35" s="7"/>
      <c r="F35" s="7"/>
    </row>
    <row r="36" spans="1:6" x14ac:dyDescent="0.25">
      <c r="A36" s="7" t="s">
        <v>156</v>
      </c>
      <c r="B36" s="7" t="s">
        <v>93</v>
      </c>
      <c r="C36" s="7" t="s">
        <v>201</v>
      </c>
      <c r="D36" s="7" t="s">
        <v>179</v>
      </c>
      <c r="E36" s="7">
        <v>18571</v>
      </c>
      <c r="F36" s="7" t="s">
        <v>261</v>
      </c>
    </row>
    <row r="37" spans="1:6" x14ac:dyDescent="0.25">
      <c r="A37" s="7" t="s">
        <v>157</v>
      </c>
      <c r="B37" s="7" t="s">
        <v>7</v>
      </c>
      <c r="C37" s="7" t="s">
        <v>201</v>
      </c>
      <c r="D37" s="7" t="s">
        <v>179</v>
      </c>
      <c r="E37" s="7">
        <v>18571</v>
      </c>
      <c r="F37" s="7" t="s">
        <v>261</v>
      </c>
    </row>
    <row r="38" spans="1:6" x14ac:dyDescent="0.25">
      <c r="A38" s="7" t="s">
        <v>158</v>
      </c>
      <c r="B38" s="7" t="s">
        <v>116</v>
      </c>
      <c r="C38" s="7" t="s">
        <v>201</v>
      </c>
      <c r="D38" s="7" t="s">
        <v>212</v>
      </c>
      <c r="E38" s="7"/>
      <c r="F38" s="7" t="s">
        <v>262</v>
      </c>
    </row>
    <row r="39" spans="1:6" x14ac:dyDescent="0.25">
      <c r="A39" s="7" t="s">
        <v>159</v>
      </c>
      <c r="B39" s="7" t="s">
        <v>160</v>
      </c>
      <c r="C39" s="7" t="s">
        <v>201</v>
      </c>
      <c r="D39" s="7" t="s">
        <v>179</v>
      </c>
      <c r="E39" s="7">
        <v>18571</v>
      </c>
      <c r="F39" s="7" t="s">
        <v>261</v>
      </c>
    </row>
    <row r="40" spans="1:6" x14ac:dyDescent="0.25">
      <c r="A40" s="7" t="s">
        <v>161</v>
      </c>
      <c r="B40" s="7" t="s">
        <v>116</v>
      </c>
      <c r="C40" s="7" t="s">
        <v>201</v>
      </c>
      <c r="D40" s="7" t="s">
        <v>179</v>
      </c>
      <c r="E40" s="7">
        <v>18571</v>
      </c>
      <c r="F40" s="7" t="s">
        <v>261</v>
      </c>
    </row>
    <row r="41" spans="1:6" x14ac:dyDescent="0.25">
      <c r="A41" s="7" t="s">
        <v>162</v>
      </c>
      <c r="B41" s="7" t="s">
        <v>116</v>
      </c>
      <c r="C41" s="7" t="s">
        <v>201</v>
      </c>
      <c r="D41" s="7" t="s">
        <v>179</v>
      </c>
      <c r="E41" s="7">
        <v>18571</v>
      </c>
      <c r="F41" s="7" t="s">
        <v>261</v>
      </c>
    </row>
    <row r="42" spans="1:6" x14ac:dyDescent="0.25">
      <c r="A42" s="7" t="s">
        <v>180</v>
      </c>
      <c r="B42" s="7" t="s">
        <v>114</v>
      </c>
      <c r="C42" s="7" t="s">
        <v>201</v>
      </c>
      <c r="D42" s="7" t="s">
        <v>247</v>
      </c>
      <c r="E42" s="7">
        <v>18580</v>
      </c>
      <c r="F42" s="7"/>
    </row>
    <row r="43" spans="1:6" x14ac:dyDescent="0.25">
      <c r="A43" s="7" t="s">
        <v>181</v>
      </c>
      <c r="B43" s="7" t="s">
        <v>67</v>
      </c>
      <c r="C43" s="7" t="s">
        <v>201</v>
      </c>
      <c r="D43" s="7" t="s">
        <v>248</v>
      </c>
      <c r="E43" s="7">
        <v>18578</v>
      </c>
      <c r="F43" s="7"/>
    </row>
    <row r="44" spans="1:6" x14ac:dyDescent="0.25">
      <c r="A44" s="7" t="s">
        <v>182</v>
      </c>
      <c r="B44" s="7" t="s">
        <v>67</v>
      </c>
      <c r="C44" s="7" t="s">
        <v>201</v>
      </c>
      <c r="D44" s="7" t="s">
        <v>203</v>
      </c>
      <c r="E44" s="7"/>
      <c r="F44" s="7"/>
    </row>
    <row r="45" spans="1:6" x14ac:dyDescent="0.25">
      <c r="A45" s="7" t="s">
        <v>156</v>
      </c>
      <c r="B45" s="7" t="s">
        <v>93</v>
      </c>
      <c r="C45" s="7" t="s">
        <v>201</v>
      </c>
      <c r="D45" s="7" t="s">
        <v>182</v>
      </c>
      <c r="E45" s="7">
        <v>18573</v>
      </c>
      <c r="F45" s="7" t="s">
        <v>261</v>
      </c>
    </row>
    <row r="46" spans="1:6" x14ac:dyDescent="0.25">
      <c r="A46" s="7" t="s">
        <v>157</v>
      </c>
      <c r="B46" s="7" t="s">
        <v>7</v>
      </c>
      <c r="C46" s="7" t="s">
        <v>201</v>
      </c>
      <c r="D46" s="7" t="s">
        <v>182</v>
      </c>
      <c r="E46" s="7">
        <v>18573</v>
      </c>
      <c r="F46" s="7" t="s">
        <v>261</v>
      </c>
    </row>
    <row r="47" spans="1:6" x14ac:dyDescent="0.25">
      <c r="A47" s="7" t="s">
        <v>158</v>
      </c>
      <c r="B47" s="7" t="s">
        <v>116</v>
      </c>
      <c r="C47" s="7" t="s">
        <v>201</v>
      </c>
      <c r="D47" s="7" t="s">
        <v>212</v>
      </c>
      <c r="E47" s="7"/>
      <c r="F47" s="7" t="s">
        <v>262</v>
      </c>
    </row>
    <row r="48" spans="1:6" x14ac:dyDescent="0.25">
      <c r="A48" s="7" t="s">
        <v>159</v>
      </c>
      <c r="B48" s="7" t="s">
        <v>160</v>
      </c>
      <c r="C48" s="7" t="s">
        <v>201</v>
      </c>
      <c r="D48" s="7" t="s">
        <v>182</v>
      </c>
      <c r="E48" s="7">
        <v>18573</v>
      </c>
      <c r="F48" s="7" t="s">
        <v>261</v>
      </c>
    </row>
    <row r="49" spans="1:6" x14ac:dyDescent="0.25">
      <c r="A49" s="7" t="s">
        <v>161</v>
      </c>
      <c r="B49" s="7" t="s">
        <v>116</v>
      </c>
      <c r="C49" s="7" t="s">
        <v>201</v>
      </c>
      <c r="D49" s="7" t="s">
        <v>182</v>
      </c>
      <c r="E49" s="7">
        <v>18573</v>
      </c>
      <c r="F49" s="7" t="s">
        <v>261</v>
      </c>
    </row>
    <row r="50" spans="1:6" x14ac:dyDescent="0.25">
      <c r="A50" s="7" t="s">
        <v>162</v>
      </c>
      <c r="B50" s="7" t="s">
        <v>116</v>
      </c>
      <c r="C50" s="7" t="s">
        <v>201</v>
      </c>
      <c r="D50" s="7" t="s">
        <v>182</v>
      </c>
      <c r="E50" s="7">
        <v>18573</v>
      </c>
      <c r="F50" s="7" t="s">
        <v>261</v>
      </c>
    </row>
    <row r="51" spans="1:6" x14ac:dyDescent="0.25">
      <c r="A51" s="7" t="s">
        <v>183</v>
      </c>
      <c r="B51" s="7" t="s">
        <v>184</v>
      </c>
      <c r="C51" s="7" t="s">
        <v>201</v>
      </c>
      <c r="D51" s="7" t="s">
        <v>249</v>
      </c>
      <c r="E51" s="7">
        <v>18581</v>
      </c>
      <c r="F51" s="7"/>
    </row>
    <row r="52" spans="1:6" x14ac:dyDescent="0.25">
      <c r="A52" s="7" t="s">
        <v>185</v>
      </c>
      <c r="B52" s="7" t="s">
        <v>114</v>
      </c>
      <c r="C52" s="7" t="s">
        <v>201</v>
      </c>
      <c r="D52" s="7"/>
      <c r="E52" s="7"/>
      <c r="F52" s="7" t="s">
        <v>211</v>
      </c>
    </row>
    <row r="53" spans="1:6" x14ac:dyDescent="0.25">
      <c r="A53" s="7" t="s">
        <v>186</v>
      </c>
      <c r="B53" s="7" t="s">
        <v>118</v>
      </c>
      <c r="C53" s="7" t="s">
        <v>201</v>
      </c>
      <c r="D53" s="7" t="s">
        <v>250</v>
      </c>
      <c r="E53" s="7">
        <v>18579</v>
      </c>
      <c r="F53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workbookViewId="0"/>
  </sheetViews>
  <sheetFormatPr defaultRowHeight="15" x14ac:dyDescent="0.25"/>
  <cols>
    <col min="1" max="1" width="62.5703125" bestFit="1" customWidth="1"/>
    <col min="2" max="2" width="43.7109375" customWidth="1"/>
    <col min="3" max="3" width="9.42578125" customWidth="1"/>
    <col min="4" max="4" width="23.140625" customWidth="1"/>
    <col min="5" max="5" width="6.85546875" bestFit="1" customWidth="1"/>
    <col min="6" max="6" width="35.140625" bestFit="1" customWidth="1"/>
  </cols>
  <sheetData>
    <row r="1" spans="1:9" x14ac:dyDescent="0.25">
      <c r="A1" s="1" t="s">
        <v>0</v>
      </c>
      <c r="B1" s="1" t="s">
        <v>1</v>
      </c>
      <c r="C1" s="2" t="s">
        <v>196</v>
      </c>
      <c r="D1" s="2" t="s">
        <v>197</v>
      </c>
      <c r="E1" s="3" t="s">
        <v>198</v>
      </c>
      <c r="F1" s="2" t="s">
        <v>199</v>
      </c>
      <c r="H1" s="4" t="s">
        <v>200</v>
      </c>
      <c r="I1">
        <f>COUNTIF(C:C,$H1)</f>
        <v>3</v>
      </c>
    </row>
    <row r="2" spans="1:9" x14ac:dyDescent="0.25">
      <c r="A2" s="7" t="s">
        <v>149</v>
      </c>
      <c r="B2" s="7" t="s">
        <v>150</v>
      </c>
      <c r="C2" s="7" t="s">
        <v>201</v>
      </c>
      <c r="D2" s="7"/>
      <c r="E2" s="7"/>
      <c r="F2" s="7" t="s">
        <v>263</v>
      </c>
      <c r="H2" s="5" t="s">
        <v>201</v>
      </c>
      <c r="I2">
        <f>COUNTIF(C:C,$H2)</f>
        <v>51</v>
      </c>
    </row>
    <row r="3" spans="1:9" x14ac:dyDescent="0.25">
      <c r="A3" s="7" t="s">
        <v>151</v>
      </c>
      <c r="B3" s="7" t="s">
        <v>116</v>
      </c>
      <c r="C3" s="7" t="s">
        <v>201</v>
      </c>
      <c r="D3" s="7"/>
      <c r="E3" s="7"/>
      <c r="F3" s="7" t="s">
        <v>263</v>
      </c>
      <c r="I3" s="6">
        <f>I1/SUM(I1:I2)</f>
        <v>5.5555555555555552E-2</v>
      </c>
    </row>
    <row r="4" spans="1:9" x14ac:dyDescent="0.25">
      <c r="A4" s="7" t="s">
        <v>152</v>
      </c>
      <c r="B4" s="7" t="s">
        <v>7</v>
      </c>
      <c r="C4" s="7" t="s">
        <v>201</v>
      </c>
      <c r="D4" s="7"/>
      <c r="E4" s="7"/>
      <c r="F4" s="7" t="s">
        <v>263</v>
      </c>
    </row>
    <row r="5" spans="1:9" x14ac:dyDescent="0.25">
      <c r="A5" s="7" t="s">
        <v>153</v>
      </c>
      <c r="B5" s="7" t="s">
        <v>7</v>
      </c>
      <c r="C5" s="7" t="s">
        <v>201</v>
      </c>
      <c r="D5" s="7"/>
      <c r="E5" s="7"/>
      <c r="F5" s="7" t="s">
        <v>263</v>
      </c>
    </row>
    <row r="6" spans="1:9" x14ac:dyDescent="0.25">
      <c r="A6" s="7" t="s">
        <v>154</v>
      </c>
      <c r="B6" s="7" t="s">
        <v>7</v>
      </c>
      <c r="C6" s="7" t="s">
        <v>201</v>
      </c>
      <c r="D6" s="7"/>
      <c r="E6" s="7"/>
      <c r="F6" s="7" t="s">
        <v>263</v>
      </c>
    </row>
    <row r="7" spans="1:9" x14ac:dyDescent="0.25">
      <c r="A7" s="7" t="s">
        <v>0</v>
      </c>
      <c r="B7" s="7" t="s">
        <v>7</v>
      </c>
      <c r="C7" s="7" t="s">
        <v>201</v>
      </c>
      <c r="D7" s="7"/>
      <c r="E7" s="7"/>
      <c r="F7" s="7" t="s">
        <v>263</v>
      </c>
    </row>
    <row r="8" spans="1:9" x14ac:dyDescent="0.25">
      <c r="A8" s="7" t="s">
        <v>155</v>
      </c>
      <c r="B8" s="7" t="s">
        <v>7</v>
      </c>
      <c r="C8" s="7" t="s">
        <v>200</v>
      </c>
      <c r="D8" s="7"/>
      <c r="E8" s="7"/>
      <c r="F8" s="7"/>
    </row>
    <row r="9" spans="1:9" x14ac:dyDescent="0.25">
      <c r="A9" s="7" t="s">
        <v>156</v>
      </c>
      <c r="B9" s="7" t="s">
        <v>93</v>
      </c>
      <c r="C9" s="7" t="s">
        <v>201</v>
      </c>
      <c r="D9" s="7" t="s">
        <v>239</v>
      </c>
      <c r="E9" s="7">
        <v>8920</v>
      </c>
      <c r="F9" s="7" t="s">
        <v>261</v>
      </c>
    </row>
    <row r="10" spans="1:9" x14ac:dyDescent="0.25">
      <c r="A10" s="7" t="s">
        <v>157</v>
      </c>
      <c r="B10" s="7" t="s">
        <v>7</v>
      </c>
      <c r="C10" s="7" t="s">
        <v>201</v>
      </c>
      <c r="D10" s="7" t="s">
        <v>239</v>
      </c>
      <c r="E10" s="7">
        <v>8920</v>
      </c>
      <c r="F10" s="7" t="s">
        <v>261</v>
      </c>
    </row>
    <row r="11" spans="1:9" x14ac:dyDescent="0.25">
      <c r="A11" s="7" t="s">
        <v>158</v>
      </c>
      <c r="B11" s="7" t="s">
        <v>116</v>
      </c>
      <c r="C11" s="7" t="s">
        <v>201</v>
      </c>
      <c r="D11" s="7" t="s">
        <v>212</v>
      </c>
      <c r="E11" s="7"/>
      <c r="F11" s="7" t="s">
        <v>262</v>
      </c>
    </row>
    <row r="12" spans="1:9" x14ac:dyDescent="0.25">
      <c r="A12" s="7" t="s">
        <v>159</v>
      </c>
      <c r="B12" s="7" t="s">
        <v>160</v>
      </c>
      <c r="C12" s="7" t="s">
        <v>201</v>
      </c>
      <c r="D12" s="7" t="s">
        <v>239</v>
      </c>
      <c r="E12" s="7">
        <v>8920</v>
      </c>
      <c r="F12" s="7" t="s">
        <v>261</v>
      </c>
    </row>
    <row r="13" spans="1:9" x14ac:dyDescent="0.25">
      <c r="A13" s="7" t="s">
        <v>161</v>
      </c>
      <c r="B13" s="7" t="s">
        <v>116</v>
      </c>
      <c r="C13" s="7" t="s">
        <v>201</v>
      </c>
      <c r="D13" s="7" t="s">
        <v>239</v>
      </c>
      <c r="E13" s="7">
        <v>8920</v>
      </c>
      <c r="F13" s="7" t="s">
        <v>261</v>
      </c>
    </row>
    <row r="14" spans="1:9" x14ac:dyDescent="0.25">
      <c r="A14" s="7" t="s">
        <v>162</v>
      </c>
      <c r="B14" s="7" t="s">
        <v>116</v>
      </c>
      <c r="C14" s="7" t="s">
        <v>201</v>
      </c>
      <c r="D14" s="7" t="s">
        <v>239</v>
      </c>
      <c r="E14" s="7">
        <v>8920</v>
      </c>
      <c r="F14" s="7" t="s">
        <v>261</v>
      </c>
    </row>
    <row r="15" spans="1:9" x14ac:dyDescent="0.25">
      <c r="A15" s="7" t="s">
        <v>163</v>
      </c>
      <c r="B15" s="7" t="s">
        <v>67</v>
      </c>
      <c r="C15" s="7" t="s">
        <v>201</v>
      </c>
      <c r="D15" s="7" t="s">
        <v>212</v>
      </c>
      <c r="E15" s="7"/>
      <c r="F15" s="7"/>
    </row>
    <row r="16" spans="1:9" x14ac:dyDescent="0.25">
      <c r="A16" s="7" t="s">
        <v>164</v>
      </c>
      <c r="B16" s="7" t="s">
        <v>120</v>
      </c>
      <c r="C16" s="7" t="s">
        <v>201</v>
      </c>
      <c r="D16" s="7" t="s">
        <v>242</v>
      </c>
      <c r="E16" s="7">
        <v>8924</v>
      </c>
      <c r="F16" s="7"/>
    </row>
    <row r="17" spans="1:6" x14ac:dyDescent="0.25">
      <c r="A17" s="7" t="s">
        <v>12</v>
      </c>
      <c r="B17" s="7" t="s">
        <v>5</v>
      </c>
      <c r="C17" s="7" t="s">
        <v>201</v>
      </c>
      <c r="D17" s="7" t="s">
        <v>241</v>
      </c>
      <c r="E17" s="7">
        <v>8931</v>
      </c>
      <c r="F17" s="7"/>
    </row>
    <row r="18" spans="1:6" x14ac:dyDescent="0.25">
      <c r="A18" s="7" t="s">
        <v>165</v>
      </c>
      <c r="B18" s="7" t="s">
        <v>7</v>
      </c>
      <c r="C18" s="7" t="s">
        <v>200</v>
      </c>
      <c r="D18" s="7"/>
      <c r="E18" s="7"/>
      <c r="F18" s="7"/>
    </row>
    <row r="19" spans="1:6" x14ac:dyDescent="0.25">
      <c r="A19" s="7" t="s">
        <v>156</v>
      </c>
      <c r="B19" s="7" t="s">
        <v>93</v>
      </c>
      <c r="C19" s="7" t="s">
        <v>201</v>
      </c>
      <c r="D19" s="7" t="s">
        <v>243</v>
      </c>
      <c r="E19" s="7">
        <v>8919</v>
      </c>
      <c r="F19" s="7" t="s">
        <v>261</v>
      </c>
    </row>
    <row r="20" spans="1:6" x14ac:dyDescent="0.25">
      <c r="A20" s="7" t="s">
        <v>157</v>
      </c>
      <c r="B20" s="7" t="s">
        <v>7</v>
      </c>
      <c r="C20" s="7" t="s">
        <v>201</v>
      </c>
      <c r="D20" s="7" t="s">
        <v>243</v>
      </c>
      <c r="E20" s="7">
        <v>8919</v>
      </c>
      <c r="F20" s="7" t="s">
        <v>261</v>
      </c>
    </row>
    <row r="21" spans="1:6" x14ac:dyDescent="0.25">
      <c r="A21" s="7" t="s">
        <v>158</v>
      </c>
      <c r="B21" s="7" t="s">
        <v>116</v>
      </c>
      <c r="C21" s="7" t="s">
        <v>201</v>
      </c>
      <c r="D21" s="7" t="s">
        <v>212</v>
      </c>
      <c r="E21" s="7"/>
      <c r="F21" s="7" t="s">
        <v>262</v>
      </c>
    </row>
    <row r="22" spans="1:6" x14ac:dyDescent="0.25">
      <c r="A22" s="7" t="s">
        <v>159</v>
      </c>
      <c r="B22" s="7" t="s">
        <v>160</v>
      </c>
      <c r="C22" s="7" t="s">
        <v>201</v>
      </c>
      <c r="D22" s="7" t="s">
        <v>243</v>
      </c>
      <c r="E22" s="7">
        <v>8919</v>
      </c>
      <c r="F22" s="7" t="s">
        <v>261</v>
      </c>
    </row>
    <row r="23" spans="1:6" x14ac:dyDescent="0.25">
      <c r="A23" s="7" t="s">
        <v>161</v>
      </c>
      <c r="B23" s="7" t="s">
        <v>116</v>
      </c>
      <c r="C23" s="7" t="s">
        <v>201</v>
      </c>
      <c r="D23" s="7" t="s">
        <v>243</v>
      </c>
      <c r="E23" s="7">
        <v>8919</v>
      </c>
      <c r="F23" s="7" t="s">
        <v>261</v>
      </c>
    </row>
    <row r="24" spans="1:6" x14ac:dyDescent="0.25">
      <c r="A24" s="7" t="s">
        <v>162</v>
      </c>
      <c r="B24" s="7" t="s">
        <v>116</v>
      </c>
      <c r="C24" s="7" t="s">
        <v>201</v>
      </c>
      <c r="D24" s="7" t="s">
        <v>243</v>
      </c>
      <c r="E24" s="7">
        <v>8919</v>
      </c>
      <c r="F24" s="7" t="s">
        <v>261</v>
      </c>
    </row>
    <row r="25" spans="1:6" x14ac:dyDescent="0.25">
      <c r="A25" s="7" t="s">
        <v>163</v>
      </c>
      <c r="B25" s="7" t="s">
        <v>67</v>
      </c>
      <c r="C25" s="7" t="s">
        <v>201</v>
      </c>
      <c r="D25" s="7" t="s">
        <v>212</v>
      </c>
      <c r="E25" s="7"/>
      <c r="F25" s="7"/>
    </row>
    <row r="26" spans="1:6" x14ac:dyDescent="0.25">
      <c r="A26" s="7" t="s">
        <v>166</v>
      </c>
      <c r="B26" s="7" t="s">
        <v>150</v>
      </c>
      <c r="C26" s="7" t="s">
        <v>201</v>
      </c>
      <c r="D26" s="7" t="s">
        <v>240</v>
      </c>
      <c r="E26" s="7">
        <v>8929</v>
      </c>
      <c r="F26" s="7"/>
    </row>
    <row r="27" spans="1:6" x14ac:dyDescent="0.25">
      <c r="A27" s="7" t="s">
        <v>167</v>
      </c>
      <c r="B27" s="7" t="s">
        <v>168</v>
      </c>
      <c r="C27" s="7" t="s">
        <v>201</v>
      </c>
      <c r="D27" s="7" t="s">
        <v>240</v>
      </c>
      <c r="E27" s="7">
        <v>8929</v>
      </c>
      <c r="F27" s="7"/>
    </row>
    <row r="28" spans="1:6" x14ac:dyDescent="0.25">
      <c r="A28" s="7" t="s">
        <v>169</v>
      </c>
      <c r="B28" s="7" t="s">
        <v>93</v>
      </c>
      <c r="C28" s="7" t="s">
        <v>201</v>
      </c>
      <c r="D28" s="7" t="s">
        <v>212</v>
      </c>
      <c r="E28" s="7"/>
      <c r="F28" s="7"/>
    </row>
    <row r="29" spans="1:6" x14ac:dyDescent="0.25">
      <c r="A29" s="7" t="s">
        <v>170</v>
      </c>
      <c r="B29" s="7" t="s">
        <v>168</v>
      </c>
      <c r="C29" s="7" t="s">
        <v>201</v>
      </c>
      <c r="D29" s="7" t="s">
        <v>251</v>
      </c>
      <c r="E29" s="7">
        <v>8926</v>
      </c>
      <c r="F29" s="7"/>
    </row>
    <row r="30" spans="1:6" x14ac:dyDescent="0.25">
      <c r="A30" s="7" t="s">
        <v>171</v>
      </c>
      <c r="B30" s="7" t="s">
        <v>93</v>
      </c>
      <c r="C30" s="7" t="s">
        <v>201</v>
      </c>
      <c r="D30" s="7" t="s">
        <v>246</v>
      </c>
      <c r="E30" s="7">
        <v>8911</v>
      </c>
      <c r="F30" s="7"/>
    </row>
    <row r="31" spans="1:6" x14ac:dyDescent="0.25">
      <c r="A31" s="7" t="s">
        <v>172</v>
      </c>
      <c r="B31" s="7" t="s">
        <v>122</v>
      </c>
      <c r="C31" s="7" t="s">
        <v>201</v>
      </c>
      <c r="D31" s="7" t="s">
        <v>244</v>
      </c>
      <c r="E31" s="7">
        <v>8901</v>
      </c>
      <c r="F31" s="7"/>
    </row>
    <row r="32" spans="1:6" x14ac:dyDescent="0.25">
      <c r="A32" s="7" t="s">
        <v>173</v>
      </c>
      <c r="B32" s="7" t="s">
        <v>93</v>
      </c>
      <c r="C32" s="7" t="s">
        <v>201</v>
      </c>
      <c r="D32" s="7" t="s">
        <v>252</v>
      </c>
      <c r="E32" s="7">
        <v>8903</v>
      </c>
      <c r="F32" s="7"/>
    </row>
    <row r="33" spans="1:6" x14ac:dyDescent="0.25">
      <c r="A33" s="7" t="s">
        <v>174</v>
      </c>
      <c r="B33" s="7" t="s">
        <v>106</v>
      </c>
      <c r="C33" s="7" t="s">
        <v>201</v>
      </c>
      <c r="D33" s="7" t="s">
        <v>253</v>
      </c>
      <c r="E33" s="7">
        <v>8906</v>
      </c>
      <c r="F33" s="7"/>
    </row>
    <row r="34" spans="1:6" x14ac:dyDescent="0.25">
      <c r="A34" s="7" t="s">
        <v>175</v>
      </c>
      <c r="B34" s="7" t="s">
        <v>176</v>
      </c>
      <c r="C34" s="7" t="s">
        <v>201</v>
      </c>
      <c r="D34" s="7" t="s">
        <v>254</v>
      </c>
      <c r="E34" s="7">
        <v>8921</v>
      </c>
      <c r="F34" s="7"/>
    </row>
    <row r="35" spans="1:6" x14ac:dyDescent="0.25">
      <c r="A35" s="7" t="s">
        <v>177</v>
      </c>
      <c r="B35" s="7" t="s">
        <v>93</v>
      </c>
      <c r="C35" s="7" t="s">
        <v>201</v>
      </c>
      <c r="D35" s="7" t="s">
        <v>245</v>
      </c>
      <c r="E35" s="7">
        <v>8908</v>
      </c>
      <c r="F35" s="7"/>
    </row>
    <row r="36" spans="1:6" x14ac:dyDescent="0.25">
      <c r="A36" s="7" t="s">
        <v>178</v>
      </c>
      <c r="B36" s="7" t="s">
        <v>116</v>
      </c>
      <c r="C36" s="7" t="s">
        <v>201</v>
      </c>
      <c r="D36" s="7"/>
      <c r="E36" s="7"/>
      <c r="F36" s="7" t="s">
        <v>263</v>
      </c>
    </row>
    <row r="37" spans="1:6" x14ac:dyDescent="0.25">
      <c r="A37" s="7" t="s">
        <v>179</v>
      </c>
      <c r="B37" s="7" t="s">
        <v>7</v>
      </c>
      <c r="C37" s="7" t="s">
        <v>200</v>
      </c>
      <c r="D37" s="7"/>
      <c r="E37" s="7"/>
      <c r="F37" s="7"/>
    </row>
    <row r="38" spans="1:6" x14ac:dyDescent="0.25">
      <c r="A38" s="7" t="s">
        <v>156</v>
      </c>
      <c r="B38" s="7" t="s">
        <v>93</v>
      </c>
      <c r="C38" s="7" t="s">
        <v>201</v>
      </c>
      <c r="D38" s="7" t="s">
        <v>179</v>
      </c>
      <c r="E38" s="7">
        <v>18571</v>
      </c>
      <c r="F38" s="7" t="s">
        <v>261</v>
      </c>
    </row>
    <row r="39" spans="1:6" x14ac:dyDescent="0.25">
      <c r="A39" s="7" t="s">
        <v>157</v>
      </c>
      <c r="B39" s="7" t="s">
        <v>7</v>
      </c>
      <c r="C39" s="7" t="s">
        <v>201</v>
      </c>
      <c r="D39" s="7" t="s">
        <v>179</v>
      </c>
      <c r="E39" s="7">
        <v>18571</v>
      </c>
      <c r="F39" s="7" t="s">
        <v>261</v>
      </c>
    </row>
    <row r="40" spans="1:6" x14ac:dyDescent="0.25">
      <c r="A40" s="7" t="s">
        <v>158</v>
      </c>
      <c r="B40" s="7" t="s">
        <v>116</v>
      </c>
      <c r="C40" s="7" t="s">
        <v>201</v>
      </c>
      <c r="D40" s="7" t="s">
        <v>212</v>
      </c>
      <c r="E40" s="7"/>
      <c r="F40" s="7" t="s">
        <v>262</v>
      </c>
    </row>
    <row r="41" spans="1:6" x14ac:dyDescent="0.25">
      <c r="A41" s="7" t="s">
        <v>159</v>
      </c>
      <c r="B41" s="7" t="s">
        <v>160</v>
      </c>
      <c r="C41" s="7" t="s">
        <v>201</v>
      </c>
      <c r="D41" s="7" t="s">
        <v>179</v>
      </c>
      <c r="E41" s="7">
        <v>18571</v>
      </c>
      <c r="F41" s="7" t="s">
        <v>261</v>
      </c>
    </row>
    <row r="42" spans="1:6" x14ac:dyDescent="0.25">
      <c r="A42" s="7" t="s">
        <v>161</v>
      </c>
      <c r="B42" s="7" t="s">
        <v>116</v>
      </c>
      <c r="C42" s="7" t="s">
        <v>201</v>
      </c>
      <c r="D42" s="7" t="s">
        <v>179</v>
      </c>
      <c r="E42" s="7">
        <v>18571</v>
      </c>
      <c r="F42" s="7" t="s">
        <v>261</v>
      </c>
    </row>
    <row r="43" spans="1:6" x14ac:dyDescent="0.25">
      <c r="A43" s="7" t="s">
        <v>162</v>
      </c>
      <c r="B43" s="7" t="s">
        <v>116</v>
      </c>
      <c r="C43" s="7" t="s">
        <v>201</v>
      </c>
      <c r="D43" s="7" t="s">
        <v>179</v>
      </c>
      <c r="E43" s="7">
        <v>18571</v>
      </c>
      <c r="F43" s="7" t="s">
        <v>261</v>
      </c>
    </row>
    <row r="44" spans="1:6" x14ac:dyDescent="0.25">
      <c r="A44" s="7" t="s">
        <v>180</v>
      </c>
      <c r="B44" s="7" t="s">
        <v>114</v>
      </c>
      <c r="C44" s="7" t="s">
        <v>201</v>
      </c>
      <c r="D44" s="7" t="s">
        <v>247</v>
      </c>
      <c r="E44" s="7">
        <v>18580</v>
      </c>
      <c r="F44" s="7"/>
    </row>
    <row r="45" spans="1:6" x14ac:dyDescent="0.25">
      <c r="A45" s="7" t="s">
        <v>181</v>
      </c>
      <c r="B45" s="7" t="s">
        <v>67</v>
      </c>
      <c r="C45" s="7" t="s">
        <v>201</v>
      </c>
      <c r="D45" s="7" t="s">
        <v>248</v>
      </c>
      <c r="E45" s="7">
        <v>18578</v>
      </c>
      <c r="F45" s="7"/>
    </row>
    <row r="46" spans="1:6" x14ac:dyDescent="0.25">
      <c r="A46" s="7" t="s">
        <v>182</v>
      </c>
      <c r="B46" s="7" t="s">
        <v>67</v>
      </c>
      <c r="C46" s="7" t="s">
        <v>201</v>
      </c>
      <c r="D46" s="7" t="s">
        <v>203</v>
      </c>
      <c r="E46" s="7"/>
      <c r="F46" s="7"/>
    </row>
    <row r="47" spans="1:6" x14ac:dyDescent="0.25">
      <c r="A47" s="7" t="s">
        <v>156</v>
      </c>
      <c r="B47" s="7" t="s">
        <v>93</v>
      </c>
      <c r="C47" s="7" t="s">
        <v>201</v>
      </c>
      <c r="D47" s="7" t="s">
        <v>182</v>
      </c>
      <c r="E47" s="7">
        <v>18573</v>
      </c>
      <c r="F47" s="7" t="s">
        <v>261</v>
      </c>
    </row>
    <row r="48" spans="1:6" x14ac:dyDescent="0.25">
      <c r="A48" s="7" t="s">
        <v>157</v>
      </c>
      <c r="B48" s="7" t="s">
        <v>7</v>
      </c>
      <c r="C48" s="7" t="s">
        <v>201</v>
      </c>
      <c r="D48" s="7" t="s">
        <v>182</v>
      </c>
      <c r="E48" s="7">
        <v>18573</v>
      </c>
      <c r="F48" s="7" t="s">
        <v>261</v>
      </c>
    </row>
    <row r="49" spans="1:6" x14ac:dyDescent="0.25">
      <c r="A49" s="7" t="s">
        <v>158</v>
      </c>
      <c r="B49" s="7" t="s">
        <v>116</v>
      </c>
      <c r="C49" s="7" t="s">
        <v>201</v>
      </c>
      <c r="D49" s="7" t="s">
        <v>212</v>
      </c>
      <c r="E49" s="7"/>
      <c r="F49" s="7" t="s">
        <v>262</v>
      </c>
    </row>
    <row r="50" spans="1:6" x14ac:dyDescent="0.25">
      <c r="A50" s="7" t="s">
        <v>159</v>
      </c>
      <c r="B50" s="7" t="s">
        <v>160</v>
      </c>
      <c r="C50" s="7" t="s">
        <v>201</v>
      </c>
      <c r="D50" s="7" t="s">
        <v>182</v>
      </c>
      <c r="E50" s="7">
        <v>18573</v>
      </c>
      <c r="F50" s="7" t="s">
        <v>261</v>
      </c>
    </row>
    <row r="51" spans="1:6" x14ac:dyDescent="0.25">
      <c r="A51" s="7" t="s">
        <v>161</v>
      </c>
      <c r="B51" s="7" t="s">
        <v>116</v>
      </c>
      <c r="C51" s="7" t="s">
        <v>201</v>
      </c>
      <c r="D51" s="7" t="s">
        <v>182</v>
      </c>
      <c r="E51" s="7">
        <v>18573</v>
      </c>
      <c r="F51" s="7" t="s">
        <v>261</v>
      </c>
    </row>
    <row r="52" spans="1:6" x14ac:dyDescent="0.25">
      <c r="A52" s="7" t="s">
        <v>162</v>
      </c>
      <c r="B52" s="7" t="s">
        <v>116</v>
      </c>
      <c r="C52" s="7" t="s">
        <v>201</v>
      </c>
      <c r="D52" s="7" t="s">
        <v>182</v>
      </c>
      <c r="E52" s="7">
        <v>18573</v>
      </c>
      <c r="F52" s="7" t="s">
        <v>261</v>
      </c>
    </row>
    <row r="53" spans="1:6" x14ac:dyDescent="0.25">
      <c r="A53" s="7" t="s">
        <v>183</v>
      </c>
      <c r="B53" s="7" t="s">
        <v>184</v>
      </c>
      <c r="C53" s="7" t="s">
        <v>201</v>
      </c>
      <c r="D53" s="7" t="s">
        <v>249</v>
      </c>
      <c r="E53" s="7">
        <v>18581</v>
      </c>
      <c r="F53" s="7"/>
    </row>
    <row r="54" spans="1:6" x14ac:dyDescent="0.25">
      <c r="A54" s="7" t="s">
        <v>185</v>
      </c>
      <c r="B54" s="7" t="s">
        <v>114</v>
      </c>
      <c r="C54" s="7" t="s">
        <v>201</v>
      </c>
      <c r="D54" s="7"/>
      <c r="E54" s="7"/>
      <c r="F54" s="7" t="s">
        <v>263</v>
      </c>
    </row>
    <row r="55" spans="1:6" x14ac:dyDescent="0.25">
      <c r="A55" s="7" t="s">
        <v>186</v>
      </c>
      <c r="B55" s="7" t="s">
        <v>118</v>
      </c>
      <c r="C55" s="7" t="s">
        <v>201</v>
      </c>
      <c r="D55" s="7" t="s">
        <v>250</v>
      </c>
      <c r="E55" s="7">
        <v>18579</v>
      </c>
      <c r="F55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Finance - Standalone</vt:lpstr>
      <vt:lpstr>Segment Finance -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2026-06-03T07:22:27Z</dcterms:created>
  <dcterms:modified xsi:type="dcterms:W3CDTF">2026-06-09T10:49:28Z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2026-06-05T06:34:34Z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eb7c81f8-92ec-4836-89f0-74eabd1ad01a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