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CA2BDC83-935C-4EC4-A718-6E579B1CA6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7" r:id="rId5"/>
    <sheet name="Consolidated Cash Flow" sheetId="8" r:id="rId6"/>
    <sheet name="Segment Result_Standalone" sheetId="5" r:id="rId7"/>
    <sheet name="Segment Result_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3"/>
  <c r="I1" i="3"/>
  <c r="I2" i="4"/>
  <c r="I1" i="4"/>
  <c r="I3" i="4" s="1"/>
  <c r="I2" i="7"/>
  <c r="I1" i="7"/>
  <c r="I2" i="8"/>
  <c r="I1" i="8"/>
  <c r="I2" i="5"/>
  <c r="I1" i="5"/>
  <c r="I2" i="6"/>
  <c r="I1" i="6"/>
  <c r="I2" i="1"/>
  <c r="I1" i="1"/>
  <c r="I3" i="1" s="1"/>
  <c r="I3" i="8" l="1"/>
  <c r="I3" i="6"/>
  <c r="I3" i="5"/>
  <c r="I3" i="7"/>
  <c r="I3" i="3"/>
  <c r="I3" i="2"/>
</calcChain>
</file>

<file path=xl/sharedStrings.xml><?xml version="1.0" encoding="utf-8"?>
<sst xmlns="http://schemas.openxmlformats.org/spreadsheetml/2006/main" count="1285" uniqueCount="280">
  <si>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</si>
  <si>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</si>
  <si>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</si>
  <si>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</si>
  <si>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</si>
  <si>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</si>
  <si>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RBI &amp; other inter bank funds</t>
  </si>
  <si>
    <t>Paid-Up Equity Share Capital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</si>
  <si>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</si>
  <si>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</si>
  <si>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</si>
  <si>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</si>
  <si>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</si>
  <si>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</si>
  <si>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</si>
  <si>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</si>
  <si>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</si>
  <si>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</si>
  <si>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</si>
  <si>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</si>
  <si>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&amp; contingencies)</t>
  </si>
  <si>
    <t>Profit/(Loss) from Ordinary Activities after Finance Costs but before Exceptional Items</t>
  </si>
  <si>
    <t>Operating Profit (before Provisions &amp; Contingencies)</t>
  </si>
  <si>
    <t>Lable</t>
  </si>
  <si>
    <t>Provisions (other than tax) and contingencies</t>
  </si>
  <si>
    <t>Changes in Inventories of Finished Goods, Work-In-Progress and Stock-In-Trade</t>
  </si>
  <si>
    <t>of which provisions for Non Performing Assets</t>
  </si>
  <si>
    <t>Tax Expense</t>
  </si>
  <si>
    <t>Exceptional items</t>
  </si>
  <si>
    <t>Other Exceptional Items</t>
  </si>
  <si>
    <t>Profit / (Loss) from ordinary activities before tax</t>
  </si>
  <si>
    <t>Profit/(Loss) From Ordinary Activities before Tax</t>
  </si>
  <si>
    <t>Tax Expenses</t>
  </si>
  <si>
    <t>Net Profit /Loss from ordinary activities after tax</t>
  </si>
  <si>
    <t>Net Profit/(Loss) from Ordinary Activities after Tax</t>
  </si>
  <si>
    <t>Extraordinary items (net of tax expense)</t>
  </si>
  <si>
    <t>Net Profit / (Loss) for the period</t>
  </si>
  <si>
    <t>Net Profit/(Loss) for the Period</t>
  </si>
  <si>
    <t>Share in Profit / (Loss) of associates</t>
  </si>
  <si>
    <t>Share of Profit/(Loss) of Associates/Joint Ventures</t>
  </si>
  <si>
    <t>Minority Interest</t>
  </si>
  <si>
    <t>Net Profit / (Loss) after minority interest</t>
  </si>
  <si>
    <t>Paid up equity Share Capital (Face value Rs. 2/- each)</t>
  </si>
  <si>
    <t>Reserves excluding revaluation reserves (as per Balance sheet of previous year)</t>
  </si>
  <si>
    <t>Reserve excluding Revaluation Reserves (as per Balance Sheet of Previous Accounting Year)</t>
  </si>
  <si>
    <t>Analytical Ratios</t>
  </si>
  <si>
    <t>Share holding of Govt. of India (%)</t>
  </si>
  <si>
    <t>Total Field</t>
  </si>
  <si>
    <t>Capital Adequacy Ratio-Basel-III (%)</t>
  </si>
  <si>
    <t>CET 1 Ratio (%)</t>
  </si>
  <si>
    <t>b. Percentage of shareholding</t>
  </si>
  <si>
    <t>Additional Tier 1 Ratio (%)</t>
  </si>
  <si>
    <t>Label</t>
  </si>
  <si>
    <t>Earnings per Share (EPS) not annualized (in Rs .)</t>
  </si>
  <si>
    <t>Basic and diluted EPS before extraordinary items</t>
  </si>
  <si>
    <t>Basic EPS</t>
  </si>
  <si>
    <t>Basic and diluted EPS after extraordinary items</t>
  </si>
  <si>
    <t>NPA Ratios</t>
  </si>
  <si>
    <t>Amount of Gross NPAs</t>
  </si>
  <si>
    <t>Amount of Net NPAs</t>
  </si>
  <si>
    <t>% of Gross NPAs</t>
  </si>
  <si>
    <t>% of Net NPAs</t>
  </si>
  <si>
    <t>Return on Assets (Annualised) %</t>
  </si>
  <si>
    <t>Net Worth</t>
  </si>
  <si>
    <t>Outstanding redeemable preference shares (Quantity and Value)</t>
  </si>
  <si>
    <t>Capital redemption reserve / debenture redemption reserve</t>
  </si>
  <si>
    <t>Items that will be reclassified to Profit or Loss</t>
  </si>
  <si>
    <t>Debt-equity ratio (Borrowings / Net Worth)</t>
  </si>
  <si>
    <t>Total Debts to Total Assets (Borrowings / Total Assets)</t>
  </si>
  <si>
    <t>Operating Margin (%) (Operating Profit / Total Income)</t>
  </si>
  <si>
    <t>Net Profit Margin (%) (Net Profit after tax / Total Income)</t>
  </si>
  <si>
    <t>Capital</t>
  </si>
  <si>
    <t>Share Capital</t>
  </si>
  <si>
    <t>Reserves &amp;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</si>
  <si>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</si>
  <si>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</si>
  <si>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</si>
  <si>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</si>
  <si>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</si>
  <si>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</si>
  <si>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</si>
  <si>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</si>
  <si>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</si>
  <si>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&amp; Balances with Reserve Bank of India</t>
  </si>
  <si>
    <t>Cash And Cash Equivalents</t>
  </si>
  <si>
    <t>Balances with Banks &amp; Money at Call &amp; Short Notice</t>
  </si>
  <si>
    <t>Trade Payables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</si>
  <si>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</si>
  <si>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</si>
  <si>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</si>
  <si>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</si>
  <si>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</si>
  <si>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</si>
  <si>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</si>
  <si>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Segment Revenue</t>
  </si>
  <si>
    <t>Total Non-Current Assets</t>
  </si>
  <si>
    <t>Treasury Operations</t>
  </si>
  <si>
    <t>Corporate / Wholesale Banking</t>
  </si>
  <si>
    <t>Other Non-Current Financial Assets</t>
  </si>
  <si>
    <t>Retail Banking</t>
  </si>
  <si>
    <t>Digital Banking</t>
  </si>
  <si>
    <t>Other Retail Banking</t>
  </si>
  <si>
    <t>Bank balance other than cash and cash equivalents</t>
  </si>
  <si>
    <t>Other Banking Operations</t>
  </si>
  <si>
    <t>Total Revenue</t>
  </si>
  <si>
    <t>Total Assets</t>
  </si>
  <si>
    <t>Segment Results</t>
  </si>
  <si>
    <t>NOVAL</t>
  </si>
  <si>
    <t>Total</t>
  </si>
  <si>
    <t>Unallocated Expenditure</t>
  </si>
  <si>
    <t>Profit before Tax</t>
  </si>
  <si>
    <t>Current Tax Liabilities (Net)</t>
  </si>
  <si>
    <t>Provision for Tax</t>
  </si>
  <si>
    <t>Extraordinary items</t>
  </si>
  <si>
    <t>Consolidated Field. Please Ignore</t>
  </si>
  <si>
    <t>Share of Earning in Associates(Net )</t>
  </si>
  <si>
    <t>Net profit</t>
  </si>
  <si>
    <t>Segment Assets</t>
  </si>
  <si>
    <t>Unallocated</t>
  </si>
  <si>
    <t>Segment Liabilities</t>
  </si>
  <si>
    <t>Capital Employed</t>
  </si>
  <si>
    <t>Total Capital Employed</t>
  </si>
  <si>
    <t>Net Profit/ (Loss) before tax</t>
  </si>
  <si>
    <t>Net Profit Before Tax And Exceptional Item</t>
  </si>
  <si>
    <t>Adjustments for</t>
  </si>
  <si>
    <t>Depreciation on fixed assets</t>
  </si>
  <si>
    <t>Depreciation and Amortisation Expense</t>
  </si>
  <si>
    <t>(Profit) / Loss on sale of Fixed Assets (net)</t>
  </si>
  <si>
    <t>Profit On Sale Of Fixed Assets</t>
  </si>
  <si>
    <t>Depreciation/(Release) and Provision on Investments (Net)</t>
  </si>
  <si>
    <t>Interest paid on Bonds</t>
  </si>
  <si>
    <t>Interest Paid</t>
  </si>
  <si>
    <t>Provisions for non performing assets</t>
  </si>
  <si>
    <t>Provisions</t>
  </si>
  <si>
    <t>Provision on Standard Assets</t>
  </si>
  <si>
    <t>Provision For Doubtful Debts</t>
  </si>
  <si>
    <t>Other Provision (net)</t>
  </si>
  <si>
    <t>Adjustments for other financial assets, non-current</t>
  </si>
  <si>
    <t>Dividend from Subsidiary / Others</t>
  </si>
  <si>
    <t>Dividend Received</t>
  </si>
  <si>
    <t>Profit on sale of equity investments held in AFS</t>
  </si>
  <si>
    <t>Profit On Sale Of Investments</t>
  </si>
  <si>
    <t>Income from investment in Subsidiaries/Joint Ventures/Associates</t>
  </si>
  <si>
    <t>Share Of Profit &amp; Loss from Partnership Firm or Association of Persons Etc</t>
  </si>
  <si>
    <t>(Profit)/Loss on sale of Investments held in SBJVAS</t>
  </si>
  <si>
    <t>Loss On Sale Of Fixed Assets</t>
  </si>
  <si>
    <t>Sub Total</t>
  </si>
  <si>
    <t>Cash Generated From Operations</t>
  </si>
  <si>
    <t>Adjustment for :</t>
  </si>
  <si>
    <t>Decrease / (Increase) in Investments</t>
  </si>
  <si>
    <t>Purchase Of Investments</t>
  </si>
  <si>
    <t>Decrease / (Increase) in Advances</t>
  </si>
  <si>
    <t>Loans And Advances</t>
  </si>
  <si>
    <t>Decrease / (Increase) in Other Assets</t>
  </si>
  <si>
    <t>Other Current and Non Current Assets</t>
  </si>
  <si>
    <t>Increase / (Decrease) in Deposits</t>
  </si>
  <si>
    <t>Fixed Deposits</t>
  </si>
  <si>
    <t>Increase / (Decrease) in Borrowings</t>
  </si>
  <si>
    <t>Increase/Decrease In Borrowings</t>
  </si>
  <si>
    <t>Increase / (Decrease) in Other Liabilities &amp; Provisions</t>
  </si>
  <si>
    <t>Other Current and Non Current Liabilities</t>
  </si>
  <si>
    <t>Cash generated from Operations</t>
  </si>
  <si>
    <t>Direct Taxes paid (net off Refund)</t>
  </si>
  <si>
    <t>Income Tax Paid</t>
  </si>
  <si>
    <t>Net Cash from/(used) in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</si>
  <si>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</si>
  <si>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</si>
  <si>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</si>
  <si>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</si>
  <si>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</si>
  <si>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Sale of Fixed Assets</t>
  </si>
  <si>
    <t>Sale Of Fixed Assets (Tangible / Intangible)</t>
  </si>
  <si>
    <t>Dividend received from Subsidiary/Others</t>
  </si>
  <si>
    <t>Investment in Subsidiary/Others (net)</t>
  </si>
  <si>
    <t>Investments in Subsidiaries and/or Joint Ventures</t>
  </si>
  <si>
    <t>Net Cash from/(used) in Investing Activities</t>
  </si>
  <si>
    <t>Cash flow from Financing Activities</t>
  </si>
  <si>
    <t>of issue expense)</t>
  </si>
  <si>
    <t>Issue/(Redemption) of Bonds (net)</t>
  </si>
  <si>
    <t>Dividend paid</t>
  </si>
  <si>
    <t>Dividend Paid</t>
  </si>
  <si>
    <t>Net Cash from/(used) in Financing Activities</t>
  </si>
  <si>
    <t>Net Cash Flow From Financing Activities</t>
  </si>
  <si>
    <t>Net Change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</si>
  <si>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</si>
  <si>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</si>
  <si>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</si>
  <si>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Balances with Reserve Bank of India</t>
  </si>
  <si>
    <t>Cash and Cash Equivalents at the end of the period</t>
  </si>
  <si>
    <t>Cash and Cash Equivalents at the End of the Year</t>
  </si>
  <si>
    <t>Net Profit before tax</t>
  </si>
  <si>
    <t>Depreciation on Fixed Assets</t>
  </si>
  <si>
    <t>Depreciation/(Release) on Investments [Net]</t>
  </si>
  <si>
    <t>Provisions for Non Performing Assets</t>
  </si>
  <si>
    <t>Shares of earning in Associates</t>
  </si>
  <si>
    <t>Profit on Sale of equity Investments held in AFS</t>
  </si>
  <si>
    <t xml:space="preserve">(Profit) / Loss on sale of Investments held in SBJVAS </t>
  </si>
  <si>
    <t>Adjustment for</t>
  </si>
  <si>
    <t>Direct Taxes paid (net off refund)</t>
  </si>
  <si>
    <t>Net Cash from Operating Activities</t>
  </si>
  <si>
    <t>Investment in Associates/JV/RRBs (net)</t>
  </si>
  <si>
    <t>Others-Investing Activities</t>
  </si>
  <si>
    <t>Net Cash used in Investing Activities</t>
  </si>
  <si>
    <t>of issue exps.)</t>
  </si>
  <si>
    <t>Cash paid to Sharehblder of e-OBC &amp; e-UNI towards fractional entitlement consequent to amalgamation</t>
  </si>
  <si>
    <t>Increase/ (Decrease) in Minority Interest</t>
  </si>
  <si>
    <t>Others-Financing Activities</t>
  </si>
  <si>
    <t>Net Cash from Financing Activities</t>
  </si>
  <si>
    <t>Cash and Cash Equivalents at the beginning of the year</t>
  </si>
  <si>
    <t>Status</t>
  </si>
  <si>
    <t>Revised Field Mapping</t>
  </si>
  <si>
    <t>Field id</t>
  </si>
  <si>
    <t>Remark</t>
  </si>
  <si>
    <t>Interest earned (a)+(b)+(c)+(d)</t>
  </si>
  <si>
    <t>Incorrect</t>
  </si>
  <si>
    <t>This field is not captured; it is manually updated.</t>
  </si>
  <si>
    <t>Correct</t>
  </si>
  <si>
    <t>Interest/Discount on Advances/Bills</t>
  </si>
  <si>
    <t>Interest on Balances with RBI and other Inter-Bank Funds</t>
  </si>
  <si>
    <t>Calculated Field</t>
  </si>
  <si>
    <t>incorrect</t>
  </si>
  <si>
    <t>Other Expenses</t>
  </si>
  <si>
    <t>Operating Profit/ (Loss) before Provisions and Contingencies</t>
  </si>
  <si>
    <t>Provisions (Other than tax) and Contingencies</t>
  </si>
  <si>
    <t>Provision for Non Performing Assets</t>
  </si>
  <si>
    <t xml:space="preserve">This field is consolidated; please ignore it. </t>
  </si>
  <si>
    <t>Percentage of Shares Held by GOI</t>
  </si>
  <si>
    <t>BASEL - III Capital Adequacy (CRAR) (%)</t>
  </si>
  <si>
    <t>Common Equity Tier 1 capital (CET1)(%)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</si>
  <si>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</si>
  <si>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</si>
  <si>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</si>
  <si>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</si>
  <si>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</si>
  <si>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</si>
  <si>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Net Profit Margin</t>
  </si>
  <si>
    <t>Ignore This Filed</t>
  </si>
  <si>
    <t>Net Profit/(Loss) After Taxes But Before Share of Profit/(Loss) of Associates and Minority Interest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</si>
  <si>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</si>
  <si>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</si>
  <si>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</si>
  <si>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</si>
  <si>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</si>
  <si>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Provision For Non-Performing Advances</t>
  </si>
  <si>
    <t>Provision For Standard Assets</t>
  </si>
  <si>
    <t>Operating Profit Before Working Capital Changes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</si>
  <si>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</si>
  <si>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</si>
  <si>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</si>
  <si>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</si>
  <si>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</si>
  <si>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 xml:space="preserve">Calculated Field </t>
  </si>
  <si>
    <t>Purchase Of Fixed Assets</t>
  </si>
  <si>
    <t>Sale Of Fixed Assets</t>
  </si>
  <si>
    <t>Proceeds From Issue Of Equity Shares (Inclu Share Premium)</t>
  </si>
  <si>
    <t>Depreciation on Investments</t>
  </si>
  <si>
    <t>Income from Subsidiaries, Joint Ventures and Consolidated Entities</t>
  </si>
  <si>
    <t>Total Segment Revenue</t>
  </si>
  <si>
    <t>Unallocated Income (Expenses)</t>
  </si>
  <si>
    <t>Profit/(Loss) from ordinary activities before tax</t>
  </si>
  <si>
    <t>Current Tax</t>
  </si>
  <si>
    <t>Net Profit/(Loss) for the period</t>
  </si>
  <si>
    <t>Unallocable Corporate Assets</t>
  </si>
  <si>
    <t>Total Segment Assets</t>
  </si>
  <si>
    <t>Unallocable Corporate Liabilities</t>
  </si>
  <si>
    <t>Total Segment Liabilities</t>
  </si>
  <si>
    <t>Share of Profit/(Loss) of Associates</t>
  </si>
  <si>
    <t>Loss On Sale Of Investments</t>
  </si>
  <si>
    <t xml:space="preserve">Ignore This Field 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</si>
  <si>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</si>
  <si>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</si>
  <si>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</si>
  <si>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Additional Tier 1 capital (AT1) (%)</t>
  </si>
  <si>
    <t>Basic EPS/Diluted EPS</t>
  </si>
  <si>
    <t>222/234</t>
  </si>
  <si>
    <t>221/233</t>
  </si>
  <si>
    <t>Interest Expense</t>
  </si>
  <si>
    <t>Provision for Contingencies &amp; Others</t>
  </si>
  <si>
    <t>Subordinated Bonds(Issue/Redemption)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</si>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</sst>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/>
    <xf numFmtId="44" fontId="2" fillId="3" borderId="1" xfId="0" applyNumberFormat="1" applyFont="1" applyFill="1" applyBorder="1" applyAlignment="1">
      <alignment horizontal="center"/>
    </xf>
    <xf numFmtId="9" fontId="0" fillId="0" borderId="1" xfId="1" applyFont="1" applyBorder="1"/>
    <xf numFmtId="2" fontId="0" fillId="0" borderId="1" xfId="0" applyNumberFormat="1" applyBorder="1"/>
    <xf numFmtId="0" fontId="0" fillId="2" borderId="1" xfId="0" applyFill="1" applyBorder="1"/>
    <xf numFmtId="44" fontId="0" fillId="0" borderId="1" xfId="0" applyNumberFormat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3" borderId="1" xfId="0" applyFill="1" applyBorder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/>
  </sheetViews>
  <sheetFormatPr defaultRowHeight="15" x14ac:dyDescent="0.25"/>
  <cols>
    <col min="1" max="1" width="53.85546875" customWidth="1"/>
    <col min="2" max="2" width="47.7109375" customWidth="1"/>
    <col min="3" max="3" width="9.7109375" bestFit="1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COUNTIF(C1:C46,"correct")</f>
        <v>14</v>
      </c>
    </row>
    <row r="2" spans="1:9" x14ac:dyDescent="0.25">
      <c r="A2" s="15" t="s">
        <v>213</v>
      </c>
      <c r="B2" s="6"/>
      <c r="C2" s="4" t="s">
        <v>214</v>
      </c>
      <c r="D2" s="7" t="s">
        <v>52</v>
      </c>
      <c r="E2" s="8"/>
      <c r="F2" s="4" t="s">
        <v>269</v>
      </c>
      <c r="G2" s="5" t="s">
        <v>215</v>
      </c>
      <c r="H2" s="2" t="s">
        <v>214</v>
      </c>
      <c r="I2" s="4">
        <f>COUNTIF(C2:C46,"Incorrect")</f>
        <v>29</v>
      </c>
    </row>
    <row r="3" spans="1:9" x14ac:dyDescent="0.25">
      <c r="A3" s="4" t="s">
        <v>2</v>
      </c>
      <c r="B3" s="4" t="s">
        <v>3</v>
      </c>
      <c r="C3" s="4" t="s">
        <v>214</v>
      </c>
      <c r="D3" s="10" t="s">
        <v>217</v>
      </c>
      <c r="E3" s="11">
        <v>259</v>
      </c>
      <c r="F3" s="4"/>
      <c r="H3" s="4"/>
      <c r="I3" s="9">
        <f>I1/SUM(I1:I2)</f>
        <v>0.32558139534883723</v>
      </c>
    </row>
    <row r="4" spans="1:9" x14ac:dyDescent="0.25">
      <c r="A4" s="4" t="s">
        <v>4</v>
      </c>
      <c r="B4" s="4" t="s">
        <v>5</v>
      </c>
      <c r="C4" s="4" t="s">
        <v>214</v>
      </c>
      <c r="D4" s="10" t="s">
        <v>4</v>
      </c>
      <c r="E4" s="11">
        <v>257</v>
      </c>
      <c r="F4" s="4"/>
    </row>
    <row r="5" spans="1:9" x14ac:dyDescent="0.25">
      <c r="A5" s="4" t="s">
        <v>6</v>
      </c>
      <c r="B5" s="4" t="s">
        <v>7</v>
      </c>
      <c r="C5" s="4" t="s">
        <v>214</v>
      </c>
      <c r="D5" s="10" t="s">
        <v>218</v>
      </c>
      <c r="E5" s="11">
        <v>261</v>
      </c>
      <c r="F5" s="4"/>
    </row>
    <row r="6" spans="1:9" x14ac:dyDescent="0.25">
      <c r="A6" s="4" t="s">
        <v>8</v>
      </c>
      <c r="B6" s="4" t="s">
        <v>9</v>
      </c>
      <c r="C6" s="4" t="s">
        <v>214</v>
      </c>
      <c r="D6" s="10" t="s">
        <v>8</v>
      </c>
      <c r="E6" s="11">
        <v>280</v>
      </c>
      <c r="F6" s="4"/>
    </row>
    <row r="7" spans="1:9" ht="15" customHeight="1" x14ac:dyDescent="0.25">
      <c r="A7" s="4" t="s">
        <v>10</v>
      </c>
      <c r="B7" s="4" t="s">
        <v>11</v>
      </c>
      <c r="C7" s="4" t="s">
        <v>216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216</v>
      </c>
      <c r="D8" s="13" t="s">
        <v>270</v>
      </c>
      <c r="E8" s="14">
        <v>266</v>
      </c>
      <c r="F8" s="4"/>
    </row>
    <row r="9" spans="1:9" x14ac:dyDescent="0.25">
      <c r="A9" s="4" t="s">
        <v>14</v>
      </c>
      <c r="B9" s="4" t="s">
        <v>15</v>
      </c>
      <c r="C9" s="4" t="s">
        <v>214</v>
      </c>
      <c r="D9" s="10" t="s">
        <v>14</v>
      </c>
      <c r="E9" s="11">
        <v>246</v>
      </c>
      <c r="F9" s="4"/>
    </row>
    <row r="10" spans="1:9" x14ac:dyDescent="0.25">
      <c r="A10" s="4" t="s">
        <v>16</v>
      </c>
      <c r="B10" s="4" t="s">
        <v>16</v>
      </c>
      <c r="C10" s="4" t="s">
        <v>214</v>
      </c>
      <c r="D10" s="12" t="s">
        <v>219</v>
      </c>
      <c r="E10" s="4"/>
      <c r="F10" s="4" t="s">
        <v>271</v>
      </c>
    </row>
    <row r="11" spans="1:9" x14ac:dyDescent="0.25">
      <c r="A11" s="4" t="s">
        <v>17</v>
      </c>
      <c r="B11" s="4" t="s">
        <v>18</v>
      </c>
      <c r="C11" s="4" t="s">
        <v>214</v>
      </c>
      <c r="D11" s="10" t="s">
        <v>17</v>
      </c>
      <c r="E11" s="11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214</v>
      </c>
      <c r="D12" s="10" t="s">
        <v>221</v>
      </c>
      <c r="E12" s="11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214</v>
      </c>
      <c r="D13" s="13" t="s">
        <v>219</v>
      </c>
      <c r="E13" s="14"/>
      <c r="F13" s="4"/>
    </row>
    <row r="14" spans="1:9" x14ac:dyDescent="0.25">
      <c r="A14" s="4" t="s">
        <v>22</v>
      </c>
      <c r="B14" s="4" t="s">
        <v>23</v>
      </c>
      <c r="C14" s="4" t="s">
        <v>214</v>
      </c>
      <c r="D14" s="13" t="s">
        <v>222</v>
      </c>
      <c r="E14" s="14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214</v>
      </c>
      <c r="D15" s="10" t="s">
        <v>223</v>
      </c>
      <c r="E15" s="11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214</v>
      </c>
      <c r="D16" s="10" t="s">
        <v>224</v>
      </c>
      <c r="E16" s="11">
        <v>304</v>
      </c>
      <c r="F16" s="4"/>
    </row>
    <row r="17" spans="1:6" x14ac:dyDescent="0.25">
      <c r="A17" s="4" t="s">
        <v>28</v>
      </c>
      <c r="B17" s="4" t="s">
        <v>29</v>
      </c>
      <c r="C17" s="4" t="s">
        <v>216</v>
      </c>
      <c r="D17" s="4"/>
      <c r="E17" s="4"/>
      <c r="F17" s="4"/>
    </row>
    <row r="18" spans="1:6" x14ac:dyDescent="0.25">
      <c r="A18" s="4" t="s">
        <v>30</v>
      </c>
      <c r="B18" s="4" t="s">
        <v>31</v>
      </c>
      <c r="C18" s="4" t="s">
        <v>216</v>
      </c>
      <c r="D18" s="4"/>
      <c r="E18" s="4"/>
      <c r="F18" s="4"/>
    </row>
    <row r="19" spans="1:6" x14ac:dyDescent="0.25">
      <c r="A19" s="4" t="s">
        <v>32</v>
      </c>
      <c r="B19" s="4" t="s">
        <v>23</v>
      </c>
      <c r="C19" s="4" t="s">
        <v>214</v>
      </c>
      <c r="D19" s="10" t="s">
        <v>27</v>
      </c>
      <c r="E19" s="11">
        <v>318</v>
      </c>
      <c r="F19" s="4"/>
    </row>
    <row r="20" spans="1:6" x14ac:dyDescent="0.25">
      <c r="A20" s="4" t="s">
        <v>33</v>
      </c>
      <c r="B20" s="4" t="s">
        <v>34</v>
      </c>
      <c r="C20" s="4" t="s">
        <v>216</v>
      </c>
      <c r="D20" s="4"/>
      <c r="E20" s="4"/>
      <c r="F20" s="4"/>
    </row>
    <row r="21" spans="1:6" x14ac:dyDescent="0.25">
      <c r="A21" s="4" t="s">
        <v>35</v>
      </c>
      <c r="B21" s="4" t="s">
        <v>15</v>
      </c>
      <c r="C21" s="4" t="s">
        <v>216</v>
      </c>
      <c r="D21" s="4"/>
      <c r="E21" s="4"/>
      <c r="F21" s="4"/>
    </row>
    <row r="22" spans="1:6" x14ac:dyDescent="0.25">
      <c r="A22" s="4" t="s">
        <v>36</v>
      </c>
      <c r="B22" s="4" t="s">
        <v>37</v>
      </c>
      <c r="C22" s="4" t="s">
        <v>216</v>
      </c>
      <c r="D22" s="4"/>
      <c r="E22" s="4"/>
      <c r="F22" s="4"/>
    </row>
    <row r="23" spans="1:6" x14ac:dyDescent="0.25">
      <c r="A23" s="4" t="s">
        <v>38</v>
      </c>
      <c r="B23" s="4" t="s">
        <v>39</v>
      </c>
      <c r="C23" s="4"/>
      <c r="D23" s="4" t="s">
        <v>225</v>
      </c>
      <c r="E23" s="4"/>
      <c r="F23" s="4"/>
    </row>
    <row r="24" spans="1:6" x14ac:dyDescent="0.25">
      <c r="A24" s="4" t="s">
        <v>40</v>
      </c>
      <c r="B24" s="4" t="s">
        <v>40</v>
      </c>
      <c r="C24" s="4"/>
      <c r="D24" s="4" t="s">
        <v>225</v>
      </c>
      <c r="E24" s="4"/>
      <c r="F24" s="4"/>
    </row>
    <row r="25" spans="1:6" x14ac:dyDescent="0.25">
      <c r="A25" s="4" t="s">
        <v>41</v>
      </c>
      <c r="B25" s="4" t="s">
        <v>37</v>
      </c>
      <c r="C25" s="4" t="s">
        <v>216</v>
      </c>
      <c r="D25" s="4"/>
      <c r="E25" s="4"/>
      <c r="F25" s="4"/>
    </row>
    <row r="26" spans="1:6" x14ac:dyDescent="0.25">
      <c r="A26" s="4" t="s">
        <v>42</v>
      </c>
      <c r="B26" s="4" t="s">
        <v>7</v>
      </c>
      <c r="C26" s="4" t="s">
        <v>216</v>
      </c>
      <c r="D26" s="4"/>
      <c r="E26" s="4"/>
      <c r="F26" s="4"/>
    </row>
    <row r="27" spans="1:6" x14ac:dyDescent="0.25">
      <c r="A27" s="4" t="s">
        <v>43</v>
      </c>
      <c r="B27" s="4" t="s">
        <v>44</v>
      </c>
      <c r="C27" s="4" t="s">
        <v>216</v>
      </c>
      <c r="D27" s="4"/>
      <c r="E27" s="4"/>
      <c r="F27" s="4"/>
    </row>
    <row r="28" spans="1:6" x14ac:dyDescent="0.25">
      <c r="A28" s="4" t="s">
        <v>45</v>
      </c>
      <c r="B28" s="4" t="s">
        <v>23</v>
      </c>
      <c r="C28" s="4" t="s">
        <v>216</v>
      </c>
      <c r="D28" s="4"/>
      <c r="E28" s="4"/>
      <c r="F28" s="4"/>
    </row>
    <row r="29" spans="1:6" x14ac:dyDescent="0.25">
      <c r="A29" s="4" t="s">
        <v>46</v>
      </c>
      <c r="B29" s="4" t="s">
        <v>47</v>
      </c>
      <c r="C29" s="4" t="s">
        <v>214</v>
      </c>
      <c r="D29" s="10" t="s">
        <v>226</v>
      </c>
      <c r="E29" s="11">
        <v>290</v>
      </c>
      <c r="F29" s="4"/>
    </row>
    <row r="30" spans="1:6" x14ac:dyDescent="0.25">
      <c r="A30" s="4" t="s">
        <v>48</v>
      </c>
      <c r="B30" s="4" t="s">
        <v>37</v>
      </c>
      <c r="C30" s="4" t="s">
        <v>214</v>
      </c>
      <c r="D30" s="10" t="s">
        <v>227</v>
      </c>
      <c r="E30" s="11">
        <v>220</v>
      </c>
      <c r="F30" s="4"/>
    </row>
    <row r="31" spans="1:6" x14ac:dyDescent="0.25">
      <c r="A31" s="4" t="s">
        <v>49</v>
      </c>
      <c r="B31" s="4" t="s">
        <v>50</v>
      </c>
      <c r="C31" s="4" t="s">
        <v>214</v>
      </c>
      <c r="D31" s="10" t="s">
        <v>228</v>
      </c>
      <c r="E31" s="11">
        <v>24692</v>
      </c>
      <c r="F31" s="4"/>
    </row>
    <row r="32" spans="1:6" x14ac:dyDescent="0.25">
      <c r="A32" s="4" t="s">
        <v>51</v>
      </c>
      <c r="B32" s="4" t="s">
        <v>52</v>
      </c>
      <c r="C32" s="4" t="s">
        <v>214</v>
      </c>
      <c r="D32" s="10" t="s">
        <v>272</v>
      </c>
      <c r="E32" s="11">
        <v>24686</v>
      </c>
      <c r="F32" s="4"/>
    </row>
    <row r="33" spans="1:6" x14ac:dyDescent="0.25">
      <c r="A33" s="4" t="s">
        <v>53</v>
      </c>
      <c r="B33" s="4" t="s">
        <v>23</v>
      </c>
      <c r="C33" s="4" t="s">
        <v>216</v>
      </c>
      <c r="D33" s="4"/>
      <c r="E33" s="4"/>
      <c r="F33" s="4"/>
    </row>
    <row r="34" spans="1:6" x14ac:dyDescent="0.25">
      <c r="A34" s="4" t="s">
        <v>54</v>
      </c>
      <c r="B34" s="4" t="s">
        <v>55</v>
      </c>
      <c r="C34" s="4" t="s">
        <v>216</v>
      </c>
      <c r="D34" s="10" t="s">
        <v>273</v>
      </c>
      <c r="E34" s="4" t="s">
        <v>274</v>
      </c>
      <c r="F34" s="4"/>
    </row>
    <row r="35" spans="1:6" x14ac:dyDescent="0.25">
      <c r="A35" s="4" t="s">
        <v>56</v>
      </c>
      <c r="B35" s="4" t="s">
        <v>55</v>
      </c>
      <c r="C35" s="4" t="s">
        <v>216</v>
      </c>
      <c r="D35" s="10" t="s">
        <v>273</v>
      </c>
      <c r="E35" s="11" t="s">
        <v>275</v>
      </c>
      <c r="F35" s="4"/>
    </row>
    <row r="36" spans="1:6" x14ac:dyDescent="0.25">
      <c r="A36" s="4" t="s">
        <v>57</v>
      </c>
      <c r="B36" s="4" t="s">
        <v>40</v>
      </c>
      <c r="C36" s="4" t="s">
        <v>214</v>
      </c>
      <c r="D36" s="4" t="s">
        <v>52</v>
      </c>
      <c r="E36" s="4"/>
      <c r="F36" s="4"/>
    </row>
    <row r="37" spans="1:6" x14ac:dyDescent="0.25">
      <c r="A37" s="4" t="s">
        <v>58</v>
      </c>
      <c r="B37" s="4" t="s">
        <v>29</v>
      </c>
      <c r="C37" s="4" t="s">
        <v>214</v>
      </c>
      <c r="D37" s="10" t="s">
        <v>229</v>
      </c>
      <c r="E37" s="11">
        <v>255</v>
      </c>
      <c r="F37" s="4"/>
    </row>
    <row r="38" spans="1:6" x14ac:dyDescent="0.25">
      <c r="A38" s="4" t="s">
        <v>59</v>
      </c>
      <c r="B38" s="4" t="s">
        <v>23</v>
      </c>
      <c r="C38" s="4" t="s">
        <v>214</v>
      </c>
      <c r="D38" s="10" t="s">
        <v>230</v>
      </c>
      <c r="E38" s="11">
        <v>267</v>
      </c>
      <c r="F38" s="4"/>
    </row>
    <row r="39" spans="1:6" x14ac:dyDescent="0.25">
      <c r="A39" s="4" t="s">
        <v>60</v>
      </c>
      <c r="B39" s="4" t="s">
        <v>29</v>
      </c>
      <c r="C39" s="4" t="s">
        <v>214</v>
      </c>
      <c r="D39" s="10" t="s">
        <v>231</v>
      </c>
      <c r="E39" s="11">
        <v>283</v>
      </c>
      <c r="F39" s="4"/>
    </row>
    <row r="40" spans="1:6" x14ac:dyDescent="0.25">
      <c r="A40" s="4" t="s">
        <v>61</v>
      </c>
      <c r="B40" s="4" t="s">
        <v>55</v>
      </c>
      <c r="C40" s="4" t="s">
        <v>214</v>
      </c>
      <c r="D40" s="10" t="s">
        <v>232</v>
      </c>
      <c r="E40" s="11">
        <v>284</v>
      </c>
      <c r="F40" s="4"/>
    </row>
    <row r="41" spans="1:6" x14ac:dyDescent="0.25">
      <c r="A41" s="4" t="s">
        <v>62</v>
      </c>
      <c r="B41" s="4" t="s">
        <v>23</v>
      </c>
      <c r="C41" s="4" t="s">
        <v>214</v>
      </c>
      <c r="D41" s="10" t="s">
        <v>233</v>
      </c>
      <c r="E41" s="11">
        <v>312</v>
      </c>
      <c r="F41" s="4"/>
    </row>
    <row r="42" spans="1:6" x14ac:dyDescent="0.25">
      <c r="A42" s="4" t="s">
        <v>63</v>
      </c>
      <c r="B42" s="4" t="s">
        <v>5</v>
      </c>
      <c r="C42" s="4" t="s">
        <v>214</v>
      </c>
      <c r="D42" s="4"/>
      <c r="E42" s="4"/>
      <c r="F42" s="12" t="s">
        <v>236</v>
      </c>
    </row>
    <row r="43" spans="1:6" x14ac:dyDescent="0.25">
      <c r="A43" s="4" t="s">
        <v>64</v>
      </c>
      <c r="B43" s="4" t="s">
        <v>7</v>
      </c>
      <c r="C43" s="4" t="s">
        <v>214</v>
      </c>
      <c r="D43" s="4"/>
      <c r="E43" s="4"/>
      <c r="F43" s="12" t="s">
        <v>236</v>
      </c>
    </row>
    <row r="44" spans="1:6" x14ac:dyDescent="0.25">
      <c r="A44" s="4" t="s">
        <v>65</v>
      </c>
      <c r="B44" s="4" t="s">
        <v>66</v>
      </c>
      <c r="C44" s="4" t="s">
        <v>214</v>
      </c>
      <c r="D44" s="4"/>
      <c r="E44" s="4"/>
      <c r="F44" s="12" t="s">
        <v>236</v>
      </c>
    </row>
    <row r="45" spans="1:6" x14ac:dyDescent="0.25">
      <c r="A45" s="4" t="s">
        <v>67</v>
      </c>
      <c r="B45" s="4" t="s">
        <v>7</v>
      </c>
      <c r="C45" s="4" t="s">
        <v>214</v>
      </c>
      <c r="D45" s="10" t="s">
        <v>234</v>
      </c>
      <c r="E45" s="11">
        <v>24697</v>
      </c>
      <c r="F45" s="4"/>
    </row>
    <row r="46" spans="1:6" x14ac:dyDescent="0.25">
      <c r="A46" s="4" t="s">
        <v>68</v>
      </c>
      <c r="B46" s="4" t="s">
        <v>47</v>
      </c>
      <c r="C46" s="4" t="s">
        <v>214</v>
      </c>
      <c r="D46" s="4"/>
      <c r="E46" s="4"/>
      <c r="F46" s="12" t="s">
        <v>236</v>
      </c>
    </row>
    <row r="47" spans="1:6" x14ac:dyDescent="0.25">
      <c r="A47" s="4" t="s">
        <v>69</v>
      </c>
      <c r="B47" s="4" t="s">
        <v>23</v>
      </c>
      <c r="C47" s="4" t="s">
        <v>214</v>
      </c>
      <c r="D47" s="4"/>
      <c r="E47" s="4"/>
      <c r="F47" s="12" t="s">
        <v>236</v>
      </c>
    </row>
    <row r="48" spans="1:6" x14ac:dyDescent="0.25">
      <c r="A48" s="4" t="s">
        <v>70</v>
      </c>
      <c r="B48" s="4" t="s">
        <v>34</v>
      </c>
      <c r="C48" s="4" t="s">
        <v>214</v>
      </c>
      <c r="D48" s="13" t="s">
        <v>235</v>
      </c>
      <c r="E48" s="14">
        <v>17778</v>
      </c>
      <c r="F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/>
  </sheetViews>
  <sheetFormatPr defaultRowHeight="15" x14ac:dyDescent="0.25"/>
  <cols>
    <col min="1" max="1" width="55.28515625" customWidth="1"/>
    <col min="2" max="2" width="46.5703125" customWidth="1"/>
    <col min="3" max="3" width="9.7109375" bestFit="1" customWidth="1"/>
    <col min="4" max="4" width="52.42578125" bestFit="1" customWidth="1"/>
    <col min="5" max="5" width="6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COUNTIF(C1:C46,"correct")</f>
        <v>15</v>
      </c>
    </row>
    <row r="2" spans="1:9" x14ac:dyDescent="0.25">
      <c r="A2" s="15" t="s">
        <v>213</v>
      </c>
      <c r="B2" s="6"/>
      <c r="C2" s="4" t="s">
        <v>214</v>
      </c>
      <c r="D2" s="7" t="s">
        <v>52</v>
      </c>
      <c r="E2" s="8"/>
      <c r="F2" s="4" t="s">
        <v>269</v>
      </c>
      <c r="G2" s="5" t="s">
        <v>215</v>
      </c>
      <c r="H2" s="2" t="s">
        <v>214</v>
      </c>
      <c r="I2" s="4">
        <f>COUNTIF(C2:C46,"Incorrect")</f>
        <v>30</v>
      </c>
    </row>
    <row r="3" spans="1:9" x14ac:dyDescent="0.25">
      <c r="A3" s="4" t="s">
        <v>2</v>
      </c>
      <c r="B3" s="4" t="s">
        <v>3</v>
      </c>
      <c r="C3" s="4" t="s">
        <v>214</v>
      </c>
      <c r="D3" s="4" t="s">
        <v>217</v>
      </c>
      <c r="E3" s="11">
        <v>259</v>
      </c>
      <c r="F3" s="4"/>
      <c r="H3" s="4"/>
      <c r="I3" s="9">
        <f>I1/SUM(I1:I2)</f>
        <v>0.33333333333333331</v>
      </c>
    </row>
    <row r="4" spans="1:9" x14ac:dyDescent="0.25">
      <c r="A4" s="4" t="s">
        <v>4</v>
      </c>
      <c r="B4" s="4" t="s">
        <v>5</v>
      </c>
      <c r="C4" s="4" t="s">
        <v>214</v>
      </c>
      <c r="D4" s="4" t="s">
        <v>4</v>
      </c>
      <c r="E4" s="11">
        <v>257</v>
      </c>
      <c r="F4" s="4"/>
    </row>
    <row r="5" spans="1:9" x14ac:dyDescent="0.25">
      <c r="A5" s="4" t="s">
        <v>6</v>
      </c>
      <c r="B5" s="4" t="s">
        <v>7</v>
      </c>
      <c r="C5" s="4" t="s">
        <v>214</v>
      </c>
      <c r="D5" s="4" t="s">
        <v>218</v>
      </c>
      <c r="E5" s="11">
        <v>261</v>
      </c>
      <c r="F5" s="4"/>
    </row>
    <row r="6" spans="1:9" x14ac:dyDescent="0.25">
      <c r="A6" s="4" t="s">
        <v>8</v>
      </c>
      <c r="B6" s="4" t="s">
        <v>9</v>
      </c>
      <c r="C6" s="4" t="s">
        <v>214</v>
      </c>
      <c r="D6" s="4" t="s">
        <v>8</v>
      </c>
      <c r="E6" s="11">
        <v>280</v>
      </c>
      <c r="F6" s="4"/>
    </row>
    <row r="7" spans="1:9" ht="15" customHeight="1" x14ac:dyDescent="0.25">
      <c r="A7" s="4" t="s">
        <v>10</v>
      </c>
      <c r="B7" s="4" t="s">
        <v>11</v>
      </c>
      <c r="C7" s="4" t="s">
        <v>216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216</v>
      </c>
      <c r="D8" s="12" t="s">
        <v>270</v>
      </c>
      <c r="E8" s="4">
        <v>266</v>
      </c>
      <c r="F8" s="4"/>
    </row>
    <row r="9" spans="1:9" x14ac:dyDescent="0.25">
      <c r="A9" s="4" t="s">
        <v>14</v>
      </c>
      <c r="B9" s="4" t="s">
        <v>15</v>
      </c>
      <c r="C9" s="4" t="s">
        <v>214</v>
      </c>
      <c r="D9" s="10" t="s">
        <v>14</v>
      </c>
      <c r="E9" s="11">
        <v>246</v>
      </c>
      <c r="F9" s="4"/>
    </row>
    <row r="10" spans="1:9" x14ac:dyDescent="0.25">
      <c r="A10" s="4" t="s">
        <v>16</v>
      </c>
      <c r="B10" s="4" t="s">
        <v>16</v>
      </c>
      <c r="C10" s="4" t="s">
        <v>214</v>
      </c>
      <c r="D10" s="12" t="s">
        <v>219</v>
      </c>
      <c r="E10" s="4"/>
      <c r="F10" s="4" t="s">
        <v>271</v>
      </c>
    </row>
    <row r="11" spans="1:9" x14ac:dyDescent="0.25">
      <c r="A11" s="4" t="s">
        <v>17</v>
      </c>
      <c r="B11" s="4" t="s">
        <v>18</v>
      </c>
      <c r="C11" s="4" t="s">
        <v>214</v>
      </c>
      <c r="D11" s="10" t="s">
        <v>17</v>
      </c>
      <c r="E11" s="11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214</v>
      </c>
      <c r="D12" s="10" t="s">
        <v>221</v>
      </c>
      <c r="E12" s="11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214</v>
      </c>
      <c r="D13" s="13" t="s">
        <v>219</v>
      </c>
      <c r="E13" s="14"/>
      <c r="F13" s="4"/>
    </row>
    <row r="14" spans="1:9" x14ac:dyDescent="0.25">
      <c r="A14" s="4" t="s">
        <v>22</v>
      </c>
      <c r="B14" s="4" t="s">
        <v>23</v>
      </c>
      <c r="C14" s="4" t="s">
        <v>214</v>
      </c>
      <c r="D14" s="13" t="s">
        <v>222</v>
      </c>
      <c r="E14" s="14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214</v>
      </c>
      <c r="D15" s="10" t="s">
        <v>223</v>
      </c>
      <c r="E15" s="11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214</v>
      </c>
      <c r="D16" s="10" t="s">
        <v>224</v>
      </c>
      <c r="E16" s="11">
        <v>304</v>
      </c>
      <c r="F16" s="4"/>
    </row>
    <row r="17" spans="1:6" x14ac:dyDescent="0.25">
      <c r="A17" s="4" t="s">
        <v>28</v>
      </c>
      <c r="B17" s="4" t="s">
        <v>29</v>
      </c>
      <c r="C17" s="4" t="s">
        <v>216</v>
      </c>
      <c r="D17" s="4"/>
      <c r="E17" s="4"/>
      <c r="F17" s="4"/>
    </row>
    <row r="18" spans="1:6" x14ac:dyDescent="0.25">
      <c r="A18" s="4" t="s">
        <v>30</v>
      </c>
      <c r="B18" s="4" t="s">
        <v>31</v>
      </c>
      <c r="C18" s="4" t="s">
        <v>216</v>
      </c>
      <c r="D18" s="4"/>
      <c r="E18" s="4"/>
      <c r="F18" s="4"/>
    </row>
    <row r="19" spans="1:6" x14ac:dyDescent="0.25">
      <c r="A19" s="4" t="s">
        <v>32</v>
      </c>
      <c r="B19" s="4" t="s">
        <v>23</v>
      </c>
      <c r="C19" s="4" t="s">
        <v>214</v>
      </c>
      <c r="D19" s="10" t="s">
        <v>27</v>
      </c>
      <c r="E19" s="11">
        <v>318</v>
      </c>
      <c r="F19" s="4"/>
    </row>
    <row r="20" spans="1:6" x14ac:dyDescent="0.25">
      <c r="A20" s="4" t="s">
        <v>33</v>
      </c>
      <c r="B20" s="4" t="s">
        <v>34</v>
      </c>
      <c r="C20" s="4" t="s">
        <v>216</v>
      </c>
      <c r="D20" s="4"/>
      <c r="E20" s="4"/>
      <c r="F20" s="4"/>
    </row>
    <row r="21" spans="1:6" x14ac:dyDescent="0.25">
      <c r="A21" s="4" t="s">
        <v>35</v>
      </c>
      <c r="B21" s="4" t="s">
        <v>15</v>
      </c>
      <c r="C21" s="4" t="s">
        <v>216</v>
      </c>
      <c r="D21" s="4"/>
      <c r="E21" s="4"/>
      <c r="F21" s="4"/>
    </row>
    <row r="22" spans="1:6" x14ac:dyDescent="0.25">
      <c r="A22" s="4" t="s">
        <v>36</v>
      </c>
      <c r="B22" s="4" t="s">
        <v>37</v>
      </c>
      <c r="C22" s="4" t="s">
        <v>214</v>
      </c>
      <c r="D22" s="16" t="s">
        <v>237</v>
      </c>
      <c r="E22" s="14">
        <v>268</v>
      </c>
      <c r="F22" s="4"/>
    </row>
    <row r="23" spans="1:6" x14ac:dyDescent="0.25">
      <c r="A23" s="4" t="s">
        <v>38</v>
      </c>
      <c r="B23" s="4" t="s">
        <v>39</v>
      </c>
      <c r="C23" s="4" t="s">
        <v>216</v>
      </c>
      <c r="D23" s="4"/>
      <c r="E23" s="4"/>
      <c r="F23" s="4"/>
    </row>
    <row r="24" spans="1:6" x14ac:dyDescent="0.25">
      <c r="A24" s="4" t="s">
        <v>40</v>
      </c>
      <c r="B24" s="4" t="s">
        <v>40</v>
      </c>
      <c r="C24" s="4" t="s">
        <v>216</v>
      </c>
      <c r="D24" s="4"/>
      <c r="E24" s="4"/>
      <c r="F24" s="4"/>
    </row>
    <row r="25" spans="1:6" x14ac:dyDescent="0.25">
      <c r="A25" s="4" t="s">
        <v>41</v>
      </c>
      <c r="B25" s="4" t="s">
        <v>37</v>
      </c>
      <c r="C25" s="4" t="s">
        <v>216</v>
      </c>
      <c r="D25" s="4"/>
      <c r="E25" s="4"/>
      <c r="F25" s="4"/>
    </row>
    <row r="26" spans="1:6" x14ac:dyDescent="0.25">
      <c r="A26" s="4" t="s">
        <v>42</v>
      </c>
      <c r="B26" s="4" t="s">
        <v>7</v>
      </c>
      <c r="C26" s="4" t="s">
        <v>216</v>
      </c>
      <c r="D26" s="4"/>
      <c r="E26" s="4"/>
      <c r="F26" s="4"/>
    </row>
    <row r="27" spans="1:6" x14ac:dyDescent="0.25">
      <c r="A27" s="4" t="s">
        <v>43</v>
      </c>
      <c r="B27" s="4" t="s">
        <v>44</v>
      </c>
      <c r="C27" s="4" t="s">
        <v>216</v>
      </c>
      <c r="D27" s="4"/>
      <c r="E27" s="4"/>
      <c r="F27" s="4"/>
    </row>
    <row r="28" spans="1:6" x14ac:dyDescent="0.25">
      <c r="A28" s="4" t="s">
        <v>45</v>
      </c>
      <c r="B28" s="4" t="s">
        <v>23</v>
      </c>
      <c r="C28" s="4" t="s">
        <v>216</v>
      </c>
      <c r="D28" s="4"/>
      <c r="E28" s="4"/>
      <c r="F28" s="4"/>
    </row>
    <row r="29" spans="1:6" x14ac:dyDescent="0.25">
      <c r="A29" s="4" t="s">
        <v>46</v>
      </c>
      <c r="B29" s="4" t="s">
        <v>47</v>
      </c>
      <c r="C29" s="4" t="s">
        <v>214</v>
      </c>
      <c r="D29" s="4" t="s">
        <v>226</v>
      </c>
      <c r="E29" s="11">
        <v>290</v>
      </c>
      <c r="F29" s="4"/>
    </row>
    <row r="30" spans="1:6" x14ac:dyDescent="0.25">
      <c r="A30" s="4" t="s">
        <v>48</v>
      </c>
      <c r="B30" s="4" t="s">
        <v>37</v>
      </c>
      <c r="C30" s="4" t="s">
        <v>214</v>
      </c>
      <c r="D30" s="4" t="s">
        <v>227</v>
      </c>
      <c r="E30" s="11">
        <v>220</v>
      </c>
      <c r="F30" s="4"/>
    </row>
    <row r="31" spans="1:6" x14ac:dyDescent="0.25">
      <c r="A31" s="4" t="s">
        <v>49</v>
      </c>
      <c r="B31" s="4" t="s">
        <v>50</v>
      </c>
      <c r="C31" s="4" t="s">
        <v>214</v>
      </c>
      <c r="D31" s="4" t="s">
        <v>228</v>
      </c>
      <c r="E31" s="11">
        <v>24692</v>
      </c>
      <c r="F31" s="4"/>
    </row>
    <row r="32" spans="1:6" x14ac:dyDescent="0.25">
      <c r="A32" s="4" t="s">
        <v>51</v>
      </c>
      <c r="B32" s="4" t="s">
        <v>52</v>
      </c>
      <c r="C32" s="4" t="s">
        <v>214</v>
      </c>
      <c r="D32" s="4" t="s">
        <v>272</v>
      </c>
      <c r="E32" s="11">
        <v>24686</v>
      </c>
      <c r="F32" s="4"/>
    </row>
    <row r="33" spans="1:6" x14ac:dyDescent="0.25">
      <c r="A33" s="4" t="s">
        <v>53</v>
      </c>
      <c r="B33" s="4" t="s">
        <v>23</v>
      </c>
      <c r="C33" s="4" t="s">
        <v>216</v>
      </c>
      <c r="D33" s="4"/>
      <c r="E33" s="4"/>
      <c r="F33" s="4"/>
    </row>
    <row r="34" spans="1:6" x14ac:dyDescent="0.25">
      <c r="A34" s="4" t="s">
        <v>54</v>
      </c>
      <c r="B34" s="4" t="s">
        <v>55</v>
      </c>
      <c r="C34" s="4" t="s">
        <v>216</v>
      </c>
      <c r="D34" s="10" t="s">
        <v>273</v>
      </c>
      <c r="E34" s="4" t="s">
        <v>274</v>
      </c>
      <c r="F34" s="4"/>
    </row>
    <row r="35" spans="1:6" x14ac:dyDescent="0.25">
      <c r="A35" s="4" t="s">
        <v>56</v>
      </c>
      <c r="B35" s="4" t="s">
        <v>55</v>
      </c>
      <c r="C35" s="4" t="s">
        <v>216</v>
      </c>
      <c r="D35" s="10" t="s">
        <v>273</v>
      </c>
      <c r="E35" s="11" t="s">
        <v>275</v>
      </c>
      <c r="F35" s="4"/>
    </row>
    <row r="36" spans="1:6" x14ac:dyDescent="0.25">
      <c r="A36" s="4" t="s">
        <v>57</v>
      </c>
      <c r="B36" s="4" t="s">
        <v>40</v>
      </c>
      <c r="C36" s="4" t="s">
        <v>214</v>
      </c>
      <c r="D36" s="4" t="s">
        <v>52</v>
      </c>
      <c r="E36" s="4"/>
      <c r="F36" s="4"/>
    </row>
    <row r="37" spans="1:6" x14ac:dyDescent="0.25">
      <c r="A37" s="4" t="s">
        <v>58</v>
      </c>
      <c r="B37" s="4" t="s">
        <v>29</v>
      </c>
      <c r="C37" s="4" t="s">
        <v>214</v>
      </c>
      <c r="D37" s="10" t="s">
        <v>229</v>
      </c>
      <c r="E37" s="11">
        <v>255</v>
      </c>
      <c r="F37" s="4"/>
    </row>
    <row r="38" spans="1:6" x14ac:dyDescent="0.25">
      <c r="A38" s="4" t="s">
        <v>59</v>
      </c>
      <c r="B38" s="4" t="s">
        <v>23</v>
      </c>
      <c r="C38" s="4" t="s">
        <v>214</v>
      </c>
      <c r="D38" s="10" t="s">
        <v>230</v>
      </c>
      <c r="E38" s="11">
        <v>267</v>
      </c>
      <c r="F38" s="4"/>
    </row>
    <row r="39" spans="1:6" x14ac:dyDescent="0.25">
      <c r="A39" s="4" t="s">
        <v>60</v>
      </c>
      <c r="B39" s="4" t="s">
        <v>29</v>
      </c>
      <c r="C39" s="4" t="s">
        <v>214</v>
      </c>
      <c r="D39" s="10" t="s">
        <v>231</v>
      </c>
      <c r="E39" s="11">
        <v>283</v>
      </c>
      <c r="F39" s="4"/>
    </row>
    <row r="40" spans="1:6" x14ac:dyDescent="0.25">
      <c r="A40" s="4" t="s">
        <v>61</v>
      </c>
      <c r="B40" s="4" t="s">
        <v>55</v>
      </c>
      <c r="C40" s="4" t="s">
        <v>214</v>
      </c>
      <c r="D40" s="10" t="s">
        <v>232</v>
      </c>
      <c r="E40" s="11">
        <v>284</v>
      </c>
      <c r="F40" s="4"/>
    </row>
    <row r="41" spans="1:6" x14ac:dyDescent="0.25">
      <c r="A41" s="4" t="s">
        <v>62</v>
      </c>
      <c r="B41" s="4" t="s">
        <v>23</v>
      </c>
      <c r="C41" s="4" t="s">
        <v>214</v>
      </c>
      <c r="D41" s="10" t="s">
        <v>233</v>
      </c>
      <c r="E41" s="11">
        <v>312</v>
      </c>
      <c r="F41" s="4"/>
    </row>
    <row r="42" spans="1:6" x14ac:dyDescent="0.25">
      <c r="A42" s="4" t="s">
        <v>63</v>
      </c>
      <c r="B42" s="4" t="s">
        <v>5</v>
      </c>
      <c r="C42" s="4" t="s">
        <v>214</v>
      </c>
      <c r="D42" s="4"/>
      <c r="E42" s="4"/>
      <c r="F42" s="12" t="s">
        <v>236</v>
      </c>
    </row>
    <row r="43" spans="1:6" x14ac:dyDescent="0.25">
      <c r="A43" s="4" t="s">
        <v>64</v>
      </c>
      <c r="B43" s="4" t="s">
        <v>7</v>
      </c>
      <c r="C43" s="4" t="s">
        <v>214</v>
      </c>
      <c r="D43" s="4"/>
      <c r="E43" s="4"/>
      <c r="F43" s="12" t="s">
        <v>236</v>
      </c>
    </row>
    <row r="44" spans="1:6" x14ac:dyDescent="0.25">
      <c r="A44" s="4" t="s">
        <v>65</v>
      </c>
      <c r="B44" s="4" t="s">
        <v>66</v>
      </c>
      <c r="C44" s="4" t="s">
        <v>214</v>
      </c>
      <c r="D44" s="4"/>
      <c r="E44" s="4"/>
      <c r="F44" s="12" t="s">
        <v>236</v>
      </c>
    </row>
    <row r="45" spans="1:6" x14ac:dyDescent="0.25">
      <c r="A45" s="4" t="s">
        <v>67</v>
      </c>
      <c r="B45" s="4" t="s">
        <v>7</v>
      </c>
      <c r="C45" s="4" t="s">
        <v>214</v>
      </c>
      <c r="D45" s="10" t="s">
        <v>234</v>
      </c>
      <c r="E45" s="11">
        <v>24697</v>
      </c>
      <c r="F45" s="4"/>
    </row>
    <row r="46" spans="1:6" x14ac:dyDescent="0.25">
      <c r="A46" s="4" t="s">
        <v>68</v>
      </c>
      <c r="B46" s="4" t="s">
        <v>47</v>
      </c>
      <c r="C46" s="4" t="s">
        <v>214</v>
      </c>
      <c r="D46" s="4"/>
      <c r="E46" s="4"/>
      <c r="F46" s="12" t="s">
        <v>236</v>
      </c>
    </row>
    <row r="47" spans="1:6" x14ac:dyDescent="0.25">
      <c r="A47" s="4" t="s">
        <v>69</v>
      </c>
      <c r="B47" s="4" t="s">
        <v>23</v>
      </c>
      <c r="C47" s="4" t="s">
        <v>214</v>
      </c>
      <c r="D47" s="4"/>
      <c r="E47" s="4"/>
      <c r="F47" s="12" t="s">
        <v>236</v>
      </c>
    </row>
    <row r="48" spans="1:6" x14ac:dyDescent="0.25">
      <c r="A48" s="4" t="s">
        <v>70</v>
      </c>
      <c r="B48" s="4" t="s">
        <v>34</v>
      </c>
      <c r="C48" s="4" t="s">
        <v>214</v>
      </c>
      <c r="D48" s="13" t="s">
        <v>235</v>
      </c>
      <c r="E48" s="14">
        <v>17778</v>
      </c>
      <c r="F4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cols>
    <col min="1" max="1" width="44.28515625" bestFit="1" customWidth="1"/>
    <col min="2" max="2" width="29.28515625" bestFit="1" customWidth="1"/>
    <col min="3" max="3" width="8.85546875" bestFit="1" customWidth="1"/>
    <col min="4" max="4" width="39.5703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COUNTIF(C1:C16,"correct")</f>
        <v>4</v>
      </c>
    </row>
    <row r="2" spans="1:9" x14ac:dyDescent="0.25">
      <c r="A2" s="4" t="s">
        <v>71</v>
      </c>
      <c r="B2" s="4" t="s">
        <v>72</v>
      </c>
      <c r="C2" s="4" t="s">
        <v>216</v>
      </c>
      <c r="D2" s="4"/>
      <c r="E2" s="4"/>
      <c r="F2" s="4"/>
      <c r="H2" s="2" t="s">
        <v>214</v>
      </c>
      <c r="I2" s="4">
        <f>COUNTIF(C2:C16,"Incorrect")</f>
        <v>10</v>
      </c>
    </row>
    <row r="3" spans="1:9" x14ac:dyDescent="0.25">
      <c r="A3" s="4" t="s">
        <v>73</v>
      </c>
      <c r="B3" s="4" t="s">
        <v>74</v>
      </c>
      <c r="C3" s="4" t="s">
        <v>214</v>
      </c>
      <c r="D3" s="4" t="s">
        <v>238</v>
      </c>
      <c r="E3" s="11">
        <v>13762</v>
      </c>
      <c r="F3" s="4"/>
      <c r="H3" s="4"/>
      <c r="I3" s="9">
        <f>I1/SUM(I1:I2)</f>
        <v>0.2857142857142857</v>
      </c>
    </row>
    <row r="4" spans="1:9" x14ac:dyDescent="0.25">
      <c r="A4" s="4" t="s">
        <v>40</v>
      </c>
      <c r="B4" s="4" t="s">
        <v>23</v>
      </c>
      <c r="C4" s="4"/>
      <c r="D4" s="4" t="s">
        <v>225</v>
      </c>
      <c r="E4" s="4"/>
      <c r="F4" s="4"/>
    </row>
    <row r="5" spans="1:9" x14ac:dyDescent="0.25">
      <c r="A5" s="4" t="s">
        <v>75</v>
      </c>
      <c r="B5" s="4" t="s">
        <v>76</v>
      </c>
      <c r="C5" s="4" t="s">
        <v>214</v>
      </c>
      <c r="D5" s="4" t="s">
        <v>75</v>
      </c>
      <c r="E5" s="11">
        <v>13728</v>
      </c>
      <c r="F5" s="4"/>
    </row>
    <row r="6" spans="1:9" ht="15" customHeight="1" x14ac:dyDescent="0.25">
      <c r="A6" s="4" t="s">
        <v>77</v>
      </c>
      <c r="B6" s="4" t="s">
        <v>77</v>
      </c>
      <c r="C6" s="4" t="s">
        <v>216</v>
      </c>
      <c r="D6" s="4"/>
      <c r="E6" s="4"/>
      <c r="F6" s="4"/>
    </row>
    <row r="7" spans="1:9" x14ac:dyDescent="0.25">
      <c r="A7" s="4" t="s">
        <v>78</v>
      </c>
      <c r="B7" s="4" t="s">
        <v>79</v>
      </c>
      <c r="C7" s="4" t="s">
        <v>214</v>
      </c>
      <c r="D7" s="4" t="s">
        <v>239</v>
      </c>
      <c r="E7" s="11">
        <v>13752</v>
      </c>
      <c r="F7" s="4"/>
    </row>
    <row r="8" spans="1:9" x14ac:dyDescent="0.25">
      <c r="A8" s="4" t="s">
        <v>80</v>
      </c>
      <c r="B8" s="4" t="s">
        <v>81</v>
      </c>
      <c r="C8" s="4" t="s">
        <v>216</v>
      </c>
      <c r="D8" s="4"/>
      <c r="E8" s="4"/>
      <c r="F8" s="4"/>
    </row>
    <row r="9" spans="1:9" x14ac:dyDescent="0.25">
      <c r="A9" s="4" t="s">
        <v>82</v>
      </c>
      <c r="B9" s="4" t="s">
        <v>23</v>
      </c>
      <c r="C9" s="4" t="s">
        <v>216</v>
      </c>
      <c r="D9" s="4"/>
      <c r="E9" s="4"/>
      <c r="F9" s="4"/>
    </row>
    <row r="10" spans="1:9" x14ac:dyDescent="0.25">
      <c r="A10" s="4" t="s">
        <v>83</v>
      </c>
      <c r="B10" s="4" t="s">
        <v>84</v>
      </c>
      <c r="C10" s="4" t="s">
        <v>214</v>
      </c>
      <c r="D10" s="4" t="s">
        <v>240</v>
      </c>
      <c r="E10" s="11">
        <v>13721</v>
      </c>
      <c r="F10" s="4"/>
    </row>
    <row r="11" spans="1:9" x14ac:dyDescent="0.25">
      <c r="A11" s="4" t="s">
        <v>85</v>
      </c>
      <c r="B11" s="4" t="s">
        <v>86</v>
      </c>
      <c r="C11" s="4" t="s">
        <v>214</v>
      </c>
      <c r="D11" s="4" t="s">
        <v>241</v>
      </c>
      <c r="E11" s="11">
        <v>13717</v>
      </c>
      <c r="F11" s="4"/>
    </row>
    <row r="12" spans="1:9" x14ac:dyDescent="0.25">
      <c r="A12" s="4" t="s">
        <v>87</v>
      </c>
      <c r="B12" s="4" t="s">
        <v>88</v>
      </c>
      <c r="C12" s="4" t="s">
        <v>214</v>
      </c>
      <c r="D12" s="4" t="s">
        <v>87</v>
      </c>
      <c r="E12" s="11">
        <v>13738</v>
      </c>
      <c r="F12" s="4"/>
    </row>
    <row r="13" spans="1:9" x14ac:dyDescent="0.25">
      <c r="A13" s="4" t="s">
        <v>89</v>
      </c>
      <c r="B13" s="4" t="s">
        <v>90</v>
      </c>
      <c r="C13" s="4" t="s">
        <v>214</v>
      </c>
      <c r="D13" s="4" t="s">
        <v>89</v>
      </c>
      <c r="E13" s="11">
        <v>13716</v>
      </c>
      <c r="F13" s="4"/>
    </row>
    <row r="14" spans="1:9" x14ac:dyDescent="0.25">
      <c r="A14" s="4" t="s">
        <v>91</v>
      </c>
      <c r="B14" s="4" t="s">
        <v>23</v>
      </c>
      <c r="C14" s="4" t="s">
        <v>214</v>
      </c>
      <c r="D14" s="4" t="s">
        <v>91</v>
      </c>
      <c r="E14" s="11">
        <v>13772</v>
      </c>
      <c r="F14" s="4"/>
    </row>
    <row r="15" spans="1:9" x14ac:dyDescent="0.25">
      <c r="A15" s="4" t="s">
        <v>92</v>
      </c>
      <c r="B15" s="4" t="s">
        <v>93</v>
      </c>
      <c r="C15" s="4" t="s">
        <v>214</v>
      </c>
      <c r="D15" s="4" t="s">
        <v>92</v>
      </c>
      <c r="E15" s="11">
        <v>13749</v>
      </c>
      <c r="F15" s="4"/>
    </row>
    <row r="16" spans="1:9" x14ac:dyDescent="0.25">
      <c r="A16" s="4" t="s">
        <v>80</v>
      </c>
      <c r="B16" s="4" t="s">
        <v>81</v>
      </c>
      <c r="C16" s="4" t="s">
        <v>214</v>
      </c>
      <c r="D16" s="16" t="s">
        <v>105</v>
      </c>
      <c r="E16" s="14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cols>
    <col min="1" max="1" width="44.28515625" bestFit="1" customWidth="1"/>
    <col min="2" max="2" width="29.28515625" bestFit="1" customWidth="1"/>
    <col min="3" max="3" width="8.85546875" bestFit="1" customWidth="1"/>
    <col min="4" max="4" width="20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COUNTIF(C1:C16,"correct")</f>
        <v>4</v>
      </c>
    </row>
    <row r="2" spans="1:9" x14ac:dyDescent="0.25">
      <c r="A2" s="4" t="s">
        <v>71</v>
      </c>
      <c r="B2" s="4" t="s">
        <v>72</v>
      </c>
      <c r="C2" s="4" t="s">
        <v>216</v>
      </c>
      <c r="D2" s="4"/>
      <c r="E2" s="4"/>
      <c r="F2" s="4"/>
      <c r="H2" s="2" t="s">
        <v>214</v>
      </c>
      <c r="I2" s="4">
        <f>COUNTIF(C2:C16,"Incorrect")</f>
        <v>10</v>
      </c>
    </row>
    <row r="3" spans="1:9" x14ac:dyDescent="0.25">
      <c r="A3" s="4" t="s">
        <v>73</v>
      </c>
      <c r="B3" s="4" t="s">
        <v>74</v>
      </c>
      <c r="C3" s="4" t="s">
        <v>214</v>
      </c>
      <c r="D3" s="4" t="s">
        <v>238</v>
      </c>
      <c r="E3" s="11">
        <v>13762</v>
      </c>
      <c r="F3" s="4"/>
      <c r="H3" s="4"/>
      <c r="I3" s="9">
        <f>I1/SUM(I1:I2)</f>
        <v>0.2857142857142857</v>
      </c>
    </row>
    <row r="4" spans="1:9" x14ac:dyDescent="0.25">
      <c r="A4" s="4" t="s">
        <v>40</v>
      </c>
      <c r="B4" s="4" t="s">
        <v>23</v>
      </c>
      <c r="C4" s="4"/>
      <c r="D4" s="4" t="s">
        <v>40</v>
      </c>
      <c r="E4" s="11">
        <v>13744</v>
      </c>
      <c r="F4" s="4"/>
    </row>
    <row r="5" spans="1:9" x14ac:dyDescent="0.25">
      <c r="A5" s="4" t="s">
        <v>75</v>
      </c>
      <c r="B5" s="4" t="s">
        <v>76</v>
      </c>
      <c r="C5" s="4" t="s">
        <v>214</v>
      </c>
      <c r="D5" s="4" t="s">
        <v>75</v>
      </c>
      <c r="E5" s="11">
        <v>13728</v>
      </c>
      <c r="F5" s="4"/>
    </row>
    <row r="6" spans="1:9" ht="15" customHeight="1" x14ac:dyDescent="0.25">
      <c r="A6" s="4" t="s">
        <v>77</v>
      </c>
      <c r="B6" s="4" t="s">
        <v>77</v>
      </c>
      <c r="C6" s="4" t="s">
        <v>216</v>
      </c>
      <c r="D6" s="4"/>
      <c r="E6" s="4"/>
      <c r="F6" s="4"/>
    </row>
    <row r="7" spans="1:9" x14ac:dyDescent="0.25">
      <c r="A7" s="4" t="s">
        <v>78</v>
      </c>
      <c r="B7" s="4" t="s">
        <v>79</v>
      </c>
      <c r="C7" s="4" t="s">
        <v>214</v>
      </c>
      <c r="D7" s="4" t="s">
        <v>239</v>
      </c>
      <c r="E7" s="11">
        <v>13752</v>
      </c>
      <c r="F7" s="4"/>
    </row>
    <row r="8" spans="1:9" x14ac:dyDescent="0.25">
      <c r="A8" s="4" t="s">
        <v>80</v>
      </c>
      <c r="B8" s="4" t="s">
        <v>81</v>
      </c>
      <c r="C8" s="4" t="s">
        <v>216</v>
      </c>
      <c r="D8" s="4"/>
      <c r="E8" s="4"/>
      <c r="F8" s="4"/>
    </row>
    <row r="9" spans="1:9" x14ac:dyDescent="0.25">
      <c r="A9" s="4" t="s">
        <v>82</v>
      </c>
      <c r="B9" s="4" t="s">
        <v>23</v>
      </c>
      <c r="C9" s="4" t="s">
        <v>216</v>
      </c>
      <c r="D9" s="4"/>
      <c r="E9" s="4"/>
      <c r="F9" s="4"/>
    </row>
    <row r="10" spans="1:9" x14ac:dyDescent="0.25">
      <c r="A10" s="4" t="s">
        <v>83</v>
      </c>
      <c r="B10" s="4" t="s">
        <v>84</v>
      </c>
      <c r="C10" s="4" t="s">
        <v>214</v>
      </c>
      <c r="D10" s="4" t="s">
        <v>240</v>
      </c>
      <c r="E10" s="11">
        <v>13721</v>
      </c>
      <c r="F10" s="4"/>
    </row>
    <row r="11" spans="1:9" x14ac:dyDescent="0.25">
      <c r="A11" s="4" t="s">
        <v>85</v>
      </c>
      <c r="B11" s="4" t="s">
        <v>86</v>
      </c>
      <c r="C11" s="4" t="s">
        <v>214</v>
      </c>
      <c r="D11" s="4" t="s">
        <v>241</v>
      </c>
      <c r="E11" s="11">
        <v>13717</v>
      </c>
      <c r="F11" s="4"/>
    </row>
    <row r="12" spans="1:9" x14ac:dyDescent="0.25">
      <c r="A12" s="4" t="s">
        <v>87</v>
      </c>
      <c r="B12" s="4" t="s">
        <v>88</v>
      </c>
      <c r="C12" s="4" t="s">
        <v>214</v>
      </c>
      <c r="D12" s="4" t="s">
        <v>87</v>
      </c>
      <c r="E12" s="11">
        <v>13738</v>
      </c>
      <c r="F12" s="4"/>
    </row>
    <row r="13" spans="1:9" x14ac:dyDescent="0.25">
      <c r="A13" s="4" t="s">
        <v>89</v>
      </c>
      <c r="B13" s="4" t="s">
        <v>90</v>
      </c>
      <c r="C13" s="4" t="s">
        <v>214</v>
      </c>
      <c r="D13" s="4" t="s">
        <v>89</v>
      </c>
      <c r="E13" s="11">
        <v>13716</v>
      </c>
      <c r="F13" s="4"/>
    </row>
    <row r="14" spans="1:9" x14ac:dyDescent="0.25">
      <c r="A14" s="4" t="s">
        <v>91</v>
      </c>
      <c r="B14" s="4" t="s">
        <v>23</v>
      </c>
      <c r="C14" s="4" t="s">
        <v>214</v>
      </c>
      <c r="D14" s="4" t="s">
        <v>91</v>
      </c>
      <c r="E14" s="11">
        <v>13772</v>
      </c>
      <c r="F14" s="4"/>
    </row>
    <row r="15" spans="1:9" x14ac:dyDescent="0.25">
      <c r="A15" s="4" t="s">
        <v>92</v>
      </c>
      <c r="B15" s="4" t="s">
        <v>93</v>
      </c>
      <c r="C15" s="4" t="s">
        <v>214</v>
      </c>
      <c r="D15" s="4" t="s">
        <v>92</v>
      </c>
      <c r="E15" s="11">
        <v>13749</v>
      </c>
      <c r="F15" s="4"/>
    </row>
    <row r="16" spans="1:9" x14ac:dyDescent="0.25">
      <c r="A16" s="4" t="s">
        <v>80</v>
      </c>
      <c r="B16" s="4" t="s">
        <v>81</v>
      </c>
      <c r="C16" s="4" t="s">
        <v>214</v>
      </c>
      <c r="D16" s="16" t="s">
        <v>105</v>
      </c>
      <c r="E16" s="14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workbookViewId="0"/>
  </sheetViews>
  <sheetFormatPr defaultRowHeight="15" x14ac:dyDescent="0.25"/>
  <cols>
    <col min="1" max="1" width="55.7109375" bestFit="1" customWidth="1"/>
    <col min="2" max="2" width="62.28515625" bestFit="1" customWidth="1"/>
    <col min="3" max="3" width="8.85546875" bestFit="1" customWidth="1"/>
    <col min="4" max="4" width="27.1406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COUNTIF(C1:C45,"correct")</f>
        <v>21</v>
      </c>
    </row>
    <row r="2" spans="1:9" x14ac:dyDescent="0.25">
      <c r="A2" s="4" t="s">
        <v>122</v>
      </c>
      <c r="B2" s="4" t="s">
        <v>123</v>
      </c>
      <c r="C2" s="4" t="s">
        <v>216</v>
      </c>
      <c r="D2" s="4"/>
      <c r="E2" s="4"/>
      <c r="F2" s="4"/>
      <c r="H2" s="2" t="s">
        <v>214</v>
      </c>
      <c r="I2" s="4">
        <f>COUNTIF(C2:C45,"Incorrect")</f>
        <v>18</v>
      </c>
    </row>
    <row r="3" spans="1:9" x14ac:dyDescent="0.25">
      <c r="A3" s="4" t="s">
        <v>124</v>
      </c>
      <c r="B3" s="4" t="s">
        <v>23</v>
      </c>
      <c r="C3" s="4" t="s">
        <v>216</v>
      </c>
      <c r="D3" s="4"/>
      <c r="E3" s="4"/>
      <c r="F3" s="4"/>
      <c r="H3" s="4"/>
      <c r="I3" s="9">
        <f>I1/SUM(I1:I2)</f>
        <v>0.53846153846153844</v>
      </c>
    </row>
    <row r="4" spans="1:9" x14ac:dyDescent="0.25">
      <c r="A4" s="4" t="s">
        <v>125</v>
      </c>
      <c r="B4" s="4" t="s">
        <v>126</v>
      </c>
      <c r="C4" s="4" t="s">
        <v>214</v>
      </c>
      <c r="D4" s="4" t="s">
        <v>242</v>
      </c>
      <c r="E4" s="11">
        <v>30399</v>
      </c>
      <c r="F4" s="4"/>
    </row>
    <row r="5" spans="1:9" x14ac:dyDescent="0.25">
      <c r="A5" s="4" t="s">
        <v>127</v>
      </c>
      <c r="B5" s="4" t="s">
        <v>128</v>
      </c>
      <c r="C5" s="4" t="s">
        <v>216</v>
      </c>
      <c r="D5" s="4"/>
      <c r="E5" s="4"/>
      <c r="F5" s="4"/>
    </row>
    <row r="6" spans="1:9" ht="15" customHeight="1" x14ac:dyDescent="0.25">
      <c r="A6" s="4" t="s">
        <v>129</v>
      </c>
      <c r="B6" s="4" t="s">
        <v>126</v>
      </c>
      <c r="C6" s="4" t="s">
        <v>214</v>
      </c>
      <c r="D6" s="4" t="s">
        <v>255</v>
      </c>
      <c r="E6" s="4">
        <v>30396</v>
      </c>
      <c r="F6" s="4"/>
    </row>
    <row r="7" spans="1:9" x14ac:dyDescent="0.25">
      <c r="A7" s="4" t="s">
        <v>130</v>
      </c>
      <c r="B7" s="4" t="s">
        <v>131</v>
      </c>
      <c r="C7" s="4" t="s">
        <v>214</v>
      </c>
      <c r="D7" s="4" t="s">
        <v>276</v>
      </c>
      <c r="E7" s="11">
        <v>30479</v>
      </c>
      <c r="F7" s="4"/>
    </row>
    <row r="8" spans="1:9" x14ac:dyDescent="0.25">
      <c r="A8" s="4" t="s">
        <v>132</v>
      </c>
      <c r="B8" s="4" t="s">
        <v>133</v>
      </c>
      <c r="C8" s="4" t="s">
        <v>214</v>
      </c>
      <c r="D8" s="4" t="s">
        <v>243</v>
      </c>
      <c r="E8" s="11">
        <v>30633</v>
      </c>
      <c r="F8" s="4"/>
    </row>
    <row r="9" spans="1:9" x14ac:dyDescent="0.25">
      <c r="A9" s="4" t="s">
        <v>134</v>
      </c>
      <c r="B9" s="4" t="s">
        <v>135</v>
      </c>
      <c r="C9" s="4" t="s">
        <v>214</v>
      </c>
      <c r="D9" s="4" t="s">
        <v>244</v>
      </c>
      <c r="E9" s="11">
        <v>30635</v>
      </c>
      <c r="F9" s="4"/>
    </row>
    <row r="10" spans="1:9" x14ac:dyDescent="0.25">
      <c r="A10" s="4" t="s">
        <v>136</v>
      </c>
      <c r="B10" s="4" t="s">
        <v>137</v>
      </c>
      <c r="C10" s="4" t="s">
        <v>214</v>
      </c>
      <c r="D10" s="4" t="s">
        <v>277</v>
      </c>
      <c r="E10" s="11">
        <v>30628</v>
      </c>
      <c r="F10" s="4"/>
    </row>
    <row r="11" spans="1:9" x14ac:dyDescent="0.25">
      <c r="A11" s="4" t="s">
        <v>138</v>
      </c>
      <c r="B11" s="4" t="s">
        <v>139</v>
      </c>
      <c r="C11" s="4" t="s">
        <v>216</v>
      </c>
      <c r="D11" s="4"/>
      <c r="E11" s="4"/>
      <c r="F11" s="4"/>
    </row>
    <row r="12" spans="1:9" x14ac:dyDescent="0.25">
      <c r="A12" s="4" t="s">
        <v>140</v>
      </c>
      <c r="B12" s="4" t="s">
        <v>141</v>
      </c>
      <c r="C12" s="4" t="s">
        <v>216</v>
      </c>
      <c r="D12" s="4" t="s">
        <v>267</v>
      </c>
      <c r="E12" s="11">
        <v>30503</v>
      </c>
      <c r="F12" s="4"/>
    </row>
    <row r="13" spans="1:9" x14ac:dyDescent="0.25">
      <c r="A13" s="4" t="s">
        <v>142</v>
      </c>
      <c r="B13" s="4" t="s">
        <v>143</v>
      </c>
      <c r="C13" s="4" t="s">
        <v>214</v>
      </c>
      <c r="D13" s="4" t="s">
        <v>256</v>
      </c>
      <c r="E13" s="11">
        <v>30425</v>
      </c>
      <c r="F13" s="4"/>
    </row>
    <row r="14" spans="1:9" x14ac:dyDescent="0.25">
      <c r="A14" s="4" t="s">
        <v>144</v>
      </c>
      <c r="B14" s="4" t="s">
        <v>145</v>
      </c>
      <c r="C14" s="4" t="s">
        <v>214</v>
      </c>
      <c r="D14" s="4" t="s">
        <v>141</v>
      </c>
      <c r="E14" s="11">
        <v>30577</v>
      </c>
      <c r="F14" s="4"/>
    </row>
    <row r="15" spans="1:9" x14ac:dyDescent="0.25">
      <c r="A15" s="4" t="s">
        <v>146</v>
      </c>
      <c r="B15" s="4" t="s">
        <v>147</v>
      </c>
      <c r="C15" s="4" t="s">
        <v>214</v>
      </c>
      <c r="D15" s="16" t="s">
        <v>245</v>
      </c>
      <c r="E15" s="14">
        <v>30511</v>
      </c>
      <c r="F15" s="4"/>
    </row>
    <row r="16" spans="1:9" x14ac:dyDescent="0.25">
      <c r="A16" s="4" t="s">
        <v>148</v>
      </c>
      <c r="B16" s="4" t="s">
        <v>23</v>
      </c>
      <c r="C16" s="4" t="s">
        <v>216</v>
      </c>
      <c r="D16" s="4"/>
      <c r="E16" s="4"/>
      <c r="F16" s="4"/>
    </row>
    <row r="17" spans="1:6" x14ac:dyDescent="0.25">
      <c r="A17" s="4" t="s">
        <v>149</v>
      </c>
      <c r="B17" s="4" t="s">
        <v>150</v>
      </c>
      <c r="C17" s="4" t="s">
        <v>214</v>
      </c>
      <c r="D17" s="4" t="s">
        <v>246</v>
      </c>
      <c r="E17" s="11">
        <v>30433</v>
      </c>
      <c r="F17" s="4"/>
    </row>
    <row r="18" spans="1:6" x14ac:dyDescent="0.25">
      <c r="A18" s="4" t="s">
        <v>151</v>
      </c>
      <c r="B18" s="4" t="s">
        <v>152</v>
      </c>
      <c r="C18" s="4" t="s">
        <v>214</v>
      </c>
      <c r="D18" s="4" t="s">
        <v>247</v>
      </c>
      <c r="E18" s="11">
        <v>30429</v>
      </c>
      <c r="F18" s="4"/>
    </row>
    <row r="19" spans="1:6" x14ac:dyDescent="0.25">
      <c r="A19" s="4" t="s">
        <v>153</v>
      </c>
      <c r="B19" s="4" t="s">
        <v>154</v>
      </c>
      <c r="C19" s="4" t="s">
        <v>214</v>
      </c>
      <c r="D19" s="4" t="s">
        <v>248</v>
      </c>
      <c r="E19" s="11">
        <v>30448</v>
      </c>
      <c r="F19" s="4"/>
    </row>
    <row r="20" spans="1:6" x14ac:dyDescent="0.25">
      <c r="A20" s="4" t="s">
        <v>155</v>
      </c>
      <c r="B20" s="4" t="s">
        <v>156</v>
      </c>
      <c r="C20" s="4" t="s">
        <v>214</v>
      </c>
      <c r="D20" s="4" t="s">
        <v>249</v>
      </c>
      <c r="E20" s="11">
        <v>30431</v>
      </c>
      <c r="F20" s="4"/>
    </row>
    <row r="21" spans="1:6" x14ac:dyDescent="0.25">
      <c r="A21" s="4" t="s">
        <v>157</v>
      </c>
      <c r="B21" s="4" t="s">
        <v>158</v>
      </c>
      <c r="C21" s="4" t="s">
        <v>216</v>
      </c>
      <c r="D21" s="4"/>
      <c r="E21" s="4"/>
      <c r="F21" s="4"/>
    </row>
    <row r="22" spans="1:6" x14ac:dyDescent="0.25">
      <c r="A22" s="4" t="s">
        <v>159</v>
      </c>
      <c r="B22" s="4" t="s">
        <v>160</v>
      </c>
      <c r="C22" s="4" t="s">
        <v>214</v>
      </c>
      <c r="D22" s="4" t="s">
        <v>250</v>
      </c>
      <c r="E22" s="11">
        <v>30449</v>
      </c>
      <c r="F22" s="4"/>
    </row>
    <row r="23" spans="1:6" x14ac:dyDescent="0.25">
      <c r="A23" s="4" t="s">
        <v>146</v>
      </c>
      <c r="B23" s="4" t="s">
        <v>147</v>
      </c>
      <c r="C23" s="4"/>
      <c r="D23" s="4" t="s">
        <v>251</v>
      </c>
      <c r="E23" s="4"/>
      <c r="F23" s="4"/>
    </row>
    <row r="24" spans="1:6" x14ac:dyDescent="0.25">
      <c r="A24" s="4" t="s">
        <v>161</v>
      </c>
      <c r="B24" s="4" t="s">
        <v>147</v>
      </c>
      <c r="C24" s="4" t="s">
        <v>216</v>
      </c>
      <c r="D24" s="4" t="s">
        <v>251</v>
      </c>
      <c r="E24" s="4"/>
      <c r="F24" s="4"/>
    </row>
    <row r="25" spans="1:6" x14ac:dyDescent="0.25">
      <c r="A25" s="4" t="s">
        <v>162</v>
      </c>
      <c r="B25" s="4" t="s">
        <v>163</v>
      </c>
      <c r="C25" s="4" t="s">
        <v>216</v>
      </c>
      <c r="D25" s="4"/>
      <c r="E25" s="4"/>
      <c r="F25" s="4"/>
    </row>
    <row r="26" spans="1:6" x14ac:dyDescent="0.25">
      <c r="A26" s="4" t="s">
        <v>164</v>
      </c>
      <c r="B26" s="4" t="s">
        <v>165</v>
      </c>
      <c r="C26" s="4" t="s">
        <v>216</v>
      </c>
      <c r="D26" s="4"/>
      <c r="E26" s="4"/>
      <c r="F26" s="4"/>
    </row>
    <row r="27" spans="1:6" x14ac:dyDescent="0.25">
      <c r="A27" s="4" t="s">
        <v>166</v>
      </c>
      <c r="B27" s="4" t="s">
        <v>167</v>
      </c>
      <c r="C27" s="4" t="s">
        <v>216</v>
      </c>
      <c r="D27" s="4" t="s">
        <v>52</v>
      </c>
      <c r="E27" s="4"/>
      <c r="F27" s="4"/>
    </row>
    <row r="28" spans="1:6" x14ac:dyDescent="0.25">
      <c r="A28" s="4" t="s">
        <v>168</v>
      </c>
      <c r="B28" s="4" t="s">
        <v>169</v>
      </c>
      <c r="C28" s="4" t="s">
        <v>214</v>
      </c>
      <c r="D28" s="4" t="s">
        <v>252</v>
      </c>
      <c r="E28" s="11">
        <v>17556</v>
      </c>
      <c r="F28" s="4"/>
    </row>
    <row r="29" spans="1:6" x14ac:dyDescent="0.25">
      <c r="A29" s="4" t="s">
        <v>170</v>
      </c>
      <c r="B29" s="4" t="s">
        <v>171</v>
      </c>
      <c r="C29" s="4" t="s">
        <v>214</v>
      </c>
      <c r="D29" s="4" t="s">
        <v>253</v>
      </c>
      <c r="E29" s="11">
        <v>30662</v>
      </c>
      <c r="F29" s="4"/>
    </row>
    <row r="30" spans="1:6" x14ac:dyDescent="0.25">
      <c r="A30" s="4" t="s">
        <v>172</v>
      </c>
      <c r="B30" s="4" t="s">
        <v>139</v>
      </c>
      <c r="C30" s="4" t="s">
        <v>216</v>
      </c>
      <c r="D30" s="4"/>
      <c r="E30" s="4"/>
      <c r="F30" s="4"/>
    </row>
    <row r="31" spans="1:6" x14ac:dyDescent="0.25">
      <c r="A31" s="4" t="s">
        <v>173</v>
      </c>
      <c r="B31" s="4" t="s">
        <v>174</v>
      </c>
      <c r="C31" s="4" t="s">
        <v>216</v>
      </c>
      <c r="D31" s="4"/>
      <c r="E31" s="4"/>
      <c r="F31" s="4"/>
    </row>
    <row r="32" spans="1:6" x14ac:dyDescent="0.25">
      <c r="A32" s="4" t="s">
        <v>175</v>
      </c>
      <c r="B32" s="4" t="s">
        <v>167</v>
      </c>
      <c r="C32" s="4" t="s">
        <v>216</v>
      </c>
      <c r="D32" s="4"/>
      <c r="E32" s="4"/>
      <c r="F32" s="4"/>
    </row>
    <row r="33" spans="1:6" x14ac:dyDescent="0.25">
      <c r="A33" s="4" t="s">
        <v>176</v>
      </c>
      <c r="B33" s="4" t="s">
        <v>23</v>
      </c>
      <c r="C33" s="4" t="s">
        <v>216</v>
      </c>
      <c r="D33" s="4"/>
      <c r="E33" s="4"/>
      <c r="F33" s="4"/>
    </row>
    <row r="34" spans="1:6" x14ac:dyDescent="0.25">
      <c r="A34" s="4" t="s">
        <v>177</v>
      </c>
      <c r="B34" s="4" t="s">
        <v>128</v>
      </c>
      <c r="C34" s="4" t="s">
        <v>214</v>
      </c>
      <c r="D34" s="4" t="s">
        <v>254</v>
      </c>
      <c r="E34" s="11">
        <v>17553</v>
      </c>
      <c r="F34" s="4"/>
    </row>
    <row r="35" spans="1:6" x14ac:dyDescent="0.25">
      <c r="A35" s="4" t="s">
        <v>178</v>
      </c>
      <c r="B35" s="4" t="s">
        <v>156</v>
      </c>
      <c r="C35" s="4" t="s">
        <v>214</v>
      </c>
      <c r="D35" s="4" t="s">
        <v>278</v>
      </c>
      <c r="E35" s="11">
        <v>30670</v>
      </c>
      <c r="F35" s="4"/>
    </row>
    <row r="36" spans="1:6" x14ac:dyDescent="0.25">
      <c r="A36" s="4" t="s">
        <v>130</v>
      </c>
      <c r="B36" s="4" t="s">
        <v>131</v>
      </c>
      <c r="C36" s="4" t="s">
        <v>216</v>
      </c>
      <c r="D36" s="4"/>
      <c r="E36" s="4"/>
      <c r="F36" s="4"/>
    </row>
    <row r="37" spans="1:6" x14ac:dyDescent="0.25">
      <c r="A37" s="4" t="s">
        <v>179</v>
      </c>
      <c r="B37" s="4" t="s">
        <v>180</v>
      </c>
      <c r="C37" s="4" t="s">
        <v>216</v>
      </c>
      <c r="D37" s="4"/>
      <c r="E37" s="4"/>
      <c r="F37" s="4"/>
    </row>
    <row r="38" spans="1:6" x14ac:dyDescent="0.25">
      <c r="A38" s="4" t="s">
        <v>181</v>
      </c>
      <c r="B38" s="4" t="s">
        <v>182</v>
      </c>
      <c r="C38" s="4" t="s">
        <v>216</v>
      </c>
      <c r="D38" s="4"/>
      <c r="E38" s="4"/>
      <c r="F38" s="4"/>
    </row>
    <row r="39" spans="1:6" x14ac:dyDescent="0.25">
      <c r="A39" s="4" t="s">
        <v>183</v>
      </c>
      <c r="B39" s="4" t="s">
        <v>184</v>
      </c>
      <c r="C39" s="4" t="s">
        <v>216</v>
      </c>
      <c r="E39" s="4"/>
      <c r="F39" s="4"/>
    </row>
    <row r="40" spans="1:6" x14ac:dyDescent="0.25">
      <c r="A40" s="4" t="s">
        <v>185</v>
      </c>
      <c r="B40" s="4" t="s">
        <v>186</v>
      </c>
      <c r="C40" s="4" t="s">
        <v>216</v>
      </c>
      <c r="D40" s="4"/>
      <c r="E40" s="4"/>
      <c r="F40" s="4"/>
    </row>
    <row r="41" spans="1:6" x14ac:dyDescent="0.25">
      <c r="A41" s="4" t="s">
        <v>187</v>
      </c>
      <c r="B41" s="4" t="s">
        <v>23</v>
      </c>
      <c r="D41" s="4" t="s">
        <v>268</v>
      </c>
      <c r="F41" s="4"/>
    </row>
    <row r="42" spans="1:6" x14ac:dyDescent="0.25">
      <c r="A42" s="4" t="s">
        <v>85</v>
      </c>
      <c r="B42" s="4" t="s">
        <v>156</v>
      </c>
      <c r="C42" s="4"/>
      <c r="D42" s="4" t="s">
        <v>268</v>
      </c>
      <c r="E42" s="4"/>
      <c r="F42" s="4"/>
    </row>
    <row r="43" spans="1:6" x14ac:dyDescent="0.25">
      <c r="A43" s="4" t="s">
        <v>188</v>
      </c>
      <c r="B43" s="4" t="s">
        <v>189</v>
      </c>
      <c r="C43" s="4" t="s">
        <v>216</v>
      </c>
      <c r="D43" s="4"/>
      <c r="E43" s="4"/>
      <c r="F43" s="4"/>
    </row>
    <row r="44" spans="1:6" x14ac:dyDescent="0.25">
      <c r="A44" s="4" t="s">
        <v>187</v>
      </c>
      <c r="B44" s="4" t="s">
        <v>23</v>
      </c>
      <c r="C44" s="4"/>
      <c r="D44" s="4" t="s">
        <v>268</v>
      </c>
      <c r="E44" s="4"/>
      <c r="F44" s="4"/>
    </row>
    <row r="45" spans="1:6" x14ac:dyDescent="0.25">
      <c r="A45" s="4" t="s">
        <v>85</v>
      </c>
      <c r="B45" s="4" t="s">
        <v>156</v>
      </c>
      <c r="C45" s="4"/>
      <c r="D45" s="4" t="s">
        <v>268</v>
      </c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5"/>
  <sheetViews>
    <sheetView workbookViewId="0"/>
  </sheetViews>
  <sheetFormatPr defaultRowHeight="15" x14ac:dyDescent="0.25"/>
  <cols>
    <col min="1" max="1" width="53.28515625" customWidth="1"/>
    <col min="2" max="2" width="43.140625" customWidth="1"/>
    <col min="3" max="3" width="8.85546875" bestFit="1" customWidth="1"/>
    <col min="4" max="4" width="34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COUNTIF(C1:C45,"correct")</f>
        <v>18</v>
      </c>
    </row>
    <row r="2" spans="1:9" x14ac:dyDescent="0.25">
      <c r="A2" s="4" t="s">
        <v>190</v>
      </c>
      <c r="B2" s="4" t="s">
        <v>123</v>
      </c>
      <c r="C2" s="4" t="s">
        <v>216</v>
      </c>
      <c r="D2" s="4"/>
      <c r="E2" s="4"/>
      <c r="F2" s="4"/>
      <c r="H2" s="2" t="s">
        <v>214</v>
      </c>
      <c r="I2" s="4">
        <f>COUNTIF(C2:C45,"Incorrect")</f>
        <v>21</v>
      </c>
    </row>
    <row r="3" spans="1:9" x14ac:dyDescent="0.25">
      <c r="A3" s="4" t="s">
        <v>124</v>
      </c>
      <c r="B3" s="4" t="s">
        <v>23</v>
      </c>
      <c r="C3" s="4" t="s">
        <v>216</v>
      </c>
      <c r="D3" s="4"/>
      <c r="E3" s="4"/>
      <c r="F3" s="4"/>
      <c r="H3" s="4"/>
      <c r="I3" s="9">
        <f>I1/SUM(I1:I2)</f>
        <v>0.46153846153846156</v>
      </c>
    </row>
    <row r="4" spans="1:9" x14ac:dyDescent="0.25">
      <c r="A4" s="4" t="s">
        <v>191</v>
      </c>
      <c r="B4" s="4" t="s">
        <v>126</v>
      </c>
      <c r="C4" s="4" t="s">
        <v>214</v>
      </c>
      <c r="D4" s="4" t="s">
        <v>242</v>
      </c>
      <c r="E4" s="11">
        <v>30399</v>
      </c>
      <c r="F4" s="4"/>
    </row>
    <row r="5" spans="1:9" x14ac:dyDescent="0.25">
      <c r="A5" s="4" t="s">
        <v>127</v>
      </c>
      <c r="B5" s="4" t="s">
        <v>128</v>
      </c>
      <c r="C5" s="4" t="s">
        <v>216</v>
      </c>
      <c r="D5" s="4"/>
      <c r="E5" s="4"/>
      <c r="F5" s="4"/>
    </row>
    <row r="6" spans="1:9" ht="15" customHeight="1" x14ac:dyDescent="0.25">
      <c r="A6" s="4" t="s">
        <v>192</v>
      </c>
      <c r="B6" s="4" t="s">
        <v>126</v>
      </c>
      <c r="C6" s="4" t="s">
        <v>214</v>
      </c>
      <c r="D6" s="4" t="s">
        <v>255</v>
      </c>
      <c r="E6" s="11">
        <v>30396</v>
      </c>
      <c r="F6" s="4"/>
    </row>
    <row r="7" spans="1:9" x14ac:dyDescent="0.25">
      <c r="A7" s="4" t="s">
        <v>193</v>
      </c>
      <c r="B7" s="4" t="s">
        <v>133</v>
      </c>
      <c r="C7" s="4" t="s">
        <v>214</v>
      </c>
      <c r="D7" s="4" t="s">
        <v>243</v>
      </c>
      <c r="E7" s="11">
        <v>30633</v>
      </c>
      <c r="F7" s="4"/>
    </row>
    <row r="8" spans="1:9" x14ac:dyDescent="0.25">
      <c r="A8" s="4" t="s">
        <v>134</v>
      </c>
      <c r="B8" s="4" t="s">
        <v>135</v>
      </c>
      <c r="C8" s="4" t="s">
        <v>214</v>
      </c>
      <c r="D8" s="4" t="s">
        <v>244</v>
      </c>
      <c r="E8" s="11">
        <v>30635</v>
      </c>
      <c r="F8" s="4"/>
    </row>
    <row r="9" spans="1:9" x14ac:dyDescent="0.25">
      <c r="A9" s="4" t="s">
        <v>136</v>
      </c>
      <c r="B9" s="4" t="s">
        <v>137</v>
      </c>
      <c r="C9" s="4" t="s">
        <v>214</v>
      </c>
      <c r="D9" s="4" t="s">
        <v>277</v>
      </c>
      <c r="E9" s="11">
        <v>30628</v>
      </c>
      <c r="F9" s="4"/>
    </row>
    <row r="10" spans="1:9" x14ac:dyDescent="0.25">
      <c r="A10" s="4" t="s">
        <v>194</v>
      </c>
      <c r="B10" s="4" t="s">
        <v>143</v>
      </c>
      <c r="C10" s="4" t="s">
        <v>216</v>
      </c>
      <c r="D10" s="4"/>
      <c r="E10" s="4"/>
      <c r="F10" s="4"/>
    </row>
    <row r="11" spans="1:9" x14ac:dyDescent="0.25">
      <c r="A11" s="4" t="s">
        <v>195</v>
      </c>
      <c r="B11" s="4" t="s">
        <v>141</v>
      </c>
      <c r="C11" s="4" t="s">
        <v>216</v>
      </c>
      <c r="D11" s="4"/>
      <c r="E11" s="4"/>
      <c r="F11" s="4"/>
    </row>
    <row r="12" spans="1:9" x14ac:dyDescent="0.25">
      <c r="A12" s="4" t="s">
        <v>130</v>
      </c>
      <c r="B12" s="4" t="s">
        <v>131</v>
      </c>
      <c r="C12" s="4" t="s">
        <v>214</v>
      </c>
      <c r="D12" s="4" t="s">
        <v>276</v>
      </c>
      <c r="E12" s="11">
        <v>30479</v>
      </c>
      <c r="F12" s="4"/>
    </row>
    <row r="13" spans="1:9" x14ac:dyDescent="0.25">
      <c r="A13" s="4" t="s">
        <v>196</v>
      </c>
      <c r="B13" s="4" t="s">
        <v>145</v>
      </c>
      <c r="C13" s="4" t="s">
        <v>214</v>
      </c>
      <c r="D13" s="4" t="s">
        <v>267</v>
      </c>
      <c r="E13" s="11">
        <v>30503</v>
      </c>
      <c r="F13" s="4"/>
    </row>
    <row r="14" spans="1:9" x14ac:dyDescent="0.25">
      <c r="A14" s="4" t="s">
        <v>146</v>
      </c>
      <c r="B14" s="4" t="s">
        <v>147</v>
      </c>
      <c r="C14" s="4" t="s">
        <v>214</v>
      </c>
      <c r="D14" s="16" t="s">
        <v>245</v>
      </c>
      <c r="E14" s="14">
        <v>30511</v>
      </c>
      <c r="F14" s="4"/>
    </row>
    <row r="15" spans="1:9" x14ac:dyDescent="0.25">
      <c r="A15" s="4" t="s">
        <v>197</v>
      </c>
      <c r="B15" s="4" t="s">
        <v>23</v>
      </c>
      <c r="C15" s="4" t="s">
        <v>216</v>
      </c>
      <c r="D15" s="4"/>
      <c r="E15" s="4"/>
      <c r="F15" s="4"/>
    </row>
    <row r="16" spans="1:9" x14ac:dyDescent="0.25">
      <c r="A16" s="4" t="s">
        <v>149</v>
      </c>
      <c r="B16" s="4" t="s">
        <v>150</v>
      </c>
      <c r="C16" s="4" t="s">
        <v>214</v>
      </c>
      <c r="D16" s="4" t="s">
        <v>246</v>
      </c>
      <c r="E16" s="11">
        <v>30433</v>
      </c>
      <c r="F16" s="4"/>
    </row>
    <row r="17" spans="1:6" x14ac:dyDescent="0.25">
      <c r="A17" s="4" t="s">
        <v>151</v>
      </c>
      <c r="B17" s="4" t="s">
        <v>152</v>
      </c>
      <c r="C17" s="4" t="s">
        <v>214</v>
      </c>
      <c r="D17" s="4" t="s">
        <v>247</v>
      </c>
      <c r="E17" s="11">
        <v>30429</v>
      </c>
      <c r="F17" s="4"/>
    </row>
    <row r="18" spans="1:6" x14ac:dyDescent="0.25">
      <c r="A18" s="4" t="s">
        <v>153</v>
      </c>
      <c r="B18" s="4" t="s">
        <v>154</v>
      </c>
      <c r="C18" s="4" t="s">
        <v>214</v>
      </c>
      <c r="D18" s="4" t="s">
        <v>248</v>
      </c>
      <c r="E18" s="11">
        <v>30448</v>
      </c>
      <c r="F18" s="4"/>
    </row>
    <row r="19" spans="1:6" x14ac:dyDescent="0.25">
      <c r="A19" s="4" t="s">
        <v>155</v>
      </c>
      <c r="B19" s="4" t="s">
        <v>156</v>
      </c>
      <c r="C19" s="4" t="s">
        <v>214</v>
      </c>
      <c r="D19" s="4" t="s">
        <v>249</v>
      </c>
      <c r="E19" s="11">
        <v>30431</v>
      </c>
      <c r="F19" s="4"/>
    </row>
    <row r="20" spans="1:6" x14ac:dyDescent="0.25">
      <c r="A20" s="4" t="s">
        <v>157</v>
      </c>
      <c r="B20" s="4" t="s">
        <v>158</v>
      </c>
      <c r="C20" s="4" t="s">
        <v>216</v>
      </c>
      <c r="D20" s="4"/>
      <c r="E20" s="4"/>
      <c r="F20" s="4"/>
    </row>
    <row r="21" spans="1:6" x14ac:dyDescent="0.25">
      <c r="A21" s="4" t="s">
        <v>159</v>
      </c>
      <c r="B21" s="4" t="s">
        <v>160</v>
      </c>
      <c r="C21" s="4" t="s">
        <v>214</v>
      </c>
      <c r="D21" s="4" t="s">
        <v>250</v>
      </c>
      <c r="E21" s="11">
        <v>30449</v>
      </c>
      <c r="F21" s="4"/>
    </row>
    <row r="22" spans="1:6" x14ac:dyDescent="0.25">
      <c r="A22" s="4" t="s">
        <v>146</v>
      </c>
      <c r="B22" s="4" t="s">
        <v>147</v>
      </c>
      <c r="C22" s="4"/>
      <c r="D22" s="4" t="s">
        <v>251</v>
      </c>
      <c r="E22" s="4"/>
      <c r="F22" s="4"/>
    </row>
    <row r="23" spans="1:6" x14ac:dyDescent="0.25">
      <c r="A23" s="4" t="s">
        <v>161</v>
      </c>
      <c r="B23" s="4" t="s">
        <v>147</v>
      </c>
      <c r="C23" s="4" t="s">
        <v>216</v>
      </c>
      <c r="D23" s="4"/>
      <c r="E23" s="4"/>
      <c r="F23" s="4"/>
    </row>
    <row r="24" spans="1:6" x14ac:dyDescent="0.25">
      <c r="A24" s="4" t="s">
        <v>198</v>
      </c>
      <c r="B24" s="4" t="s">
        <v>163</v>
      </c>
      <c r="C24" s="4" t="s">
        <v>216</v>
      </c>
      <c r="D24" s="4"/>
      <c r="E24" s="4"/>
      <c r="F24" s="4"/>
    </row>
    <row r="25" spans="1:6" x14ac:dyDescent="0.25">
      <c r="A25" s="4" t="s">
        <v>199</v>
      </c>
      <c r="B25" s="4" t="s">
        <v>165</v>
      </c>
      <c r="C25" s="4" t="s">
        <v>216</v>
      </c>
      <c r="D25" s="4"/>
      <c r="E25" s="4"/>
      <c r="F25" s="4"/>
    </row>
    <row r="26" spans="1:6" x14ac:dyDescent="0.25">
      <c r="A26" s="4" t="s">
        <v>166</v>
      </c>
      <c r="B26" s="4" t="s">
        <v>167</v>
      </c>
      <c r="C26" s="4" t="s">
        <v>214</v>
      </c>
      <c r="D26" s="4" t="s">
        <v>52</v>
      </c>
      <c r="E26" s="4"/>
      <c r="F26" s="4"/>
    </row>
    <row r="27" spans="1:6" x14ac:dyDescent="0.25">
      <c r="A27" s="4" t="s">
        <v>168</v>
      </c>
      <c r="B27" s="4" t="s">
        <v>169</v>
      </c>
      <c r="C27" s="4" t="s">
        <v>214</v>
      </c>
      <c r="D27" s="4" t="s">
        <v>252</v>
      </c>
      <c r="E27" s="11">
        <v>17556</v>
      </c>
      <c r="F27" s="4"/>
    </row>
    <row r="28" spans="1:6" x14ac:dyDescent="0.25">
      <c r="A28" s="4" t="s">
        <v>170</v>
      </c>
      <c r="B28" s="4" t="s">
        <v>171</v>
      </c>
      <c r="C28" s="4" t="s">
        <v>214</v>
      </c>
      <c r="D28" s="4" t="s">
        <v>253</v>
      </c>
      <c r="E28" s="11">
        <v>30662</v>
      </c>
      <c r="F28" s="4"/>
    </row>
    <row r="29" spans="1:6" x14ac:dyDescent="0.25">
      <c r="A29" s="4" t="s">
        <v>200</v>
      </c>
      <c r="B29" s="4" t="s">
        <v>201</v>
      </c>
      <c r="C29" s="4" t="s">
        <v>214</v>
      </c>
      <c r="D29" s="4" t="s">
        <v>256</v>
      </c>
      <c r="E29" s="11">
        <v>30426</v>
      </c>
      <c r="F29" s="4"/>
    </row>
    <row r="30" spans="1:6" x14ac:dyDescent="0.25">
      <c r="A30" s="4" t="s">
        <v>202</v>
      </c>
      <c r="B30" s="4" t="s">
        <v>167</v>
      </c>
      <c r="C30" s="4" t="s">
        <v>216</v>
      </c>
      <c r="D30" s="4"/>
      <c r="E30" s="4"/>
      <c r="F30" s="4"/>
    </row>
    <row r="31" spans="1:6" x14ac:dyDescent="0.25">
      <c r="A31" s="4" t="s">
        <v>176</v>
      </c>
      <c r="B31" s="4" t="s">
        <v>23</v>
      </c>
      <c r="C31" s="4" t="s">
        <v>216</v>
      </c>
      <c r="D31" s="4"/>
      <c r="E31" s="4"/>
      <c r="F31" s="4"/>
    </row>
    <row r="32" spans="1:6" x14ac:dyDescent="0.25">
      <c r="A32" s="4" t="s">
        <v>203</v>
      </c>
      <c r="B32" s="4" t="s">
        <v>23</v>
      </c>
      <c r="C32" s="4" t="s">
        <v>214</v>
      </c>
      <c r="D32" s="4" t="s">
        <v>254</v>
      </c>
      <c r="E32" s="11">
        <v>17553</v>
      </c>
      <c r="F32" s="4"/>
    </row>
    <row r="33" spans="1:6" x14ac:dyDescent="0.25">
      <c r="A33" s="4" t="s">
        <v>178</v>
      </c>
      <c r="B33" s="4" t="s">
        <v>156</v>
      </c>
      <c r="C33" s="4" t="s">
        <v>214</v>
      </c>
      <c r="D33" s="4" t="s">
        <v>278</v>
      </c>
      <c r="E33" s="11">
        <v>30670</v>
      </c>
      <c r="F33" s="4"/>
    </row>
    <row r="34" spans="1:6" x14ac:dyDescent="0.25">
      <c r="A34" s="4" t="s">
        <v>179</v>
      </c>
      <c r="B34" s="4" t="s">
        <v>180</v>
      </c>
      <c r="C34" s="4" t="s">
        <v>216</v>
      </c>
      <c r="D34" s="4"/>
      <c r="E34" s="4"/>
      <c r="F34" s="4"/>
    </row>
    <row r="35" spans="1:6" x14ac:dyDescent="0.25">
      <c r="A35" s="4" t="s">
        <v>130</v>
      </c>
      <c r="B35" s="4" t="s">
        <v>131</v>
      </c>
      <c r="C35" s="4" t="s">
        <v>216</v>
      </c>
      <c r="D35" s="4"/>
      <c r="E35" s="4"/>
      <c r="F35" s="4"/>
    </row>
    <row r="36" spans="1:6" x14ac:dyDescent="0.25">
      <c r="A36" s="4" t="s">
        <v>204</v>
      </c>
      <c r="B36" s="4" t="s">
        <v>169</v>
      </c>
      <c r="C36" s="4" t="s">
        <v>214</v>
      </c>
      <c r="D36" s="4" t="s">
        <v>206</v>
      </c>
      <c r="E36" s="11">
        <v>17543</v>
      </c>
      <c r="F36" s="4"/>
    </row>
    <row r="37" spans="1:6" x14ac:dyDescent="0.25">
      <c r="A37" s="4" t="s">
        <v>205</v>
      </c>
      <c r="B37" s="4" t="s">
        <v>206</v>
      </c>
      <c r="C37" s="4" t="s">
        <v>214</v>
      </c>
      <c r="D37" s="4" t="s">
        <v>206</v>
      </c>
      <c r="E37" s="11">
        <v>17543</v>
      </c>
      <c r="F37" s="4"/>
    </row>
    <row r="38" spans="1:6" x14ac:dyDescent="0.25">
      <c r="A38" s="4" t="s">
        <v>207</v>
      </c>
      <c r="B38" s="4" t="s">
        <v>182</v>
      </c>
      <c r="C38" s="4" t="s">
        <v>216</v>
      </c>
      <c r="D38" s="4"/>
      <c r="E38" s="4"/>
      <c r="F38" s="4"/>
    </row>
    <row r="39" spans="1:6" x14ac:dyDescent="0.25">
      <c r="A39" s="4" t="s">
        <v>183</v>
      </c>
      <c r="B39" s="4" t="s">
        <v>184</v>
      </c>
      <c r="C39" s="4" t="s">
        <v>216</v>
      </c>
      <c r="D39" s="4"/>
      <c r="E39" s="4"/>
      <c r="F39" s="4"/>
    </row>
    <row r="40" spans="1:6" x14ac:dyDescent="0.25">
      <c r="A40" s="4" t="s">
        <v>208</v>
      </c>
      <c r="B40" s="4" t="s">
        <v>186</v>
      </c>
      <c r="C40" s="4" t="s">
        <v>216</v>
      </c>
      <c r="D40" s="4"/>
      <c r="E40" s="4"/>
      <c r="F40" s="4"/>
    </row>
    <row r="41" spans="1:6" x14ac:dyDescent="0.25">
      <c r="A41" s="4" t="s">
        <v>187</v>
      </c>
      <c r="B41" s="4" t="s">
        <v>23</v>
      </c>
      <c r="C41" s="4"/>
      <c r="D41" s="4" t="s">
        <v>268</v>
      </c>
      <c r="E41" s="4"/>
      <c r="F41" s="4"/>
    </row>
    <row r="42" spans="1:6" x14ac:dyDescent="0.25">
      <c r="A42" s="4" t="s">
        <v>85</v>
      </c>
      <c r="B42" s="4" t="s">
        <v>156</v>
      </c>
      <c r="C42" s="4"/>
      <c r="D42" s="4" t="s">
        <v>268</v>
      </c>
      <c r="E42" s="4"/>
      <c r="F42" s="4"/>
    </row>
    <row r="43" spans="1:6" x14ac:dyDescent="0.25">
      <c r="A43" s="4" t="s">
        <v>188</v>
      </c>
      <c r="B43" s="4" t="s">
        <v>189</v>
      </c>
      <c r="C43" s="4" t="s">
        <v>216</v>
      </c>
      <c r="D43" s="4"/>
      <c r="E43" s="4"/>
      <c r="F43" s="4"/>
    </row>
    <row r="44" spans="1:6" x14ac:dyDescent="0.25">
      <c r="A44" s="4" t="s">
        <v>187</v>
      </c>
      <c r="B44" s="4" t="s">
        <v>23</v>
      </c>
      <c r="C44" s="4"/>
      <c r="D44" s="4" t="s">
        <v>268</v>
      </c>
      <c r="E44" s="4"/>
      <c r="F44" s="4"/>
    </row>
    <row r="45" spans="1:6" x14ac:dyDescent="0.25">
      <c r="A45" s="4" t="s">
        <v>85</v>
      </c>
      <c r="B45" s="4" t="s">
        <v>156</v>
      </c>
      <c r="C45" s="4"/>
      <c r="D45" s="4" t="s">
        <v>268</v>
      </c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/>
  </sheetViews>
  <sheetFormatPr defaultRowHeight="15" x14ac:dyDescent="0.25"/>
  <cols>
    <col min="1" max="1" width="30.28515625" bestFit="1" customWidth="1"/>
    <col min="2" max="2" width="43" bestFit="1" customWidth="1"/>
    <col min="3" max="3" width="8.85546875" bestFit="1" customWidth="1"/>
    <col min="4" max="4" width="43.710937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COUNTIF(C1:C46,"correct")</f>
        <v>0</v>
      </c>
    </row>
    <row r="2" spans="1:9" x14ac:dyDescent="0.25">
      <c r="A2" s="4" t="s">
        <v>94</v>
      </c>
      <c r="B2" s="4" t="s">
        <v>95</v>
      </c>
      <c r="C2" s="4" t="s">
        <v>214</v>
      </c>
      <c r="D2" s="16" t="s">
        <v>52</v>
      </c>
      <c r="E2" s="14"/>
      <c r="F2" s="4"/>
      <c r="H2" s="2" t="s">
        <v>214</v>
      </c>
      <c r="I2" s="4">
        <f>COUNTIF(C2:C46,"Incorrect")</f>
        <v>43</v>
      </c>
    </row>
    <row r="3" spans="1:9" x14ac:dyDescent="0.25">
      <c r="A3" s="4" t="s">
        <v>96</v>
      </c>
      <c r="B3" s="4" t="s">
        <v>74</v>
      </c>
      <c r="C3" s="4" t="s">
        <v>214</v>
      </c>
      <c r="D3" s="16" t="s">
        <v>94</v>
      </c>
      <c r="E3" s="14">
        <v>8920</v>
      </c>
      <c r="F3" s="4" t="s">
        <v>279</v>
      </c>
      <c r="H3" s="4"/>
      <c r="I3" s="9">
        <f>I1/SUM(I1:I2)</f>
        <v>0</v>
      </c>
    </row>
    <row r="4" spans="1:9" x14ac:dyDescent="0.25">
      <c r="A4" s="4" t="s">
        <v>97</v>
      </c>
      <c r="B4" s="4" t="s">
        <v>98</v>
      </c>
      <c r="C4" s="4" t="s">
        <v>214</v>
      </c>
      <c r="D4" s="16" t="s">
        <v>94</v>
      </c>
      <c r="E4" s="14">
        <v>8920</v>
      </c>
      <c r="F4" s="4" t="s">
        <v>279</v>
      </c>
    </row>
    <row r="5" spans="1:9" x14ac:dyDescent="0.25">
      <c r="A5" s="4" t="s">
        <v>99</v>
      </c>
      <c r="B5" s="4" t="s">
        <v>98</v>
      </c>
      <c r="C5" s="4" t="s">
        <v>214</v>
      </c>
      <c r="D5" s="16" t="s">
        <v>251</v>
      </c>
      <c r="E5" s="16"/>
      <c r="F5" s="4"/>
    </row>
    <row r="6" spans="1:9" ht="15" customHeight="1" x14ac:dyDescent="0.25">
      <c r="A6" s="4" t="s">
        <v>100</v>
      </c>
      <c r="B6" s="4" t="s">
        <v>98</v>
      </c>
      <c r="C6" s="4" t="s">
        <v>214</v>
      </c>
      <c r="D6" s="16" t="s">
        <v>94</v>
      </c>
      <c r="E6" s="14">
        <v>8920</v>
      </c>
      <c r="F6" s="4" t="s">
        <v>279</v>
      </c>
    </row>
    <row r="7" spans="1:9" x14ac:dyDescent="0.25">
      <c r="A7" s="4" t="s">
        <v>101</v>
      </c>
      <c r="B7" s="4" t="s">
        <v>102</v>
      </c>
      <c r="C7" s="4" t="s">
        <v>214</v>
      </c>
      <c r="D7" s="16" t="s">
        <v>94</v>
      </c>
      <c r="E7" s="14">
        <v>8920</v>
      </c>
      <c r="F7" s="4" t="s">
        <v>279</v>
      </c>
    </row>
    <row r="8" spans="1:9" x14ac:dyDescent="0.25">
      <c r="A8" s="4" t="s">
        <v>103</v>
      </c>
      <c r="B8" s="4" t="s">
        <v>102</v>
      </c>
      <c r="C8" s="4" t="s">
        <v>214</v>
      </c>
      <c r="D8" s="16" t="s">
        <v>94</v>
      </c>
      <c r="E8" s="14">
        <v>8920</v>
      </c>
      <c r="F8" s="4" t="s">
        <v>279</v>
      </c>
    </row>
    <row r="9" spans="1:9" x14ac:dyDescent="0.25">
      <c r="A9" s="4" t="s">
        <v>104</v>
      </c>
      <c r="B9" s="4" t="s">
        <v>105</v>
      </c>
      <c r="C9" s="4" t="s">
        <v>214</v>
      </c>
      <c r="D9" s="16" t="s">
        <v>257</v>
      </c>
      <c r="E9" s="14">
        <v>8931</v>
      </c>
      <c r="F9" s="4"/>
    </row>
    <row r="10" spans="1:9" x14ac:dyDescent="0.25">
      <c r="A10" s="4" t="s">
        <v>106</v>
      </c>
      <c r="B10" s="4" t="s">
        <v>107</v>
      </c>
      <c r="C10" s="4"/>
      <c r="D10" s="16" t="s">
        <v>52</v>
      </c>
      <c r="E10" s="16"/>
      <c r="F10" s="4"/>
    </row>
    <row r="11" spans="1:9" x14ac:dyDescent="0.25">
      <c r="A11" s="4" t="s">
        <v>96</v>
      </c>
      <c r="B11" s="4" t="s">
        <v>74</v>
      </c>
      <c r="C11" s="4" t="s">
        <v>214</v>
      </c>
      <c r="D11" s="16" t="s">
        <v>106</v>
      </c>
      <c r="E11" s="14">
        <v>8919</v>
      </c>
      <c r="F11" s="4" t="s">
        <v>279</v>
      </c>
    </row>
    <row r="12" spans="1:9" x14ac:dyDescent="0.25">
      <c r="A12" s="4" t="s">
        <v>97</v>
      </c>
      <c r="B12" s="4" t="s">
        <v>98</v>
      </c>
      <c r="C12" s="4" t="s">
        <v>214</v>
      </c>
      <c r="D12" s="16" t="s">
        <v>106</v>
      </c>
      <c r="E12" s="14">
        <v>8919</v>
      </c>
      <c r="F12" s="4" t="s">
        <v>279</v>
      </c>
    </row>
    <row r="13" spans="1:9" x14ac:dyDescent="0.25">
      <c r="A13" s="4" t="s">
        <v>99</v>
      </c>
      <c r="B13" s="4" t="s">
        <v>98</v>
      </c>
      <c r="C13" s="4" t="s">
        <v>214</v>
      </c>
      <c r="D13" s="16" t="s">
        <v>251</v>
      </c>
      <c r="E13" s="16"/>
      <c r="F13" s="4"/>
    </row>
    <row r="14" spans="1:9" x14ac:dyDescent="0.25">
      <c r="A14" s="4" t="s">
        <v>100</v>
      </c>
      <c r="B14" s="4" t="s">
        <v>98</v>
      </c>
      <c r="C14" s="4" t="s">
        <v>214</v>
      </c>
      <c r="D14" s="16" t="s">
        <v>106</v>
      </c>
      <c r="E14" s="14">
        <v>8919</v>
      </c>
      <c r="F14" s="4" t="s">
        <v>279</v>
      </c>
    </row>
    <row r="15" spans="1:9" x14ac:dyDescent="0.25">
      <c r="A15" s="4" t="s">
        <v>101</v>
      </c>
      <c r="B15" s="4" t="s">
        <v>102</v>
      </c>
      <c r="C15" s="4" t="s">
        <v>214</v>
      </c>
      <c r="D15" s="16" t="s">
        <v>106</v>
      </c>
      <c r="E15" s="14">
        <v>8919</v>
      </c>
      <c r="F15" s="4" t="s">
        <v>279</v>
      </c>
    </row>
    <row r="16" spans="1:9" x14ac:dyDescent="0.25">
      <c r="A16" s="4" t="s">
        <v>103</v>
      </c>
      <c r="B16" s="4" t="s">
        <v>102</v>
      </c>
      <c r="C16" s="4" t="s">
        <v>214</v>
      </c>
      <c r="D16" s="16" t="s">
        <v>106</v>
      </c>
      <c r="E16" s="14">
        <v>8919</v>
      </c>
      <c r="F16" s="4" t="s">
        <v>279</v>
      </c>
    </row>
    <row r="17" spans="1:6" x14ac:dyDescent="0.25">
      <c r="A17" s="4" t="s">
        <v>108</v>
      </c>
      <c r="B17" s="4" t="s">
        <v>81</v>
      </c>
      <c r="C17" s="4" t="s">
        <v>220</v>
      </c>
      <c r="D17" s="16" t="s">
        <v>251</v>
      </c>
      <c r="E17" s="16"/>
      <c r="F17" s="4"/>
    </row>
    <row r="18" spans="1:6" x14ac:dyDescent="0.25">
      <c r="A18" s="4" t="s">
        <v>109</v>
      </c>
      <c r="B18" s="4" t="s">
        <v>74</v>
      </c>
      <c r="C18" s="4" t="s">
        <v>214</v>
      </c>
      <c r="D18" s="16" t="s">
        <v>258</v>
      </c>
      <c r="E18" s="14">
        <v>8929</v>
      </c>
      <c r="F18" s="4"/>
    </row>
    <row r="19" spans="1:6" x14ac:dyDescent="0.25">
      <c r="A19" s="4" t="s">
        <v>110</v>
      </c>
      <c r="B19" s="4" t="s">
        <v>111</v>
      </c>
      <c r="C19" s="4" t="s">
        <v>214</v>
      </c>
      <c r="D19" s="16" t="s">
        <v>259</v>
      </c>
      <c r="E19" s="14">
        <v>8911</v>
      </c>
      <c r="F19" s="4"/>
    </row>
    <row r="20" spans="1:6" x14ac:dyDescent="0.25">
      <c r="A20" s="4" t="s">
        <v>112</v>
      </c>
      <c r="B20" s="4" t="s">
        <v>23</v>
      </c>
      <c r="C20" s="4" t="s">
        <v>214</v>
      </c>
      <c r="D20" s="16" t="s">
        <v>260</v>
      </c>
      <c r="E20" s="14">
        <v>8901</v>
      </c>
      <c r="F20" s="4"/>
    </row>
    <row r="21" spans="1:6" x14ac:dyDescent="0.25">
      <c r="A21" s="4" t="s">
        <v>113</v>
      </c>
      <c r="B21" s="4" t="s">
        <v>114</v>
      </c>
      <c r="C21" s="4" t="s">
        <v>214</v>
      </c>
      <c r="D21" s="16" t="s">
        <v>113</v>
      </c>
      <c r="E21" s="14">
        <v>8903</v>
      </c>
      <c r="F21" s="4"/>
    </row>
    <row r="22" spans="1:6" x14ac:dyDescent="0.25">
      <c r="A22" s="4" t="s">
        <v>115</v>
      </c>
      <c r="B22" s="4" t="s">
        <v>88</v>
      </c>
      <c r="C22" s="4" t="s">
        <v>214</v>
      </c>
      <c r="D22" s="16" t="s">
        <v>225</v>
      </c>
      <c r="E22" s="16"/>
      <c r="F22" s="4"/>
    </row>
    <row r="23" spans="1:6" x14ac:dyDescent="0.25">
      <c r="A23" s="4" t="s">
        <v>40</v>
      </c>
      <c r="B23" s="4" t="s">
        <v>23</v>
      </c>
      <c r="C23" s="4" t="s">
        <v>214</v>
      </c>
      <c r="D23" s="16" t="s">
        <v>225</v>
      </c>
      <c r="E23" s="16"/>
      <c r="F23" s="4"/>
    </row>
    <row r="24" spans="1:6" x14ac:dyDescent="0.25">
      <c r="A24" s="4" t="s">
        <v>116</v>
      </c>
      <c r="B24" s="4" t="s">
        <v>88</v>
      </c>
      <c r="C24" s="4" t="s">
        <v>214</v>
      </c>
      <c r="D24" s="16" t="s">
        <v>261</v>
      </c>
      <c r="E24" s="14">
        <v>8908</v>
      </c>
      <c r="F24" s="4"/>
    </row>
    <row r="25" spans="1:6" x14ac:dyDescent="0.25">
      <c r="A25" s="4" t="s">
        <v>117</v>
      </c>
      <c r="B25" s="4" t="s">
        <v>93</v>
      </c>
      <c r="C25" s="4" t="s">
        <v>214</v>
      </c>
      <c r="D25" s="16" t="s">
        <v>52</v>
      </c>
      <c r="E25" s="14"/>
      <c r="F25" s="4"/>
    </row>
    <row r="26" spans="1:6" x14ac:dyDescent="0.25">
      <c r="A26" s="4" t="s">
        <v>96</v>
      </c>
      <c r="B26" s="4" t="s">
        <v>74</v>
      </c>
      <c r="C26" s="4" t="s">
        <v>214</v>
      </c>
      <c r="D26" s="16" t="s">
        <v>117</v>
      </c>
      <c r="E26" s="14">
        <v>18571</v>
      </c>
      <c r="F26" s="4" t="s">
        <v>279</v>
      </c>
    </row>
    <row r="27" spans="1:6" x14ac:dyDescent="0.25">
      <c r="A27" s="4" t="s">
        <v>97</v>
      </c>
      <c r="B27" s="4" t="s">
        <v>98</v>
      </c>
      <c r="C27" s="4" t="s">
        <v>214</v>
      </c>
      <c r="D27" s="16" t="s">
        <v>117</v>
      </c>
      <c r="E27" s="14">
        <v>18571</v>
      </c>
      <c r="F27" s="4" t="s">
        <v>279</v>
      </c>
    </row>
    <row r="28" spans="1:6" x14ac:dyDescent="0.25">
      <c r="A28" s="4" t="s">
        <v>99</v>
      </c>
      <c r="B28" s="4" t="s">
        <v>98</v>
      </c>
      <c r="C28" s="4" t="s">
        <v>220</v>
      </c>
      <c r="D28" s="16" t="s">
        <v>251</v>
      </c>
      <c r="E28" s="14">
        <v>18571</v>
      </c>
      <c r="F28" s="4"/>
    </row>
    <row r="29" spans="1:6" x14ac:dyDescent="0.25">
      <c r="A29" s="4" t="s">
        <v>100</v>
      </c>
      <c r="B29" s="4" t="s">
        <v>98</v>
      </c>
      <c r="C29" s="4" t="s">
        <v>214</v>
      </c>
      <c r="D29" s="16" t="s">
        <v>117</v>
      </c>
      <c r="E29" s="14">
        <v>18571</v>
      </c>
      <c r="F29" s="4" t="s">
        <v>279</v>
      </c>
    </row>
    <row r="30" spans="1:6" x14ac:dyDescent="0.25">
      <c r="A30" s="4" t="s">
        <v>101</v>
      </c>
      <c r="B30" s="4" t="s">
        <v>102</v>
      </c>
      <c r="C30" s="4" t="s">
        <v>214</v>
      </c>
      <c r="D30" s="16" t="s">
        <v>117</v>
      </c>
      <c r="E30" s="14">
        <v>18571</v>
      </c>
      <c r="F30" s="4" t="s">
        <v>279</v>
      </c>
    </row>
    <row r="31" spans="1:6" x14ac:dyDescent="0.25">
      <c r="A31" s="4" t="s">
        <v>103</v>
      </c>
      <c r="B31" s="4" t="s">
        <v>102</v>
      </c>
      <c r="C31" s="4" t="s">
        <v>214</v>
      </c>
      <c r="D31" s="16" t="s">
        <v>117</v>
      </c>
      <c r="E31" s="14">
        <v>18571</v>
      </c>
      <c r="F31" s="4" t="s">
        <v>279</v>
      </c>
    </row>
    <row r="32" spans="1:6" x14ac:dyDescent="0.25">
      <c r="A32" s="4" t="s">
        <v>118</v>
      </c>
      <c r="B32" s="4" t="s">
        <v>90</v>
      </c>
      <c r="C32" s="4" t="s">
        <v>214</v>
      </c>
      <c r="D32" s="16" t="s">
        <v>262</v>
      </c>
      <c r="E32" s="14">
        <v>18580</v>
      </c>
      <c r="F32" s="4"/>
    </row>
    <row r="33" spans="1:6" x14ac:dyDescent="0.25">
      <c r="A33" s="4" t="s">
        <v>108</v>
      </c>
      <c r="B33" s="4" t="s">
        <v>81</v>
      </c>
      <c r="C33" s="4" t="s">
        <v>214</v>
      </c>
      <c r="D33" s="16" t="s">
        <v>263</v>
      </c>
      <c r="E33" s="14">
        <v>18578</v>
      </c>
      <c r="F33" s="4"/>
    </row>
    <row r="34" spans="1:6" x14ac:dyDescent="0.25">
      <c r="A34" s="4" t="s">
        <v>119</v>
      </c>
      <c r="B34" s="4" t="s">
        <v>107</v>
      </c>
      <c r="C34" s="4"/>
      <c r="D34" s="16" t="s">
        <v>52</v>
      </c>
      <c r="E34" s="16"/>
      <c r="F34" s="4"/>
    </row>
    <row r="35" spans="1:6" x14ac:dyDescent="0.25">
      <c r="A35" s="4" t="s">
        <v>96</v>
      </c>
      <c r="B35" s="4" t="s">
        <v>74</v>
      </c>
      <c r="C35" s="4" t="s">
        <v>214</v>
      </c>
      <c r="D35" s="16" t="s">
        <v>119</v>
      </c>
      <c r="E35" s="14">
        <v>18573</v>
      </c>
      <c r="F35" s="4" t="s">
        <v>279</v>
      </c>
    </row>
    <row r="36" spans="1:6" x14ac:dyDescent="0.25">
      <c r="A36" s="4" t="s">
        <v>97</v>
      </c>
      <c r="B36" s="4" t="s">
        <v>98</v>
      </c>
      <c r="C36" s="4" t="s">
        <v>214</v>
      </c>
      <c r="D36" s="16" t="s">
        <v>119</v>
      </c>
      <c r="E36" s="14">
        <v>18573</v>
      </c>
      <c r="F36" s="4" t="s">
        <v>279</v>
      </c>
    </row>
    <row r="37" spans="1:6" x14ac:dyDescent="0.25">
      <c r="A37" s="4" t="s">
        <v>99</v>
      </c>
      <c r="B37" s="4" t="s">
        <v>98</v>
      </c>
      <c r="C37" s="4" t="s">
        <v>220</v>
      </c>
      <c r="D37" s="16" t="s">
        <v>251</v>
      </c>
      <c r="E37" s="16"/>
      <c r="F37" s="4"/>
    </row>
    <row r="38" spans="1:6" x14ac:dyDescent="0.25">
      <c r="A38" s="4" t="s">
        <v>100</v>
      </c>
      <c r="B38" s="4" t="s">
        <v>98</v>
      </c>
      <c r="C38" s="4" t="s">
        <v>214</v>
      </c>
      <c r="D38" s="16" t="s">
        <v>119</v>
      </c>
      <c r="E38" s="14">
        <v>18573</v>
      </c>
      <c r="F38" s="4" t="s">
        <v>279</v>
      </c>
    </row>
    <row r="39" spans="1:6" x14ac:dyDescent="0.25">
      <c r="A39" s="4" t="s">
        <v>101</v>
      </c>
      <c r="B39" s="4" t="s">
        <v>102</v>
      </c>
      <c r="C39" s="4" t="s">
        <v>214</v>
      </c>
      <c r="D39" s="16" t="s">
        <v>119</v>
      </c>
      <c r="E39" s="14">
        <v>18573</v>
      </c>
      <c r="F39" s="4" t="s">
        <v>279</v>
      </c>
    </row>
    <row r="40" spans="1:6" x14ac:dyDescent="0.25">
      <c r="A40" s="4" t="s">
        <v>103</v>
      </c>
      <c r="B40" s="4" t="s">
        <v>102</v>
      </c>
      <c r="C40" s="4" t="s">
        <v>214</v>
      </c>
      <c r="D40" s="16" t="s">
        <v>119</v>
      </c>
      <c r="E40" s="14">
        <v>18573</v>
      </c>
      <c r="F40" s="4" t="s">
        <v>279</v>
      </c>
    </row>
    <row r="41" spans="1:6" x14ac:dyDescent="0.25">
      <c r="A41" s="4" t="s">
        <v>118</v>
      </c>
      <c r="B41" s="4" t="s">
        <v>90</v>
      </c>
      <c r="C41" s="4" t="s">
        <v>214</v>
      </c>
      <c r="D41" s="16" t="s">
        <v>264</v>
      </c>
      <c r="E41" s="14">
        <v>18581</v>
      </c>
      <c r="F41" s="4"/>
    </row>
    <row r="42" spans="1:6" x14ac:dyDescent="0.25">
      <c r="A42" s="4" t="s">
        <v>108</v>
      </c>
      <c r="B42" s="4" t="s">
        <v>81</v>
      </c>
      <c r="C42" s="4" t="s">
        <v>214</v>
      </c>
      <c r="D42" s="16" t="s">
        <v>265</v>
      </c>
      <c r="E42" s="14">
        <v>18579</v>
      </c>
      <c r="F42" s="4"/>
    </row>
    <row r="43" spans="1:6" x14ac:dyDescent="0.25">
      <c r="A43" s="4" t="s">
        <v>120</v>
      </c>
      <c r="B43" s="4" t="s">
        <v>88</v>
      </c>
      <c r="C43" s="4" t="s">
        <v>214</v>
      </c>
      <c r="D43" s="16" t="s">
        <v>52</v>
      </c>
      <c r="E43" s="16"/>
      <c r="F43" s="4"/>
    </row>
    <row r="44" spans="1:6" x14ac:dyDescent="0.25">
      <c r="A44" s="4" t="s">
        <v>96</v>
      </c>
      <c r="B44" s="4" t="s">
        <v>74</v>
      </c>
      <c r="C44" s="4" t="s">
        <v>214</v>
      </c>
      <c r="D44" s="16" t="s">
        <v>120</v>
      </c>
      <c r="E44" s="14">
        <v>8899</v>
      </c>
      <c r="F44" s="4" t="s">
        <v>279</v>
      </c>
    </row>
    <row r="45" spans="1:6" x14ac:dyDescent="0.25">
      <c r="A45" s="4" t="s">
        <v>97</v>
      </c>
      <c r="B45" s="4" t="s">
        <v>98</v>
      </c>
      <c r="C45" s="4" t="s">
        <v>214</v>
      </c>
      <c r="D45" s="16" t="s">
        <v>120</v>
      </c>
      <c r="E45" s="14">
        <v>8899</v>
      </c>
      <c r="F45" s="4" t="s">
        <v>279</v>
      </c>
    </row>
    <row r="46" spans="1:6" x14ac:dyDescent="0.25">
      <c r="A46" s="4" t="s">
        <v>99</v>
      </c>
      <c r="B46" s="4" t="s">
        <v>98</v>
      </c>
      <c r="C46" s="4" t="s">
        <v>220</v>
      </c>
      <c r="D46" s="16" t="s">
        <v>251</v>
      </c>
      <c r="E46" s="16"/>
      <c r="F46" s="4"/>
    </row>
    <row r="47" spans="1:6" x14ac:dyDescent="0.25">
      <c r="A47" s="4" t="s">
        <v>100</v>
      </c>
      <c r="B47" s="4" t="s">
        <v>98</v>
      </c>
      <c r="C47" s="4" t="s">
        <v>214</v>
      </c>
      <c r="D47" s="16" t="s">
        <v>120</v>
      </c>
      <c r="E47" s="14">
        <v>8899</v>
      </c>
      <c r="F47" s="4" t="s">
        <v>279</v>
      </c>
    </row>
    <row r="48" spans="1:6" x14ac:dyDescent="0.25">
      <c r="A48" s="4" t="s">
        <v>101</v>
      </c>
      <c r="B48" s="4" t="s">
        <v>102</v>
      </c>
      <c r="C48" s="4" t="s">
        <v>214</v>
      </c>
      <c r="D48" s="16" t="s">
        <v>120</v>
      </c>
      <c r="E48" s="14">
        <v>8899</v>
      </c>
      <c r="F48" s="4" t="s">
        <v>279</v>
      </c>
    </row>
    <row r="49" spans="1:6" x14ac:dyDescent="0.25">
      <c r="A49" s="4" t="s">
        <v>103</v>
      </c>
      <c r="B49" s="4" t="s">
        <v>102</v>
      </c>
      <c r="C49" s="4" t="s">
        <v>214</v>
      </c>
      <c r="D49" s="16" t="s">
        <v>120</v>
      </c>
      <c r="E49" s="14">
        <v>8899</v>
      </c>
      <c r="F49" s="4" t="s">
        <v>279</v>
      </c>
    </row>
    <row r="50" spans="1:6" x14ac:dyDescent="0.25">
      <c r="A50" s="4" t="s">
        <v>118</v>
      </c>
      <c r="B50" s="4" t="s">
        <v>90</v>
      </c>
      <c r="C50" s="4" t="s">
        <v>214</v>
      </c>
      <c r="D50" s="16" t="s">
        <v>258</v>
      </c>
      <c r="E50" s="14">
        <v>8918</v>
      </c>
      <c r="F50" s="4"/>
    </row>
    <row r="51" spans="1:6" x14ac:dyDescent="0.25">
      <c r="A51" s="4" t="s">
        <v>121</v>
      </c>
      <c r="B51" s="4" t="s">
        <v>47</v>
      </c>
      <c r="C51" s="4" t="s">
        <v>214</v>
      </c>
      <c r="D51" s="16" t="s">
        <v>121</v>
      </c>
      <c r="E51" s="14">
        <v>8930</v>
      </c>
      <c r="F5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/>
  </sheetViews>
  <sheetFormatPr defaultRowHeight="15" x14ac:dyDescent="0.25"/>
  <cols>
    <col min="1" max="1" width="30.28515625" bestFit="1" customWidth="1"/>
    <col min="2" max="2" width="43" bestFit="1" customWidth="1"/>
    <col min="3" max="3" width="8.85546875" bestFit="1" customWidth="1"/>
    <col min="4" max="4" width="43.710937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209</v>
      </c>
      <c r="D1" s="2" t="s">
        <v>210</v>
      </c>
      <c r="E1" s="3" t="s">
        <v>211</v>
      </c>
      <c r="F1" s="2" t="s">
        <v>212</v>
      </c>
      <c r="H1" s="2" t="s">
        <v>216</v>
      </c>
      <c r="I1" s="4">
        <f>COUNTIF(C1:C46,"correct")</f>
        <v>0</v>
      </c>
    </row>
    <row r="2" spans="1:9" x14ac:dyDescent="0.25">
      <c r="A2" s="4" t="s">
        <v>94</v>
      </c>
      <c r="B2" s="4" t="s">
        <v>95</v>
      </c>
      <c r="C2" s="4" t="s">
        <v>214</v>
      </c>
      <c r="D2" s="16" t="s">
        <v>52</v>
      </c>
      <c r="E2" s="14"/>
      <c r="F2" s="4"/>
      <c r="H2" s="2" t="s">
        <v>214</v>
      </c>
      <c r="I2" s="4">
        <f>COUNTIF(C2:C46,"Incorrect")</f>
        <v>43</v>
      </c>
    </row>
    <row r="3" spans="1:9" x14ac:dyDescent="0.25">
      <c r="A3" s="4" t="s">
        <v>96</v>
      </c>
      <c r="B3" s="4" t="s">
        <v>74</v>
      </c>
      <c r="C3" s="4" t="s">
        <v>214</v>
      </c>
      <c r="D3" s="16" t="s">
        <v>94</v>
      </c>
      <c r="E3" s="14">
        <v>8920</v>
      </c>
      <c r="F3" s="4" t="s">
        <v>279</v>
      </c>
      <c r="H3" s="4"/>
      <c r="I3" s="9">
        <f>I1/SUM(I1:I2)</f>
        <v>0</v>
      </c>
    </row>
    <row r="4" spans="1:9" x14ac:dyDescent="0.25">
      <c r="A4" s="4" t="s">
        <v>97</v>
      </c>
      <c r="B4" s="4" t="s">
        <v>98</v>
      </c>
      <c r="C4" s="4" t="s">
        <v>214</v>
      </c>
      <c r="D4" s="16" t="s">
        <v>94</v>
      </c>
      <c r="E4" s="14">
        <v>8920</v>
      </c>
      <c r="F4" s="4" t="s">
        <v>279</v>
      </c>
    </row>
    <row r="5" spans="1:9" x14ac:dyDescent="0.25">
      <c r="A5" s="4" t="s">
        <v>99</v>
      </c>
      <c r="B5" s="4" t="s">
        <v>98</v>
      </c>
      <c r="C5" s="4" t="s">
        <v>214</v>
      </c>
      <c r="D5" s="16" t="s">
        <v>251</v>
      </c>
      <c r="E5" s="16"/>
      <c r="F5" s="4"/>
    </row>
    <row r="6" spans="1:9" ht="15" customHeight="1" x14ac:dyDescent="0.25">
      <c r="A6" s="4" t="s">
        <v>100</v>
      </c>
      <c r="B6" s="4" t="s">
        <v>98</v>
      </c>
      <c r="C6" s="4" t="s">
        <v>214</v>
      </c>
      <c r="D6" s="16" t="s">
        <v>94</v>
      </c>
      <c r="E6" s="14">
        <v>8920</v>
      </c>
      <c r="F6" s="4" t="s">
        <v>279</v>
      </c>
    </row>
    <row r="7" spans="1:9" x14ac:dyDescent="0.25">
      <c r="A7" s="4" t="s">
        <v>101</v>
      </c>
      <c r="B7" s="4" t="s">
        <v>102</v>
      </c>
      <c r="C7" s="4" t="s">
        <v>214</v>
      </c>
      <c r="D7" s="16" t="s">
        <v>94</v>
      </c>
      <c r="E7" s="14">
        <v>8920</v>
      </c>
      <c r="F7" s="4" t="s">
        <v>279</v>
      </c>
    </row>
    <row r="8" spans="1:9" x14ac:dyDescent="0.25">
      <c r="A8" s="4" t="s">
        <v>103</v>
      </c>
      <c r="B8" s="4" t="s">
        <v>102</v>
      </c>
      <c r="C8" s="4" t="s">
        <v>214</v>
      </c>
      <c r="D8" s="16" t="s">
        <v>94</v>
      </c>
      <c r="E8" s="14">
        <v>8920</v>
      </c>
      <c r="F8" s="4" t="s">
        <v>279</v>
      </c>
    </row>
    <row r="9" spans="1:9" x14ac:dyDescent="0.25">
      <c r="A9" s="4" t="s">
        <v>104</v>
      </c>
      <c r="B9" s="4" t="s">
        <v>105</v>
      </c>
      <c r="C9" s="4" t="s">
        <v>214</v>
      </c>
      <c r="D9" s="16" t="s">
        <v>257</v>
      </c>
      <c r="E9" s="14">
        <v>8931</v>
      </c>
      <c r="F9" s="4"/>
    </row>
    <row r="10" spans="1:9" x14ac:dyDescent="0.25">
      <c r="A10" s="4" t="s">
        <v>106</v>
      </c>
      <c r="B10" s="4" t="s">
        <v>107</v>
      </c>
      <c r="C10" s="4"/>
      <c r="D10" s="16" t="s">
        <v>52</v>
      </c>
      <c r="E10" s="16"/>
      <c r="F10" s="4"/>
    </row>
    <row r="11" spans="1:9" x14ac:dyDescent="0.25">
      <c r="A11" s="4" t="s">
        <v>96</v>
      </c>
      <c r="B11" s="4" t="s">
        <v>74</v>
      </c>
      <c r="C11" s="4" t="s">
        <v>214</v>
      </c>
      <c r="D11" s="16" t="s">
        <v>106</v>
      </c>
      <c r="E11" s="14">
        <v>8919</v>
      </c>
      <c r="F11" s="4" t="s">
        <v>279</v>
      </c>
    </row>
    <row r="12" spans="1:9" x14ac:dyDescent="0.25">
      <c r="A12" s="4" t="s">
        <v>97</v>
      </c>
      <c r="B12" s="4" t="s">
        <v>98</v>
      </c>
      <c r="C12" s="4" t="s">
        <v>214</v>
      </c>
      <c r="D12" s="16" t="s">
        <v>106</v>
      </c>
      <c r="E12" s="14">
        <v>8919</v>
      </c>
      <c r="F12" s="4" t="s">
        <v>279</v>
      </c>
    </row>
    <row r="13" spans="1:9" x14ac:dyDescent="0.25">
      <c r="A13" s="4" t="s">
        <v>99</v>
      </c>
      <c r="B13" s="4" t="s">
        <v>98</v>
      </c>
      <c r="C13" s="4" t="s">
        <v>214</v>
      </c>
      <c r="D13" s="16" t="s">
        <v>251</v>
      </c>
      <c r="E13" s="16"/>
      <c r="F13" s="4"/>
    </row>
    <row r="14" spans="1:9" x14ac:dyDescent="0.25">
      <c r="A14" s="4" t="s">
        <v>100</v>
      </c>
      <c r="B14" s="4" t="s">
        <v>98</v>
      </c>
      <c r="C14" s="4" t="s">
        <v>214</v>
      </c>
      <c r="D14" s="16" t="s">
        <v>106</v>
      </c>
      <c r="E14" s="14">
        <v>8919</v>
      </c>
      <c r="F14" s="4" t="s">
        <v>279</v>
      </c>
    </row>
    <row r="15" spans="1:9" x14ac:dyDescent="0.25">
      <c r="A15" s="4" t="s">
        <v>101</v>
      </c>
      <c r="B15" s="4" t="s">
        <v>102</v>
      </c>
      <c r="C15" s="4" t="s">
        <v>214</v>
      </c>
      <c r="D15" s="16" t="s">
        <v>106</v>
      </c>
      <c r="E15" s="14">
        <v>8919</v>
      </c>
      <c r="F15" s="4" t="s">
        <v>279</v>
      </c>
    </row>
    <row r="16" spans="1:9" x14ac:dyDescent="0.25">
      <c r="A16" s="4" t="s">
        <v>103</v>
      </c>
      <c r="B16" s="4" t="s">
        <v>102</v>
      </c>
      <c r="C16" s="4" t="s">
        <v>214</v>
      </c>
      <c r="D16" s="16" t="s">
        <v>106</v>
      </c>
      <c r="E16" s="14">
        <v>8919</v>
      </c>
      <c r="F16" s="4" t="s">
        <v>279</v>
      </c>
    </row>
    <row r="17" spans="1:6" x14ac:dyDescent="0.25">
      <c r="A17" s="4" t="s">
        <v>108</v>
      </c>
      <c r="B17" s="4" t="s">
        <v>81</v>
      </c>
      <c r="C17" s="4" t="s">
        <v>220</v>
      </c>
      <c r="D17" s="16" t="s">
        <v>251</v>
      </c>
      <c r="E17" s="16"/>
      <c r="F17" s="4"/>
    </row>
    <row r="18" spans="1:6" x14ac:dyDescent="0.25">
      <c r="A18" s="4" t="s">
        <v>109</v>
      </c>
      <c r="B18" s="4" t="s">
        <v>74</v>
      </c>
      <c r="C18" s="4" t="s">
        <v>214</v>
      </c>
      <c r="D18" s="16" t="s">
        <v>258</v>
      </c>
      <c r="E18" s="14">
        <v>8929</v>
      </c>
      <c r="F18" s="4"/>
    </row>
    <row r="19" spans="1:6" x14ac:dyDescent="0.25">
      <c r="A19" s="4" t="s">
        <v>110</v>
      </c>
      <c r="B19" s="4" t="s">
        <v>111</v>
      </c>
      <c r="C19" s="4" t="s">
        <v>214</v>
      </c>
      <c r="D19" s="16" t="s">
        <v>259</v>
      </c>
      <c r="E19" s="14">
        <v>8911</v>
      </c>
      <c r="F19" s="4"/>
    </row>
    <row r="20" spans="1:6" x14ac:dyDescent="0.25">
      <c r="A20" s="4" t="s">
        <v>112</v>
      </c>
      <c r="B20" s="4" t="s">
        <v>23</v>
      </c>
      <c r="C20" s="4" t="s">
        <v>214</v>
      </c>
      <c r="D20" s="16" t="s">
        <v>260</v>
      </c>
      <c r="E20" s="14">
        <v>8901</v>
      </c>
      <c r="F20" s="4"/>
    </row>
    <row r="21" spans="1:6" x14ac:dyDescent="0.25">
      <c r="A21" s="4" t="s">
        <v>113</v>
      </c>
      <c r="B21" s="4" t="s">
        <v>114</v>
      </c>
      <c r="C21" s="4" t="s">
        <v>214</v>
      </c>
      <c r="D21" s="16" t="s">
        <v>113</v>
      </c>
      <c r="E21" s="14">
        <v>8903</v>
      </c>
      <c r="F21" s="4"/>
    </row>
    <row r="22" spans="1:6" x14ac:dyDescent="0.25">
      <c r="A22" s="4" t="s">
        <v>115</v>
      </c>
      <c r="B22" s="4" t="s">
        <v>88</v>
      </c>
      <c r="C22" s="4" t="s">
        <v>214</v>
      </c>
      <c r="D22" s="4" t="s">
        <v>266</v>
      </c>
      <c r="E22" s="11">
        <v>8921</v>
      </c>
      <c r="F22" s="4"/>
    </row>
    <row r="23" spans="1:6" x14ac:dyDescent="0.25">
      <c r="A23" s="4" t="s">
        <v>40</v>
      </c>
      <c r="B23" s="4" t="s">
        <v>23</v>
      </c>
      <c r="C23" s="4" t="s">
        <v>214</v>
      </c>
      <c r="D23" s="4" t="s">
        <v>40</v>
      </c>
      <c r="E23" s="11">
        <v>8905</v>
      </c>
      <c r="F23" s="4"/>
    </row>
    <row r="24" spans="1:6" x14ac:dyDescent="0.25">
      <c r="A24" s="4" t="s">
        <v>116</v>
      </c>
      <c r="B24" s="4" t="s">
        <v>88</v>
      </c>
      <c r="C24" s="4" t="s">
        <v>214</v>
      </c>
      <c r="D24" s="16" t="s">
        <v>261</v>
      </c>
      <c r="E24" s="14">
        <v>8908</v>
      </c>
      <c r="F24" s="4"/>
    </row>
    <row r="25" spans="1:6" x14ac:dyDescent="0.25">
      <c r="A25" s="4" t="s">
        <v>117</v>
      </c>
      <c r="B25" s="4" t="s">
        <v>93</v>
      </c>
      <c r="C25" s="4" t="s">
        <v>214</v>
      </c>
      <c r="D25" s="16" t="s">
        <v>52</v>
      </c>
      <c r="E25" s="14"/>
      <c r="F25" s="4"/>
    </row>
    <row r="26" spans="1:6" x14ac:dyDescent="0.25">
      <c r="A26" s="4" t="s">
        <v>96</v>
      </c>
      <c r="B26" s="4" t="s">
        <v>74</v>
      </c>
      <c r="C26" s="4" t="s">
        <v>214</v>
      </c>
      <c r="D26" s="16" t="s">
        <v>117</v>
      </c>
      <c r="E26" s="14">
        <v>18571</v>
      </c>
      <c r="F26" s="4" t="s">
        <v>279</v>
      </c>
    </row>
    <row r="27" spans="1:6" x14ac:dyDescent="0.25">
      <c r="A27" s="4" t="s">
        <v>97</v>
      </c>
      <c r="B27" s="4" t="s">
        <v>98</v>
      </c>
      <c r="C27" s="4" t="s">
        <v>214</v>
      </c>
      <c r="D27" s="16" t="s">
        <v>117</v>
      </c>
      <c r="E27" s="14">
        <v>18571</v>
      </c>
      <c r="F27" s="4" t="s">
        <v>279</v>
      </c>
    </row>
    <row r="28" spans="1:6" x14ac:dyDescent="0.25">
      <c r="A28" s="4" t="s">
        <v>99</v>
      </c>
      <c r="B28" s="4" t="s">
        <v>98</v>
      </c>
      <c r="C28" s="4" t="s">
        <v>220</v>
      </c>
      <c r="D28" s="16" t="s">
        <v>251</v>
      </c>
      <c r="E28" s="14">
        <v>18571</v>
      </c>
      <c r="F28" s="4"/>
    </row>
    <row r="29" spans="1:6" x14ac:dyDescent="0.25">
      <c r="A29" s="4" t="s">
        <v>100</v>
      </c>
      <c r="B29" s="4" t="s">
        <v>98</v>
      </c>
      <c r="C29" s="4" t="s">
        <v>214</v>
      </c>
      <c r="D29" s="16" t="s">
        <v>117</v>
      </c>
      <c r="E29" s="14">
        <v>18571</v>
      </c>
      <c r="F29" s="4" t="s">
        <v>279</v>
      </c>
    </row>
    <row r="30" spans="1:6" x14ac:dyDescent="0.25">
      <c r="A30" s="4" t="s">
        <v>101</v>
      </c>
      <c r="B30" s="4" t="s">
        <v>102</v>
      </c>
      <c r="C30" s="4" t="s">
        <v>214</v>
      </c>
      <c r="D30" s="16" t="s">
        <v>117</v>
      </c>
      <c r="E30" s="14">
        <v>18571</v>
      </c>
      <c r="F30" s="4" t="s">
        <v>279</v>
      </c>
    </row>
    <row r="31" spans="1:6" x14ac:dyDescent="0.25">
      <c r="A31" s="4" t="s">
        <v>103</v>
      </c>
      <c r="B31" s="4" t="s">
        <v>102</v>
      </c>
      <c r="C31" s="4" t="s">
        <v>214</v>
      </c>
      <c r="D31" s="16" t="s">
        <v>117</v>
      </c>
      <c r="E31" s="14">
        <v>18571</v>
      </c>
      <c r="F31" s="4" t="s">
        <v>279</v>
      </c>
    </row>
    <row r="32" spans="1:6" x14ac:dyDescent="0.25">
      <c r="A32" s="4" t="s">
        <v>118</v>
      </c>
      <c r="B32" s="4" t="s">
        <v>90</v>
      </c>
      <c r="C32" s="4" t="s">
        <v>214</v>
      </c>
      <c r="D32" s="16" t="s">
        <v>262</v>
      </c>
      <c r="E32" s="14">
        <v>18580</v>
      </c>
      <c r="F32" s="4"/>
    </row>
    <row r="33" spans="1:6" x14ac:dyDescent="0.25">
      <c r="A33" s="4" t="s">
        <v>108</v>
      </c>
      <c r="B33" s="4" t="s">
        <v>81</v>
      </c>
      <c r="C33" s="4" t="s">
        <v>214</v>
      </c>
      <c r="D33" s="16" t="s">
        <v>263</v>
      </c>
      <c r="E33" s="14">
        <v>18578</v>
      </c>
      <c r="F33" s="4"/>
    </row>
    <row r="34" spans="1:6" x14ac:dyDescent="0.25">
      <c r="A34" s="4" t="s">
        <v>119</v>
      </c>
      <c r="B34" s="4" t="s">
        <v>107</v>
      </c>
      <c r="C34" s="4"/>
      <c r="D34" s="16" t="s">
        <v>52</v>
      </c>
      <c r="E34" s="16"/>
      <c r="F34" s="4"/>
    </row>
    <row r="35" spans="1:6" x14ac:dyDescent="0.25">
      <c r="A35" s="4" t="s">
        <v>96</v>
      </c>
      <c r="B35" s="4" t="s">
        <v>74</v>
      </c>
      <c r="C35" s="4" t="s">
        <v>214</v>
      </c>
      <c r="D35" s="16" t="s">
        <v>119</v>
      </c>
      <c r="E35" s="14">
        <v>18573</v>
      </c>
      <c r="F35" s="4" t="s">
        <v>279</v>
      </c>
    </row>
    <row r="36" spans="1:6" x14ac:dyDescent="0.25">
      <c r="A36" s="4" t="s">
        <v>97</v>
      </c>
      <c r="B36" s="4" t="s">
        <v>98</v>
      </c>
      <c r="C36" s="4" t="s">
        <v>214</v>
      </c>
      <c r="D36" s="16" t="s">
        <v>119</v>
      </c>
      <c r="E36" s="14">
        <v>18573</v>
      </c>
      <c r="F36" s="4" t="s">
        <v>279</v>
      </c>
    </row>
    <row r="37" spans="1:6" x14ac:dyDescent="0.25">
      <c r="A37" s="4" t="s">
        <v>99</v>
      </c>
      <c r="B37" s="4" t="s">
        <v>98</v>
      </c>
      <c r="C37" s="4" t="s">
        <v>220</v>
      </c>
      <c r="D37" s="16" t="s">
        <v>251</v>
      </c>
      <c r="E37" s="16"/>
      <c r="F37" s="4"/>
    </row>
    <row r="38" spans="1:6" x14ac:dyDescent="0.25">
      <c r="A38" s="4" t="s">
        <v>100</v>
      </c>
      <c r="B38" s="4" t="s">
        <v>98</v>
      </c>
      <c r="C38" s="4" t="s">
        <v>214</v>
      </c>
      <c r="D38" s="16" t="s">
        <v>119</v>
      </c>
      <c r="E38" s="14">
        <v>18573</v>
      </c>
      <c r="F38" s="4" t="s">
        <v>279</v>
      </c>
    </row>
    <row r="39" spans="1:6" x14ac:dyDescent="0.25">
      <c r="A39" s="4" t="s">
        <v>101</v>
      </c>
      <c r="B39" s="4" t="s">
        <v>102</v>
      </c>
      <c r="C39" s="4" t="s">
        <v>214</v>
      </c>
      <c r="D39" s="16" t="s">
        <v>119</v>
      </c>
      <c r="E39" s="14">
        <v>18573</v>
      </c>
      <c r="F39" s="4" t="s">
        <v>279</v>
      </c>
    </row>
    <row r="40" spans="1:6" x14ac:dyDescent="0.25">
      <c r="A40" s="4" t="s">
        <v>103</v>
      </c>
      <c r="B40" s="4" t="s">
        <v>102</v>
      </c>
      <c r="C40" s="4" t="s">
        <v>214</v>
      </c>
      <c r="D40" s="16" t="s">
        <v>119</v>
      </c>
      <c r="E40" s="14">
        <v>18573</v>
      </c>
      <c r="F40" s="4" t="s">
        <v>279</v>
      </c>
    </row>
    <row r="41" spans="1:6" x14ac:dyDescent="0.25">
      <c r="A41" s="4" t="s">
        <v>118</v>
      </c>
      <c r="B41" s="4" t="s">
        <v>90</v>
      </c>
      <c r="C41" s="4" t="s">
        <v>214</v>
      </c>
      <c r="D41" s="16" t="s">
        <v>264</v>
      </c>
      <c r="E41" s="14">
        <v>18581</v>
      </c>
      <c r="F41" s="4"/>
    </row>
    <row r="42" spans="1:6" x14ac:dyDescent="0.25">
      <c r="A42" s="4" t="s">
        <v>108</v>
      </c>
      <c r="B42" s="4" t="s">
        <v>81</v>
      </c>
      <c r="C42" s="4" t="s">
        <v>214</v>
      </c>
      <c r="D42" s="16" t="s">
        <v>265</v>
      </c>
      <c r="E42" s="14">
        <v>18579</v>
      </c>
      <c r="F42" s="4"/>
    </row>
    <row r="43" spans="1:6" x14ac:dyDescent="0.25">
      <c r="A43" s="4" t="s">
        <v>120</v>
      </c>
      <c r="B43" s="4" t="s">
        <v>88</v>
      </c>
      <c r="C43" s="4" t="s">
        <v>214</v>
      </c>
      <c r="D43" s="16" t="s">
        <v>52</v>
      </c>
      <c r="E43" s="16"/>
      <c r="F43" s="4"/>
    </row>
    <row r="44" spans="1:6" x14ac:dyDescent="0.25">
      <c r="A44" s="4" t="s">
        <v>96</v>
      </c>
      <c r="B44" s="4" t="s">
        <v>74</v>
      </c>
      <c r="C44" s="4" t="s">
        <v>214</v>
      </c>
      <c r="D44" s="16" t="s">
        <v>120</v>
      </c>
      <c r="E44" s="14">
        <v>8899</v>
      </c>
      <c r="F44" s="4" t="s">
        <v>279</v>
      </c>
    </row>
    <row r="45" spans="1:6" x14ac:dyDescent="0.25">
      <c r="A45" s="4" t="s">
        <v>97</v>
      </c>
      <c r="B45" s="4" t="s">
        <v>98</v>
      </c>
      <c r="C45" s="4" t="s">
        <v>214</v>
      </c>
      <c r="D45" s="16" t="s">
        <v>120</v>
      </c>
      <c r="E45" s="14">
        <v>8899</v>
      </c>
      <c r="F45" s="4" t="s">
        <v>279</v>
      </c>
    </row>
    <row r="46" spans="1:6" x14ac:dyDescent="0.25">
      <c r="A46" s="4" t="s">
        <v>99</v>
      </c>
      <c r="B46" s="4" t="s">
        <v>98</v>
      </c>
      <c r="C46" s="4" t="s">
        <v>220</v>
      </c>
      <c r="D46" s="16" t="s">
        <v>251</v>
      </c>
      <c r="E46" s="16"/>
      <c r="F46" s="4"/>
    </row>
    <row r="47" spans="1:6" x14ac:dyDescent="0.25">
      <c r="A47" s="4" t="s">
        <v>100</v>
      </c>
      <c r="B47" s="4" t="s">
        <v>98</v>
      </c>
      <c r="C47" s="4" t="s">
        <v>214</v>
      </c>
      <c r="D47" s="16" t="s">
        <v>120</v>
      </c>
      <c r="E47" s="14">
        <v>8899</v>
      </c>
      <c r="F47" s="4" t="s">
        <v>279</v>
      </c>
    </row>
    <row r="48" spans="1:6" x14ac:dyDescent="0.25">
      <c r="A48" s="4" t="s">
        <v>101</v>
      </c>
      <c r="B48" s="4" t="s">
        <v>102</v>
      </c>
      <c r="C48" s="4" t="s">
        <v>214</v>
      </c>
      <c r="D48" s="16" t="s">
        <v>120</v>
      </c>
      <c r="E48" s="14">
        <v>8899</v>
      </c>
      <c r="F48" s="4" t="s">
        <v>279</v>
      </c>
    </row>
    <row r="49" spans="1:6" x14ac:dyDescent="0.25">
      <c r="A49" s="4" t="s">
        <v>103</v>
      </c>
      <c r="B49" s="4" t="s">
        <v>102</v>
      </c>
      <c r="C49" s="4" t="s">
        <v>214</v>
      </c>
      <c r="D49" s="16" t="s">
        <v>120</v>
      </c>
      <c r="E49" s="14">
        <v>8899</v>
      </c>
      <c r="F49" s="4" t="s">
        <v>279</v>
      </c>
    </row>
    <row r="50" spans="1:6" x14ac:dyDescent="0.25">
      <c r="A50" s="4" t="s">
        <v>118</v>
      </c>
      <c r="B50" s="4" t="s">
        <v>90</v>
      </c>
      <c r="C50" s="4" t="s">
        <v>214</v>
      </c>
      <c r="D50" s="16" t="s">
        <v>258</v>
      </c>
      <c r="E50" s="14">
        <v>8918</v>
      </c>
      <c r="F50" s="4"/>
    </row>
    <row r="51" spans="1:6" x14ac:dyDescent="0.25">
      <c r="A51" s="4" t="s">
        <v>121</v>
      </c>
      <c r="B51" s="4" t="s">
        <v>47</v>
      </c>
      <c r="C51" s="4" t="s">
        <v>214</v>
      </c>
      <c r="D51" s="16" t="s">
        <v>121</v>
      </c>
      <c r="E51" s="14">
        <v>8930</v>
      </c>
      <c r="F5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2026-06-03T07:27:56Z</dcterms:created>
  <dcterms:modified xsi:type="dcterms:W3CDTF">2026-06-09T12:27:22Z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2026-06-05T03:29:33Z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d6fac77a-731a-4889-890e-7176549ed69f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