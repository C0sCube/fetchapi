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25-03-2026\"/>
    </mc:Choice>
  </mc:AlternateContent>
  <xr:revisionPtr revIDLastSave="0" documentId="13_ncr:1_{36181439-EE2C-4356-85BF-D30E1A96EBB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1" i="2"/>
  <c r="H2" i="1"/>
  <c r="H1" i="1"/>
  <c r="H3" i="2" l="1"/>
  <c r="H3" i="1"/>
</calcChain>
</file>

<file path=xl/sharedStrings.xml><?xml version="1.0" encoding="utf-8"?>
<sst xmlns="http://schemas.openxmlformats.org/spreadsheetml/2006/main" count="355" uniqueCount="98">
  <si>
    <t>Particulars</t>
  </si>
  <si>
    <t>Cogencis Field</t>
  </si>
  <si>
    <t>Revenue from operations</t>
  </si>
  <si>
    <t>Gross Sales/Income from Operations</t>
  </si>
  <si>
    <t>Sales of products and services</t>
  </si>
  <si>
    <t>NOVAL</t>
  </si>
  <si>
    <t>Other operating revenues</t>
  </si>
  <si>
    <t>Other Operating Income</t>
  </si>
  <si>
    <t>Total revenue from operations</t>
  </si>
  <si>
    <t>Total Income from Operations (net)</t>
  </si>
  <si>
    <t>Other income</t>
  </si>
  <si>
    <t>Miscellaneous Income</t>
  </si>
  <si>
    <t>Total Income</t>
  </si>
  <si>
    <t>Expenses</t>
  </si>
  <si>
    <t>Lable</t>
  </si>
  <si>
    <t>Cost of raw materials components consumed and project bought outs</t>
  </si>
  <si>
    <t>Cost of Materials Consumed</t>
  </si>
  <si>
    <t>Purchases of stock - in - trade</t>
  </si>
  <si>
    <t>Purchase of Stock-in-Trade</t>
  </si>
  <si>
    <t>(Increase ) /   decrease in inventories of finished goods stock - in - trade and work - in - progress</t>
  </si>
  <si>
    <t>Changes in Inventories of Finished Goods, Work-In-Progress and Stock-In-Trade</t>
  </si>
  <si>
    <t>Subcontracting charges</t>
  </si>
  <si>
    <t>Operating Expenses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</si>
  <si>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</si>
  <si>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</si>
  <si>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</si>
  <si>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</si>
  <si>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</si>
  <si>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</si>
  <si>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</si>
  <si>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</si>
  <si>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</si>
  <si>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</si>
  <si>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 from continuing operations before tax</t>
  </si>
  <si>
    <t>Profit/(Loss) From Ordinary Activities before Tax</t>
  </si>
  <si>
    <t>Tax expense :</t>
  </si>
  <si>
    <t>Current tax</t>
  </si>
  <si>
    <t>Tax Expense</t>
  </si>
  <si>
    <t>Deferred tax</t>
  </si>
  <si>
    <t>Deferred Tax</t>
  </si>
  <si>
    <t>Total tax expenses</t>
  </si>
  <si>
    <t>Total Field</t>
  </si>
  <si>
    <t>Profit from continuing operations ( after tax )</t>
  </si>
  <si>
    <t>Profit/(Loss) for the Period from Continuing Operations</t>
  </si>
  <si>
    <t>Discontinued operation</t>
  </si>
  <si>
    <t>Profit /(loss ) from discontinued operation</t>
  </si>
  <si>
    <t>Profit/(Loss) from Discontinuing Operations</t>
  </si>
  <si>
    <t>Tax expense/(credit ) of discontinued operation</t>
  </si>
  <si>
    <t>Tax Expense of Discontinuing Operations</t>
  </si>
  <si>
    <t>Profit / ( loss ) from discontinued operation ( after tax )</t>
  </si>
  <si>
    <t>Net Profit From Discontinuing Operations (After Tax)</t>
  </si>
  <si>
    <t>Profit for the period / year</t>
  </si>
  <si>
    <t>Net Profit/(Loss) for the Period</t>
  </si>
  <si>
    <t>Other comprehensive income / ( loss ) ( OCI )</t>
  </si>
  <si>
    <t>Items that will not be reclassified to profit or loss :</t>
  </si>
  <si>
    <t>Remeasurements of defined benefit liability/(asset )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</si>
  <si>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</si>
  <si>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</si>
  <si>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</si>
  <si>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Total other comprehensive income / ( loss ) ( net of tax )</t>
  </si>
  <si>
    <t>Other Comprehensive Income</t>
  </si>
  <si>
    <t>Total comprehensive income for the period / year</t>
  </si>
  <si>
    <t>Total Comprehensive Gain (Loss) For the Year</t>
  </si>
  <si>
    <t>Paid - up equity share capital</t>
  </si>
  <si>
    <t>Paid-Up Equity Share Capital</t>
  </si>
  <si>
    <t>(Face value per share - ` 2/- each )</t>
  </si>
  <si>
    <t>Face Value</t>
  </si>
  <si>
    <t>Reserves excluding revaluation reserves</t>
  </si>
  <si>
    <t>Reserve excluding Revaluation Reserves (as per Balance Sheet of Previous Accounting Year)</t>
  </si>
  <si>
    <t>Earnings / ( loss ) per share ( ' EPS ' ) (of ` 2/- each) ( not annualised except year end EPS )</t>
  </si>
  <si>
    <t>Continuing operations</t>
  </si>
  <si>
    <t>Diluted EPS</t>
  </si>
  <si>
    <t>Basic ( in ` )</t>
  </si>
  <si>
    <t>Basic EPS</t>
  </si>
  <si>
    <t>Diluted ( in ` )</t>
  </si>
  <si>
    <t>Continuing and Discontinued operations</t>
  </si>
  <si>
    <t>Profit attributable to :</t>
  </si>
  <si>
    <t>Shareholders of the Company</t>
  </si>
  <si>
    <t>Owners of the company</t>
  </si>
  <si>
    <t>Non - controlling interest</t>
  </si>
  <si>
    <t>Profit for the period/year</t>
  </si>
  <si>
    <t>Other comprehensive income / ( loss ) attributable to :</t>
  </si>
  <si>
    <t>Other comprehensive income / ( loss ) for the period / year</t>
  </si>
  <si>
    <t>Total comprehensive income / ( loss ) attributable to :</t>
  </si>
  <si>
    <t>Total comprehensive income / ( loss ) for the period / year</t>
  </si>
  <si>
    <t>Status</t>
  </si>
  <si>
    <t>Revised Field Mapping</t>
  </si>
  <si>
    <t>Field ID</t>
  </si>
  <si>
    <t>Correct</t>
  </si>
  <si>
    <t>Incorrect</t>
  </si>
  <si>
    <t>Accuracy %</t>
  </si>
  <si>
    <t>Label</t>
  </si>
  <si>
    <t>Calculated Field</t>
  </si>
  <si>
    <t>Profit (Loss) Attributable To [Total]</t>
  </si>
  <si>
    <t>Non-Controlling Interests</t>
  </si>
  <si>
    <t>Comprehensive Income Attributable To [Total]</t>
  </si>
  <si>
    <t>Total Comprehensive Income Attributable To</t>
  </si>
  <si>
    <t xml:space="preserve">ignore this field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</si>
</sst>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0" borderId="1" xfId="0" applyFont="1" applyBorder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workbookViewId="0"/>
  </sheetViews>
  <sheetFormatPr defaultRowHeight="15" x14ac:dyDescent="0.25"/>
  <cols>
    <col min="1" max="1" width="55.5703125" customWidth="1"/>
    <col min="2" max="2" width="49.5703125" customWidth="1"/>
    <col min="3" max="3" width="11.425781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85</v>
      </c>
      <c r="D1" s="2" t="s">
        <v>86</v>
      </c>
      <c r="E1" s="2" t="s">
        <v>87</v>
      </c>
      <c r="G1" s="3" t="s">
        <v>88</v>
      </c>
      <c r="H1" s="4">
        <f>COUNTIF(C:C,G1)</f>
        <v>37</v>
      </c>
    </row>
    <row r="2" spans="1:8" x14ac:dyDescent="0.25">
      <c r="A2" s="9" t="s">
        <v>2</v>
      </c>
      <c r="B2" s="9" t="s">
        <v>3</v>
      </c>
      <c r="C2" s="9" t="s">
        <v>89</v>
      </c>
      <c r="D2" s="9" t="s">
        <v>91</v>
      </c>
      <c r="E2" s="9"/>
      <c r="G2" s="5" t="s">
        <v>89</v>
      </c>
      <c r="H2" s="6">
        <f>COUNTIF(C:C,G2)</f>
        <v>2</v>
      </c>
    </row>
    <row r="3" spans="1:8" ht="15.75" thickBot="1" x14ac:dyDescent="0.3">
      <c r="A3" s="9" t="s">
        <v>4</v>
      </c>
      <c r="B3" s="9" t="s">
        <v>5</v>
      </c>
      <c r="C3" s="9" t="s">
        <v>89</v>
      </c>
      <c r="D3" s="9" t="s">
        <v>3</v>
      </c>
      <c r="E3" s="10">
        <v>256</v>
      </c>
      <c r="G3" s="7" t="s">
        <v>90</v>
      </c>
      <c r="H3" s="8">
        <f>H1/SUM(H1:H2)</f>
        <v>0.94871794871794868</v>
      </c>
    </row>
    <row r="4" spans="1:8" x14ac:dyDescent="0.25">
      <c r="A4" s="9" t="s">
        <v>6</v>
      </c>
      <c r="B4" s="9" t="s">
        <v>7</v>
      </c>
      <c r="C4" s="9" t="s">
        <v>88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88</v>
      </c>
      <c r="D5" s="11" t="s">
        <v>9</v>
      </c>
      <c r="E5" s="12">
        <v>266</v>
      </c>
    </row>
    <row r="6" spans="1:8" x14ac:dyDescent="0.25">
      <c r="A6" s="9" t="s">
        <v>10</v>
      </c>
      <c r="B6" s="9" t="s">
        <v>11</v>
      </c>
      <c r="C6" s="9" t="s">
        <v>88</v>
      </c>
      <c r="D6" s="9"/>
      <c r="E6" s="9"/>
    </row>
    <row r="7" spans="1:8" x14ac:dyDescent="0.25">
      <c r="A7" s="9" t="s">
        <v>12</v>
      </c>
      <c r="B7" s="9" t="s">
        <v>12</v>
      </c>
      <c r="C7" s="9" t="s">
        <v>88</v>
      </c>
      <c r="D7" s="9"/>
      <c r="E7" s="9"/>
    </row>
    <row r="8" spans="1:8" x14ac:dyDescent="0.25">
      <c r="A8" s="9" t="s">
        <v>13</v>
      </c>
      <c r="B8" s="9" t="s">
        <v>14</v>
      </c>
      <c r="C8" s="9" t="s">
        <v>88</v>
      </c>
      <c r="D8" s="9"/>
      <c r="E8" s="9"/>
    </row>
    <row r="9" spans="1:8" x14ac:dyDescent="0.25">
      <c r="A9" s="9" t="s">
        <v>15</v>
      </c>
      <c r="B9" s="9" t="s">
        <v>16</v>
      </c>
      <c r="C9" s="9" t="s">
        <v>88</v>
      </c>
      <c r="D9" s="9"/>
      <c r="E9" s="9"/>
    </row>
    <row r="10" spans="1:8" x14ac:dyDescent="0.25">
      <c r="A10" s="9" t="s">
        <v>17</v>
      </c>
      <c r="B10" s="9" t="s">
        <v>18</v>
      </c>
      <c r="C10" s="9" t="s">
        <v>88</v>
      </c>
      <c r="D10" s="9"/>
      <c r="E10" s="9"/>
    </row>
    <row r="11" spans="1:8" x14ac:dyDescent="0.25">
      <c r="A11" s="9" t="s">
        <v>19</v>
      </c>
      <c r="B11" s="9" t="s">
        <v>20</v>
      </c>
      <c r="C11" s="9" t="s">
        <v>88</v>
      </c>
      <c r="D11" s="9"/>
      <c r="E11" s="9"/>
    </row>
    <row r="12" spans="1:8" x14ac:dyDescent="0.25">
      <c r="A12" s="9" t="s">
        <v>21</v>
      </c>
      <c r="B12" s="9" t="s">
        <v>22</v>
      </c>
      <c r="C12" s="9" t="s">
        <v>88</v>
      </c>
      <c r="D12" s="9"/>
      <c r="E12" s="9"/>
    </row>
    <row r="13" spans="1:8" x14ac:dyDescent="0.25">
      <c r="A13" s="9" t="s">
        <v>23</v>
      </c>
      <c r="B13" s="9" t="s">
        <v>24</v>
      </c>
      <c r="C13" s="9" t="s">
        <v>88</v>
      </c>
      <c r="D13" s="9"/>
      <c r="E13" s="9"/>
    </row>
    <row r="14" spans="1:8" x14ac:dyDescent="0.25">
      <c r="A14" s="9" t="s">
        <v>25</v>
      </c>
      <c r="B14" s="9" t="s">
        <v>26</v>
      </c>
      <c r="C14" s="9" t="s">
        <v>88</v>
      </c>
      <c r="D14" s="9"/>
      <c r="E14" s="9"/>
    </row>
    <row r="15" spans="1:8" x14ac:dyDescent="0.25">
      <c r="A15" s="9" t="s">
        <v>27</v>
      </c>
      <c r="B15" s="9" t="s">
        <v>28</v>
      </c>
      <c r="C15" s="9" t="s">
        <v>88</v>
      </c>
      <c r="D15" s="9"/>
      <c r="E15" s="9"/>
    </row>
    <row r="16" spans="1:8" x14ac:dyDescent="0.25">
      <c r="A16" s="9" t="s">
        <v>29</v>
      </c>
      <c r="B16" s="9" t="s">
        <v>30</v>
      </c>
      <c r="C16" s="9" t="s">
        <v>88</v>
      </c>
      <c r="D16" s="9"/>
      <c r="E16" s="9"/>
    </row>
    <row r="17" spans="1:5" x14ac:dyDescent="0.25">
      <c r="A17" s="9" t="s">
        <v>31</v>
      </c>
      <c r="B17" s="9" t="s">
        <v>32</v>
      </c>
      <c r="C17" s="9" t="s">
        <v>88</v>
      </c>
      <c r="D17" s="9"/>
      <c r="E17" s="9"/>
    </row>
    <row r="18" spans="1:5" x14ac:dyDescent="0.25">
      <c r="A18" s="9" t="s">
        <v>33</v>
      </c>
      <c r="B18" s="9" t="s">
        <v>34</v>
      </c>
      <c r="C18" s="9" t="s">
        <v>88</v>
      </c>
      <c r="D18" s="9"/>
      <c r="E18" s="9"/>
    </row>
    <row r="19" spans="1:5" x14ac:dyDescent="0.25">
      <c r="A19" s="9" t="s">
        <v>35</v>
      </c>
      <c r="B19" s="9" t="s">
        <v>14</v>
      </c>
      <c r="C19" s="9" t="s">
        <v>88</v>
      </c>
      <c r="D19" s="9"/>
      <c r="E19" s="9"/>
    </row>
    <row r="20" spans="1:5" x14ac:dyDescent="0.25">
      <c r="A20" s="9" t="s">
        <v>36</v>
      </c>
      <c r="B20" s="9" t="s">
        <v>37</v>
      </c>
      <c r="C20" s="9" t="s">
        <v>88</v>
      </c>
      <c r="D20" s="9"/>
      <c r="E20" s="9"/>
    </row>
    <row r="21" spans="1:5" x14ac:dyDescent="0.25">
      <c r="A21" s="9" t="s">
        <v>38</v>
      </c>
      <c r="B21" s="9" t="s">
        <v>39</v>
      </c>
      <c r="C21" s="9" t="s">
        <v>88</v>
      </c>
      <c r="D21" s="9"/>
      <c r="E21" s="9"/>
    </row>
    <row r="22" spans="1:5" x14ac:dyDescent="0.25">
      <c r="A22" s="9" t="s">
        <v>40</v>
      </c>
      <c r="B22" s="9" t="s">
        <v>41</v>
      </c>
      <c r="C22" s="9"/>
      <c r="D22" s="9" t="s">
        <v>92</v>
      </c>
      <c r="E22" s="9"/>
    </row>
    <row r="23" spans="1:5" x14ac:dyDescent="0.25">
      <c r="A23" s="9" t="s">
        <v>42</v>
      </c>
      <c r="B23" s="9" t="s">
        <v>43</v>
      </c>
      <c r="C23" s="9" t="s">
        <v>88</v>
      </c>
      <c r="D23" s="11" t="s">
        <v>43</v>
      </c>
      <c r="E23" s="12">
        <v>20017</v>
      </c>
    </row>
    <row r="24" spans="1:5" x14ac:dyDescent="0.25">
      <c r="A24" s="9" t="s">
        <v>44</v>
      </c>
      <c r="B24" s="9" t="s">
        <v>14</v>
      </c>
      <c r="C24" s="9" t="s">
        <v>88</v>
      </c>
      <c r="D24" s="9"/>
      <c r="E24" s="9"/>
    </row>
    <row r="25" spans="1:5" x14ac:dyDescent="0.25">
      <c r="A25" s="9" t="s">
        <v>45</v>
      </c>
      <c r="B25" s="9" t="s">
        <v>46</v>
      </c>
      <c r="C25" s="9" t="s">
        <v>88</v>
      </c>
      <c r="D25" s="9" t="s">
        <v>46</v>
      </c>
      <c r="E25" s="10">
        <v>20016</v>
      </c>
    </row>
    <row r="26" spans="1:5" x14ac:dyDescent="0.25">
      <c r="A26" s="9" t="s">
        <v>47</v>
      </c>
      <c r="B26" s="9" t="s">
        <v>48</v>
      </c>
      <c r="C26" s="9" t="s">
        <v>88</v>
      </c>
      <c r="D26" s="9" t="s">
        <v>48</v>
      </c>
      <c r="E26" s="10">
        <v>20018</v>
      </c>
    </row>
    <row r="27" spans="1:5" x14ac:dyDescent="0.25">
      <c r="A27" s="9" t="s">
        <v>49</v>
      </c>
      <c r="B27" s="9" t="s">
        <v>50</v>
      </c>
      <c r="C27" s="9" t="s">
        <v>88</v>
      </c>
      <c r="D27" s="11" t="s">
        <v>50</v>
      </c>
      <c r="E27" s="12">
        <v>20015</v>
      </c>
    </row>
    <row r="28" spans="1:5" x14ac:dyDescent="0.25">
      <c r="A28" s="9" t="s">
        <v>51</v>
      </c>
      <c r="B28" s="9" t="s">
        <v>52</v>
      </c>
      <c r="C28" s="9" t="s">
        <v>88</v>
      </c>
      <c r="D28" s="9"/>
      <c r="E28" s="9"/>
    </row>
    <row r="29" spans="1:5" x14ac:dyDescent="0.25">
      <c r="A29" s="9" t="s">
        <v>53</v>
      </c>
      <c r="B29" s="9" t="s">
        <v>14</v>
      </c>
      <c r="C29" s="9" t="s">
        <v>88</v>
      </c>
      <c r="D29" s="9"/>
      <c r="E29" s="9"/>
    </row>
    <row r="30" spans="1:5" x14ac:dyDescent="0.25">
      <c r="A30" s="9" t="s">
        <v>54</v>
      </c>
      <c r="B30" s="9" t="s">
        <v>14</v>
      </c>
      <c r="C30" s="9" t="s">
        <v>88</v>
      </c>
      <c r="D30" s="9"/>
      <c r="E30" s="9"/>
    </row>
    <row r="31" spans="1:5" x14ac:dyDescent="0.25">
      <c r="A31" s="9" t="s">
        <v>55</v>
      </c>
      <c r="B31" s="9" t="s">
        <v>56</v>
      </c>
      <c r="C31" s="9" t="s">
        <v>88</v>
      </c>
      <c r="D31" s="9"/>
      <c r="E31" s="9"/>
    </row>
    <row r="32" spans="1:5" x14ac:dyDescent="0.25">
      <c r="A32" s="9" t="s">
        <v>57</v>
      </c>
      <c r="B32" s="9" t="s">
        <v>58</v>
      </c>
      <c r="C32" s="9" t="s">
        <v>88</v>
      </c>
      <c r="D32" s="9"/>
      <c r="E32" s="9"/>
    </row>
    <row r="33" spans="1:5" x14ac:dyDescent="0.25">
      <c r="A33" s="9" t="s">
        <v>59</v>
      </c>
      <c r="B33" s="9" t="s">
        <v>60</v>
      </c>
      <c r="C33" s="9" t="s">
        <v>88</v>
      </c>
      <c r="D33" s="9"/>
      <c r="E33" s="9"/>
    </row>
    <row r="34" spans="1:5" x14ac:dyDescent="0.25">
      <c r="A34" s="9" t="s">
        <v>61</v>
      </c>
      <c r="B34" s="9" t="s">
        <v>62</v>
      </c>
      <c r="C34" s="9" t="s">
        <v>88</v>
      </c>
      <c r="D34" s="9"/>
      <c r="E34" s="9"/>
    </row>
    <row r="35" spans="1:5" x14ac:dyDescent="0.25">
      <c r="A35" s="9" t="s">
        <v>63</v>
      </c>
      <c r="B35" s="9" t="s">
        <v>64</v>
      </c>
      <c r="C35" s="9" t="s">
        <v>88</v>
      </c>
      <c r="D35" s="9"/>
      <c r="E35" s="9"/>
    </row>
    <row r="36" spans="1:5" x14ac:dyDescent="0.25">
      <c r="A36" s="9" t="s">
        <v>65</v>
      </c>
      <c r="B36" s="9" t="s">
        <v>66</v>
      </c>
      <c r="C36" s="9" t="s">
        <v>88</v>
      </c>
      <c r="D36" s="9"/>
      <c r="E36" s="9"/>
    </row>
    <row r="37" spans="1:5" x14ac:dyDescent="0.25">
      <c r="A37" s="9" t="s">
        <v>67</v>
      </c>
      <c r="B37" s="9" t="s">
        <v>68</v>
      </c>
      <c r="C37" s="9" t="s">
        <v>88</v>
      </c>
      <c r="D37" s="9"/>
      <c r="E37" s="9"/>
    </row>
    <row r="38" spans="1:5" x14ac:dyDescent="0.25">
      <c r="A38" s="9" t="s">
        <v>69</v>
      </c>
      <c r="B38" s="9" t="s">
        <v>14</v>
      </c>
      <c r="C38" s="9" t="s">
        <v>88</v>
      </c>
      <c r="D38" s="9"/>
      <c r="E38" s="9"/>
    </row>
    <row r="39" spans="1:5" x14ac:dyDescent="0.25">
      <c r="A39" s="9" t="s">
        <v>70</v>
      </c>
      <c r="B39" s="9" t="s">
        <v>71</v>
      </c>
      <c r="C39" s="9"/>
      <c r="D39" s="9" t="s">
        <v>97</v>
      </c>
      <c r="E39" s="9"/>
    </row>
    <row r="40" spans="1:5" x14ac:dyDescent="0.25">
      <c r="A40" s="9" t="s">
        <v>72</v>
      </c>
      <c r="B40" s="9" t="s">
        <v>73</v>
      </c>
      <c r="C40" s="9"/>
      <c r="D40" s="9" t="s">
        <v>97</v>
      </c>
      <c r="E40" s="9"/>
    </row>
    <row r="41" spans="1:5" x14ac:dyDescent="0.25">
      <c r="A41" s="9" t="s">
        <v>74</v>
      </c>
      <c r="B41" s="9" t="s">
        <v>71</v>
      </c>
      <c r="C41" s="9"/>
      <c r="D41" s="9" t="s">
        <v>97</v>
      </c>
      <c r="E41" s="9"/>
    </row>
    <row r="42" spans="1:5" x14ac:dyDescent="0.25">
      <c r="A42" s="9" t="s">
        <v>44</v>
      </c>
      <c r="B42" s="9" t="s">
        <v>14</v>
      </c>
      <c r="C42" s="9"/>
      <c r="D42" s="9" t="s">
        <v>97</v>
      </c>
      <c r="E42" s="9"/>
    </row>
    <row r="43" spans="1:5" x14ac:dyDescent="0.25">
      <c r="A43" s="9" t="s">
        <v>72</v>
      </c>
      <c r="B43" s="9" t="s">
        <v>73</v>
      </c>
      <c r="C43" s="9"/>
      <c r="D43" s="9" t="s">
        <v>97</v>
      </c>
      <c r="E43" s="9"/>
    </row>
    <row r="44" spans="1:5" x14ac:dyDescent="0.25">
      <c r="A44" s="9" t="s">
        <v>74</v>
      </c>
      <c r="B44" s="9" t="s">
        <v>71</v>
      </c>
      <c r="C44" s="9"/>
      <c r="D44" s="9" t="s">
        <v>97</v>
      </c>
      <c r="E44" s="9"/>
    </row>
    <row r="45" spans="1:5" x14ac:dyDescent="0.25">
      <c r="A45" s="9" t="s">
        <v>75</v>
      </c>
      <c r="B45" s="9" t="s">
        <v>14</v>
      </c>
      <c r="C45" s="9" t="s">
        <v>88</v>
      </c>
      <c r="D45" s="9"/>
      <c r="E45" s="9"/>
    </row>
    <row r="46" spans="1:5" x14ac:dyDescent="0.25">
      <c r="A46" s="9" t="s">
        <v>72</v>
      </c>
      <c r="B46" s="9" t="s">
        <v>73</v>
      </c>
      <c r="C46" s="9" t="s">
        <v>88</v>
      </c>
      <c r="D46" s="9" t="s">
        <v>73</v>
      </c>
      <c r="E46" s="10">
        <v>222</v>
      </c>
    </row>
    <row r="47" spans="1:5" x14ac:dyDescent="0.25">
      <c r="A47" s="9" t="s">
        <v>74</v>
      </c>
      <c r="B47" s="9" t="s">
        <v>71</v>
      </c>
      <c r="C47" s="9" t="s">
        <v>88</v>
      </c>
      <c r="D47" s="9" t="s">
        <v>71</v>
      </c>
      <c r="E47" s="10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9"/>
  <sheetViews>
    <sheetView workbookViewId="0"/>
  </sheetViews>
  <sheetFormatPr defaultRowHeight="15" x14ac:dyDescent="0.25"/>
  <cols>
    <col min="1" max="1" width="58.5703125" customWidth="1"/>
    <col min="2" max="2" width="48.28515625" customWidth="1"/>
    <col min="3" max="3" width="10.285156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85</v>
      </c>
      <c r="D1" s="2" t="s">
        <v>86</v>
      </c>
      <c r="E1" s="2" t="s">
        <v>87</v>
      </c>
      <c r="G1" s="3" t="s">
        <v>88</v>
      </c>
      <c r="H1" s="4">
        <f>COUNTIF(C:C,G1)</f>
        <v>43</v>
      </c>
    </row>
    <row r="2" spans="1:8" x14ac:dyDescent="0.25">
      <c r="A2" s="9" t="s">
        <v>2</v>
      </c>
      <c r="B2" s="9" t="s">
        <v>3</v>
      </c>
      <c r="C2" s="9" t="s">
        <v>89</v>
      </c>
      <c r="D2" s="9" t="s">
        <v>91</v>
      </c>
      <c r="E2" s="9"/>
      <c r="G2" s="5" t="s">
        <v>89</v>
      </c>
      <c r="H2" s="6">
        <f>COUNTIF(C:C,G2)</f>
        <v>8</v>
      </c>
    </row>
    <row r="3" spans="1:8" ht="15.75" thickBot="1" x14ac:dyDescent="0.3">
      <c r="A3" s="9" t="s">
        <v>4</v>
      </c>
      <c r="B3" s="9" t="s">
        <v>5</v>
      </c>
      <c r="C3" s="9" t="s">
        <v>89</v>
      </c>
      <c r="D3" s="9" t="s">
        <v>3</v>
      </c>
      <c r="E3" s="10">
        <v>256</v>
      </c>
      <c r="G3" s="7" t="s">
        <v>90</v>
      </c>
      <c r="H3" s="8">
        <f>H1/SUM(H1:H2)</f>
        <v>0.84313725490196079</v>
      </c>
    </row>
    <row r="4" spans="1:8" x14ac:dyDescent="0.25">
      <c r="A4" s="9" t="s">
        <v>6</v>
      </c>
      <c r="B4" s="9" t="s">
        <v>7</v>
      </c>
      <c r="C4" s="9" t="s">
        <v>88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88</v>
      </c>
      <c r="D5" s="11" t="s">
        <v>9</v>
      </c>
      <c r="E5" s="12">
        <v>266</v>
      </c>
    </row>
    <row r="6" spans="1:8" x14ac:dyDescent="0.25">
      <c r="A6" s="9" t="s">
        <v>10</v>
      </c>
      <c r="B6" s="9" t="s">
        <v>11</v>
      </c>
      <c r="C6" s="9" t="s">
        <v>88</v>
      </c>
      <c r="D6" s="9"/>
      <c r="E6" s="9"/>
    </row>
    <row r="7" spans="1:8" x14ac:dyDescent="0.25">
      <c r="A7" s="9" t="s">
        <v>12</v>
      </c>
      <c r="B7" s="9" t="s">
        <v>12</v>
      </c>
      <c r="C7" s="9" t="s">
        <v>88</v>
      </c>
      <c r="D7" s="9"/>
      <c r="E7" s="9"/>
    </row>
    <row r="8" spans="1:8" x14ac:dyDescent="0.25">
      <c r="A8" s="9" t="s">
        <v>13</v>
      </c>
      <c r="B8" s="9" t="s">
        <v>14</v>
      </c>
      <c r="C8" s="9" t="s">
        <v>88</v>
      </c>
      <c r="D8" s="9"/>
      <c r="E8" s="9"/>
    </row>
    <row r="9" spans="1:8" x14ac:dyDescent="0.25">
      <c r="A9" s="9" t="s">
        <v>15</v>
      </c>
      <c r="B9" s="9" t="s">
        <v>16</v>
      </c>
      <c r="C9" s="9" t="s">
        <v>88</v>
      </c>
      <c r="D9" s="9"/>
      <c r="E9" s="9"/>
    </row>
    <row r="10" spans="1:8" x14ac:dyDescent="0.25">
      <c r="A10" s="9" t="s">
        <v>17</v>
      </c>
      <c r="B10" s="9" t="s">
        <v>18</v>
      </c>
      <c r="C10" s="9" t="s">
        <v>88</v>
      </c>
      <c r="D10" s="9"/>
      <c r="E10" s="9"/>
    </row>
    <row r="11" spans="1:8" x14ac:dyDescent="0.25">
      <c r="A11" s="9" t="s">
        <v>19</v>
      </c>
      <c r="B11" s="9" t="s">
        <v>20</v>
      </c>
      <c r="C11" s="9" t="s">
        <v>88</v>
      </c>
      <c r="D11" s="9"/>
      <c r="E11" s="9"/>
    </row>
    <row r="12" spans="1:8" x14ac:dyDescent="0.25">
      <c r="A12" s="9" t="s">
        <v>21</v>
      </c>
      <c r="B12" s="9" t="s">
        <v>22</v>
      </c>
      <c r="C12" s="9" t="s">
        <v>88</v>
      </c>
      <c r="D12" s="9"/>
      <c r="E12" s="9"/>
    </row>
    <row r="13" spans="1:8" x14ac:dyDescent="0.25">
      <c r="A13" s="9" t="s">
        <v>23</v>
      </c>
      <c r="B13" s="9" t="s">
        <v>24</v>
      </c>
      <c r="C13" s="9" t="s">
        <v>88</v>
      </c>
      <c r="D13" s="9"/>
      <c r="E13" s="9"/>
    </row>
    <row r="14" spans="1:8" x14ac:dyDescent="0.25">
      <c r="A14" s="9" t="s">
        <v>25</v>
      </c>
      <c r="B14" s="9" t="s">
        <v>26</v>
      </c>
      <c r="C14" s="9" t="s">
        <v>88</v>
      </c>
      <c r="D14" s="9"/>
      <c r="E14" s="9"/>
    </row>
    <row r="15" spans="1:8" x14ac:dyDescent="0.25">
      <c r="A15" s="9" t="s">
        <v>27</v>
      </c>
      <c r="B15" s="9" t="s">
        <v>28</v>
      </c>
      <c r="C15" s="9" t="s">
        <v>88</v>
      </c>
      <c r="D15" s="9"/>
      <c r="E15" s="9"/>
    </row>
    <row r="16" spans="1:8" x14ac:dyDescent="0.25">
      <c r="A16" s="9" t="s">
        <v>29</v>
      </c>
      <c r="B16" s="9" t="s">
        <v>30</v>
      </c>
      <c r="C16" s="9" t="s">
        <v>88</v>
      </c>
      <c r="D16" s="9"/>
      <c r="E16" s="9"/>
    </row>
    <row r="17" spans="1:5" x14ac:dyDescent="0.25">
      <c r="A17" s="9" t="s">
        <v>31</v>
      </c>
      <c r="B17" s="9" t="s">
        <v>32</v>
      </c>
      <c r="C17" s="9" t="s">
        <v>88</v>
      </c>
      <c r="D17" s="9"/>
      <c r="E17" s="9"/>
    </row>
    <row r="18" spans="1:5" x14ac:dyDescent="0.25">
      <c r="A18" s="9" t="s">
        <v>33</v>
      </c>
      <c r="B18" s="9" t="s">
        <v>34</v>
      </c>
      <c r="C18" s="9" t="s">
        <v>88</v>
      </c>
      <c r="D18" s="9"/>
      <c r="E18" s="9"/>
    </row>
    <row r="19" spans="1:5" x14ac:dyDescent="0.25">
      <c r="A19" s="9" t="s">
        <v>35</v>
      </c>
      <c r="B19" s="9" t="s">
        <v>14</v>
      </c>
      <c r="C19" s="9" t="s">
        <v>88</v>
      </c>
      <c r="D19" s="9"/>
      <c r="E19" s="9"/>
    </row>
    <row r="20" spans="1:5" x14ac:dyDescent="0.25">
      <c r="A20" s="9" t="s">
        <v>36</v>
      </c>
      <c r="B20" s="9" t="s">
        <v>37</v>
      </c>
      <c r="C20" s="9" t="s">
        <v>88</v>
      </c>
      <c r="D20" s="9"/>
      <c r="E20" s="9"/>
    </row>
    <row r="21" spans="1:5" x14ac:dyDescent="0.25">
      <c r="A21" s="9" t="s">
        <v>38</v>
      </c>
      <c r="B21" s="9" t="s">
        <v>39</v>
      </c>
      <c r="C21" s="9" t="s">
        <v>88</v>
      </c>
      <c r="D21" s="9"/>
      <c r="E21" s="9"/>
    </row>
    <row r="22" spans="1:5" x14ac:dyDescent="0.25">
      <c r="A22" s="9" t="s">
        <v>40</v>
      </c>
      <c r="B22" s="9" t="s">
        <v>41</v>
      </c>
      <c r="C22" s="9"/>
      <c r="D22" s="9" t="s">
        <v>92</v>
      </c>
      <c r="E22" s="9"/>
    </row>
    <row r="23" spans="1:5" x14ac:dyDescent="0.25">
      <c r="A23" s="9" t="s">
        <v>42</v>
      </c>
      <c r="B23" s="9" t="s">
        <v>43</v>
      </c>
      <c r="C23" s="9" t="s">
        <v>88</v>
      </c>
      <c r="D23" s="11" t="s">
        <v>43</v>
      </c>
      <c r="E23" s="12">
        <v>20017</v>
      </c>
    </row>
    <row r="24" spans="1:5" x14ac:dyDescent="0.25">
      <c r="A24" s="9" t="s">
        <v>44</v>
      </c>
      <c r="B24" s="9" t="s">
        <v>14</v>
      </c>
      <c r="C24" s="9" t="s">
        <v>88</v>
      </c>
      <c r="D24" s="9"/>
      <c r="E24" s="9"/>
    </row>
    <row r="25" spans="1:5" x14ac:dyDescent="0.25">
      <c r="A25" s="9" t="s">
        <v>45</v>
      </c>
      <c r="B25" s="9" t="s">
        <v>46</v>
      </c>
      <c r="C25" s="9" t="s">
        <v>88</v>
      </c>
      <c r="D25" s="9" t="s">
        <v>46</v>
      </c>
      <c r="E25" s="10">
        <v>20016</v>
      </c>
    </row>
    <row r="26" spans="1:5" x14ac:dyDescent="0.25">
      <c r="A26" s="9" t="s">
        <v>47</v>
      </c>
      <c r="B26" s="9" t="s">
        <v>48</v>
      </c>
      <c r="C26" s="9" t="s">
        <v>88</v>
      </c>
      <c r="D26" s="9" t="s">
        <v>48</v>
      </c>
      <c r="E26" s="10">
        <v>20018</v>
      </c>
    </row>
    <row r="27" spans="1:5" x14ac:dyDescent="0.25">
      <c r="A27" s="9" t="s">
        <v>49</v>
      </c>
      <c r="B27" s="9" t="s">
        <v>50</v>
      </c>
      <c r="C27" s="9" t="s">
        <v>88</v>
      </c>
      <c r="D27" s="11" t="s">
        <v>50</v>
      </c>
      <c r="E27" s="12">
        <v>20015</v>
      </c>
    </row>
    <row r="28" spans="1:5" x14ac:dyDescent="0.25">
      <c r="A28" s="9" t="s">
        <v>51</v>
      </c>
      <c r="B28" s="9" t="s">
        <v>52</v>
      </c>
      <c r="C28" s="9" t="s">
        <v>88</v>
      </c>
      <c r="D28" s="9"/>
      <c r="E28" s="9"/>
    </row>
    <row r="29" spans="1:5" x14ac:dyDescent="0.25">
      <c r="A29" s="9" t="s">
        <v>53</v>
      </c>
      <c r="B29" s="9" t="s">
        <v>14</v>
      </c>
      <c r="C29" s="9" t="s">
        <v>88</v>
      </c>
      <c r="D29" s="9"/>
      <c r="E29" s="9"/>
    </row>
    <row r="30" spans="1:5" x14ac:dyDescent="0.25">
      <c r="A30" s="9" t="s">
        <v>54</v>
      </c>
      <c r="B30" s="9" t="s">
        <v>14</v>
      </c>
      <c r="C30" s="9" t="s">
        <v>88</v>
      </c>
      <c r="D30" s="9"/>
      <c r="E30" s="9"/>
    </row>
    <row r="31" spans="1:5" x14ac:dyDescent="0.25">
      <c r="A31" s="9" t="s">
        <v>55</v>
      </c>
      <c r="B31" s="9" t="s">
        <v>56</v>
      </c>
      <c r="C31" s="9" t="s">
        <v>88</v>
      </c>
      <c r="D31" s="9"/>
      <c r="E31" s="9"/>
    </row>
    <row r="32" spans="1:5" x14ac:dyDescent="0.25">
      <c r="A32" s="9" t="s">
        <v>57</v>
      </c>
      <c r="B32" s="9" t="s">
        <v>58</v>
      </c>
      <c r="C32" s="9" t="s">
        <v>88</v>
      </c>
      <c r="D32" s="9"/>
      <c r="E32" s="9"/>
    </row>
    <row r="33" spans="1:5" x14ac:dyDescent="0.25">
      <c r="A33" s="9" t="s">
        <v>59</v>
      </c>
      <c r="B33" s="9" t="s">
        <v>60</v>
      </c>
      <c r="C33" s="9" t="s">
        <v>88</v>
      </c>
      <c r="D33" s="9"/>
      <c r="E33" s="9"/>
    </row>
    <row r="34" spans="1:5" x14ac:dyDescent="0.25">
      <c r="A34" s="9" t="s">
        <v>61</v>
      </c>
      <c r="B34" s="9" t="s">
        <v>62</v>
      </c>
      <c r="C34" s="9" t="s">
        <v>88</v>
      </c>
      <c r="D34" s="9"/>
      <c r="E34" s="9"/>
    </row>
    <row r="35" spans="1:5" x14ac:dyDescent="0.25">
      <c r="A35" s="9" t="s">
        <v>76</v>
      </c>
      <c r="B35" s="9" t="s">
        <v>14</v>
      </c>
      <c r="C35" s="9" t="s">
        <v>88</v>
      </c>
      <c r="D35" s="9"/>
      <c r="E35" s="10"/>
    </row>
    <row r="36" spans="1:5" x14ac:dyDescent="0.25">
      <c r="A36" s="9" t="s">
        <v>77</v>
      </c>
      <c r="B36" s="9" t="s">
        <v>78</v>
      </c>
      <c r="C36" s="9" t="s">
        <v>88</v>
      </c>
      <c r="D36" s="9" t="s">
        <v>78</v>
      </c>
      <c r="E36" s="10">
        <v>22299</v>
      </c>
    </row>
    <row r="37" spans="1:5" x14ac:dyDescent="0.25">
      <c r="A37" s="9" t="s">
        <v>79</v>
      </c>
      <c r="B37" s="9" t="s">
        <v>14</v>
      </c>
      <c r="C37" s="9" t="s">
        <v>89</v>
      </c>
      <c r="D37" s="9" t="s">
        <v>94</v>
      </c>
      <c r="E37" s="10">
        <v>22298</v>
      </c>
    </row>
    <row r="38" spans="1:5" x14ac:dyDescent="0.25">
      <c r="A38" s="9" t="s">
        <v>80</v>
      </c>
      <c r="B38" s="9" t="s">
        <v>52</v>
      </c>
      <c r="C38" s="9" t="s">
        <v>89</v>
      </c>
      <c r="D38" s="9" t="s">
        <v>93</v>
      </c>
      <c r="E38" s="10">
        <v>22300</v>
      </c>
    </row>
    <row r="39" spans="1:5" x14ac:dyDescent="0.25">
      <c r="A39" s="9" t="s">
        <v>81</v>
      </c>
      <c r="B39" s="9" t="s">
        <v>14</v>
      </c>
      <c r="C39" s="9" t="s">
        <v>88</v>
      </c>
      <c r="D39" s="9"/>
      <c r="E39" s="10"/>
    </row>
    <row r="40" spans="1:5" x14ac:dyDescent="0.25">
      <c r="A40" s="9" t="s">
        <v>77</v>
      </c>
      <c r="B40" s="9" t="s">
        <v>78</v>
      </c>
      <c r="C40" s="9" t="s">
        <v>88</v>
      </c>
      <c r="D40" s="9" t="s">
        <v>78</v>
      </c>
      <c r="E40" s="10">
        <v>22291</v>
      </c>
    </row>
    <row r="41" spans="1:5" x14ac:dyDescent="0.25">
      <c r="A41" s="9" t="s">
        <v>79</v>
      </c>
      <c r="B41" s="9" t="s">
        <v>14</v>
      </c>
      <c r="C41" s="9" t="s">
        <v>89</v>
      </c>
      <c r="D41" s="9" t="s">
        <v>94</v>
      </c>
      <c r="E41" s="10">
        <v>22290</v>
      </c>
    </row>
    <row r="42" spans="1:5" x14ac:dyDescent="0.25">
      <c r="A42" s="9" t="s">
        <v>82</v>
      </c>
      <c r="B42" s="9" t="s">
        <v>60</v>
      </c>
      <c r="C42" s="9" t="s">
        <v>89</v>
      </c>
      <c r="D42" s="9" t="s">
        <v>95</v>
      </c>
      <c r="E42" s="10">
        <v>22292</v>
      </c>
    </row>
    <row r="43" spans="1:5" x14ac:dyDescent="0.25">
      <c r="A43" s="9" t="s">
        <v>83</v>
      </c>
      <c r="B43" s="9" t="s">
        <v>14</v>
      </c>
      <c r="C43" s="9" t="s">
        <v>88</v>
      </c>
      <c r="D43" s="9"/>
      <c r="E43" s="10"/>
    </row>
    <row r="44" spans="1:5" x14ac:dyDescent="0.25">
      <c r="A44" s="9" t="s">
        <v>77</v>
      </c>
      <c r="B44" s="9" t="s">
        <v>78</v>
      </c>
      <c r="C44" s="9" t="s">
        <v>88</v>
      </c>
      <c r="D44" s="9" t="s">
        <v>78</v>
      </c>
      <c r="E44" s="10">
        <v>22303</v>
      </c>
    </row>
    <row r="45" spans="1:5" x14ac:dyDescent="0.25">
      <c r="A45" s="9" t="s">
        <v>79</v>
      </c>
      <c r="B45" s="9" t="s">
        <v>14</v>
      </c>
      <c r="C45" s="9" t="s">
        <v>89</v>
      </c>
      <c r="D45" s="9" t="s">
        <v>94</v>
      </c>
      <c r="E45" s="10">
        <v>22302</v>
      </c>
    </row>
    <row r="46" spans="1:5" x14ac:dyDescent="0.25">
      <c r="A46" s="9" t="s">
        <v>84</v>
      </c>
      <c r="B46" s="9" t="s">
        <v>62</v>
      </c>
      <c r="C46" s="9" t="s">
        <v>89</v>
      </c>
      <c r="D46" s="9" t="s">
        <v>96</v>
      </c>
      <c r="E46" s="10">
        <v>22301</v>
      </c>
    </row>
    <row r="47" spans="1:5" x14ac:dyDescent="0.25">
      <c r="A47" s="9" t="s">
        <v>63</v>
      </c>
      <c r="B47" s="9" t="s">
        <v>64</v>
      </c>
      <c r="C47" s="9" t="s">
        <v>88</v>
      </c>
      <c r="D47" s="9"/>
      <c r="E47" s="9"/>
    </row>
    <row r="48" spans="1:5" x14ac:dyDescent="0.25">
      <c r="A48" s="9" t="s">
        <v>65</v>
      </c>
      <c r="B48" s="9" t="s">
        <v>66</v>
      </c>
      <c r="C48" s="9" t="s">
        <v>88</v>
      </c>
      <c r="D48" s="9"/>
      <c r="E48" s="9"/>
    </row>
    <row r="49" spans="1:5" x14ac:dyDescent="0.25">
      <c r="A49" s="9" t="s">
        <v>67</v>
      </c>
      <c r="B49" s="9" t="s">
        <v>68</v>
      </c>
      <c r="C49" s="9" t="s">
        <v>88</v>
      </c>
      <c r="D49" s="9"/>
      <c r="E49" s="9"/>
    </row>
    <row r="50" spans="1:5" x14ac:dyDescent="0.25">
      <c r="A50" s="9" t="s">
        <v>69</v>
      </c>
      <c r="B50" s="9" t="s">
        <v>14</v>
      </c>
      <c r="C50" s="9" t="s">
        <v>88</v>
      </c>
      <c r="D50" s="9"/>
      <c r="E50" s="9"/>
    </row>
    <row r="51" spans="1:5" x14ac:dyDescent="0.25">
      <c r="A51" s="9" t="s">
        <v>70</v>
      </c>
      <c r="B51" s="9" t="s">
        <v>71</v>
      </c>
      <c r="C51" s="9"/>
      <c r="D51" s="9" t="s">
        <v>97</v>
      </c>
      <c r="E51" s="9"/>
    </row>
    <row r="52" spans="1:5" x14ac:dyDescent="0.25">
      <c r="A52" s="9" t="s">
        <v>72</v>
      </c>
      <c r="B52" s="9" t="s">
        <v>73</v>
      </c>
      <c r="C52" s="9"/>
      <c r="D52" s="9" t="s">
        <v>97</v>
      </c>
      <c r="E52" s="9"/>
    </row>
    <row r="53" spans="1:5" x14ac:dyDescent="0.25">
      <c r="A53" s="9" t="s">
        <v>74</v>
      </c>
      <c r="B53" s="9" t="s">
        <v>71</v>
      </c>
      <c r="C53" s="9"/>
      <c r="D53" s="9" t="s">
        <v>97</v>
      </c>
      <c r="E53" s="9"/>
    </row>
    <row r="54" spans="1:5" x14ac:dyDescent="0.25">
      <c r="A54" s="9" t="s">
        <v>44</v>
      </c>
      <c r="B54" s="9" t="s">
        <v>14</v>
      </c>
      <c r="C54" s="9"/>
      <c r="D54" s="9" t="s">
        <v>97</v>
      </c>
      <c r="E54" s="9"/>
    </row>
    <row r="55" spans="1:5" x14ac:dyDescent="0.25">
      <c r="A55" s="9" t="s">
        <v>72</v>
      </c>
      <c r="B55" s="9" t="s">
        <v>73</v>
      </c>
      <c r="C55" s="9"/>
      <c r="D55" s="9" t="s">
        <v>97</v>
      </c>
      <c r="E55" s="9"/>
    </row>
    <row r="56" spans="1:5" x14ac:dyDescent="0.25">
      <c r="A56" s="9" t="s">
        <v>74</v>
      </c>
      <c r="B56" s="9" t="s">
        <v>71</v>
      </c>
      <c r="C56" s="9"/>
      <c r="D56" s="9" t="s">
        <v>97</v>
      </c>
      <c r="E56" s="9"/>
    </row>
    <row r="57" spans="1:5" x14ac:dyDescent="0.25">
      <c r="A57" s="9" t="s">
        <v>75</v>
      </c>
      <c r="B57" s="9" t="s">
        <v>14</v>
      </c>
      <c r="C57" s="9" t="s">
        <v>88</v>
      </c>
      <c r="D57" s="9"/>
      <c r="E57" s="9"/>
    </row>
    <row r="58" spans="1:5" x14ac:dyDescent="0.25">
      <c r="A58" s="9" t="s">
        <v>72</v>
      </c>
      <c r="B58" s="9" t="s">
        <v>73</v>
      </c>
      <c r="C58" s="9" t="s">
        <v>88</v>
      </c>
      <c r="D58" s="9" t="s">
        <v>73</v>
      </c>
      <c r="E58" s="10">
        <v>222</v>
      </c>
    </row>
    <row r="59" spans="1:5" x14ac:dyDescent="0.25">
      <c r="A59" s="9" t="s">
        <v>74</v>
      </c>
      <c r="B59" s="9" t="s">
        <v>71</v>
      </c>
      <c r="C59" s="9" t="s">
        <v>88</v>
      </c>
      <c r="D59" s="9" t="s">
        <v>71</v>
      </c>
      <c r="E59" s="10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Standalone Profit &amp; Loss</vt:lpstr>
      <vt:lpstr>Consolidated Profit &amp; 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2026-03-23T06:01:17Z</dcterms:created>
  <dcterms:modified xsi:type="dcterms:W3CDTF">2026-03-27T11:55:47Z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2026-03-25T03:40:35Z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f81c5a80-3a2f-4046-8779-2d0419a3a3a9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