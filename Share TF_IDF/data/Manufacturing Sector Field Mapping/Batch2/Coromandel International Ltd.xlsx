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7D98AFC0-E9BF-4400-A2E3-91B3C22D60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4" r:id="rId4"/>
    <sheet name="Standalone Cash Flow" sheetId="5" r:id="rId5"/>
    <sheet name="Consolidated Cash Flow" sheetId="6" r:id="rId6"/>
    <sheet name="Segment Reporting Standalone" sheetId="7" r:id="rId7"/>
    <sheet name="Segment Reporting 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H1" i="8"/>
  <c r="H3" i="8" s="1"/>
  <c r="H2" i="7"/>
  <c r="H1" i="7"/>
  <c r="H3" i="7" s="1"/>
  <c r="H2" i="6"/>
  <c r="H1" i="6"/>
  <c r="H2" i="5"/>
  <c r="H1" i="5"/>
  <c r="H2" i="4"/>
  <c r="H1" i="4"/>
  <c r="H3" i="4" s="1"/>
  <c r="H2" i="3"/>
  <c r="H1" i="3"/>
  <c r="H2" i="1"/>
  <c r="H1" i="1"/>
  <c r="H3" i="1" s="1"/>
  <c r="H3" i="6" l="1"/>
  <c r="H3" i="5"/>
  <c r="H3" i="3"/>
  <c r="H1" i="2"/>
  <c r="H2" i="2"/>
  <c r="H3" i="2" l="1"/>
</calcChain>
</file>

<file path=xl/sharedStrings.xml><?xml version="1.0" encoding="utf-8"?>
<sst xmlns="http://schemas.openxmlformats.org/spreadsheetml/2006/main" count="1187" uniqueCount="290">
  <si>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</si>
  <si>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</si>
  <si>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</si>
  <si>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</si>
  <si>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</si>
  <si>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</si>
  <si>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</si>
  <si>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</si>
  <si>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</si>
  <si>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</si>
  <si>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and packing materials consumed</t>
  </si>
  <si>
    <t>Cost of Materials Consumed</t>
  </si>
  <si>
    <t>Purchases of traded goods</t>
  </si>
  <si>
    <t>Purchase of Stock-in-Trade</t>
  </si>
  <si>
    <t>Changes in inventories of finished goods, work-in-progress and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</si>
  <si>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</si>
  <si>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</si>
  <si>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</si>
  <si>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</si>
  <si>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</si>
  <si>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</si>
  <si>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</si>
  <si>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Freight and distribution expense</t>
  </si>
  <si>
    <t>Other Expenses</t>
  </si>
  <si>
    <t>Other expenses</t>
  </si>
  <si>
    <t>Total expenses</t>
  </si>
  <si>
    <t>Total Expenses</t>
  </si>
  <si>
    <t>Profit before share of profit/(loss ) of joint venture and associates and exceptional items</t>
  </si>
  <si>
    <t>Ignore this Field</t>
  </si>
  <si>
    <t>Share of profit/(loss) of joint venture and associates ( net )</t>
  </si>
  <si>
    <t>Share of Profit/(Loss) of Associates/Joint Ventures</t>
  </si>
  <si>
    <t>Profit before exceptional items and tax</t>
  </si>
  <si>
    <t>Profit/(Loss) from Ordinary Activities after Finance Costs but before Exceptional Items</t>
  </si>
  <si>
    <t>Exception items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</si>
  <si>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</si>
  <si>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</si>
  <si>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</si>
  <si>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</si>
  <si>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</si>
  <si>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</si>
  <si>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</si>
  <si>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</si>
  <si>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Total Tax expense</t>
  </si>
  <si>
    <t>Total Field</t>
  </si>
  <si>
    <t>Net Profit after tax</t>
  </si>
  <si>
    <t>Net Profit/(Loss) for the Period</t>
  </si>
  <si>
    <t>Attributable to</t>
  </si>
  <si>
    <t>Owners of the Company</t>
  </si>
  <si>
    <t>Owners of the company</t>
  </si>
  <si>
    <t>Non controlling interests</t>
  </si>
  <si>
    <t>Non-Controlling Interests</t>
  </si>
  <si>
    <t>Other comprehensive income</t>
  </si>
  <si>
    <t>Items that will not be reclassified subsequently to profit or loss</t>
  </si>
  <si>
    <t>Items that will not be reclassified to Profit or Loss</t>
  </si>
  <si>
    <t>Net fair value gain/loss on investments at FVTOCI</t>
  </si>
  <si>
    <t>Remeaurement gain/ (loss) on defined benefit plans</t>
  </si>
  <si>
    <t>Income tax on above</t>
  </si>
  <si>
    <t>Income Tax related to items that will not be reclassified to Profit or Loss</t>
  </si>
  <si>
    <t>Items that will be reclassified subsequently to profit or loss</t>
  </si>
  <si>
    <t>Items that will be reclassified to Profit or Loss</t>
  </si>
  <si>
    <t>Effective portion of gains/ (loss) on designated portion of hedging instruments in a cash flow hedge</t>
  </si>
  <si>
    <t>Exchange differences on translation of foreign operations</t>
  </si>
  <si>
    <t>Total other comprehensive income /(loss), net of tax</t>
  </si>
  <si>
    <t>Other Comprehensive Income</t>
  </si>
  <si>
    <t>Total comprehensive income</t>
  </si>
  <si>
    <t>Total Comprehensive Income Attributable To</t>
  </si>
  <si>
    <t>Paid up equity share capital (Face value 1 per equity share)</t>
  </si>
  <si>
    <t>Paid-Up Equity Share Capital</t>
  </si>
  <si>
    <t>Other Equity</t>
  </si>
  <si>
    <t>Reserve excluding Revaluation Reserves (as per Balance Sheet of Previous Accounting Year)</t>
  </si>
  <si>
    <t>Earnings per share of 1 each) for the period not annualised)</t>
  </si>
  <si>
    <t xml:space="preserve">Basic </t>
  </si>
  <si>
    <t>Diluted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</si>
  <si>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</si>
  <si>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</si>
  <si>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</si>
  <si>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</si>
  <si>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</si>
  <si>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Goodwill</t>
  </si>
  <si>
    <t>Intangible assets</t>
  </si>
  <si>
    <t>Other Intangible Assets</t>
  </si>
  <si>
    <t>Intangible assets under development</t>
  </si>
  <si>
    <t>Right - of - use assets</t>
  </si>
  <si>
    <t>Right-of-use asset</t>
  </si>
  <si>
    <t>Financial assets</t>
  </si>
  <si>
    <t>Investments</t>
  </si>
  <si>
    <t>Non-Current Investments</t>
  </si>
  <si>
    <t>Loans</t>
  </si>
  <si>
    <t>Loans, Current</t>
  </si>
  <si>
    <t>Other non - current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</si>
  <si>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</si>
  <si>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</si>
  <si>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</si>
  <si>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</si>
  <si>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</si>
  <si>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</si>
  <si>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</si>
  <si>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</si>
  <si>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</si>
  <si>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</si>
  <si>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</si>
  <si>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Government subsidies receivable</t>
  </si>
  <si>
    <t>Cash and cash equivalents</t>
  </si>
  <si>
    <t>Cash And Cash Equivalents</t>
  </si>
  <si>
    <t>Other balances with banks</t>
  </si>
  <si>
    <t>Bank balance other than cash and cash equivalents</t>
  </si>
  <si>
    <t>Other current financial assets</t>
  </si>
  <si>
    <t>Other Current Financial Assets</t>
  </si>
  <si>
    <t>Income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</si>
  <si>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</si>
  <si>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</si>
  <si>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</si>
  <si>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</si>
  <si>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</si>
  <si>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</si>
  <si>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</si>
  <si>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</si>
  <si>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</si>
  <si>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</si>
  <si>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</si>
  <si>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</si>
  <si>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</si>
  <si>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owners of the Company</t>
  </si>
  <si>
    <t>Total Share Holder's Funds</t>
  </si>
  <si>
    <t>Non - controlling interests</t>
  </si>
  <si>
    <t>Minority Interest</t>
  </si>
  <si>
    <t>Total equity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</si>
  <si>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</si>
  <si>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</si>
  <si>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</si>
  <si>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</si>
  <si>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</si>
  <si>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</si>
  <si>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</si>
  <si>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</si>
  <si>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</si>
  <si>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</si>
  <si>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</si>
  <si>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</si>
  <si>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</si>
  <si>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</si>
  <si>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</si>
  <si>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</si>
  <si>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</si>
  <si>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</si>
  <si>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</si>
  <si>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</si>
  <si>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Current tax liabilities ( net )</t>
  </si>
  <si>
    <t>Current Tax Liabilities (Net)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</si>
  <si>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</si>
  <si>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</si>
  <si>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</si>
  <si>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</si>
  <si>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</si>
  <si>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</si>
  <si>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</si>
  <si>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 And Exceptional Item</t>
  </si>
  <si>
    <t>Adjustments to reconcile profit before tax to net cashflows :</t>
  </si>
  <si>
    <t>Depreciation and Amortisation Expense</t>
  </si>
  <si>
    <t>Impairment of non - current assets</t>
  </si>
  <si>
    <t>Impairment loss / (Reversal of Impairment Loss)</t>
  </si>
  <si>
    <t>Loss on sale/ scrap of property, plant and equipments (net)</t>
  </si>
  <si>
    <t>Loss On Sale Of Fixed Assets</t>
  </si>
  <si>
    <t>Profit on sale of current investment</t>
  </si>
  <si>
    <t>Profit On Sale Of Investments</t>
  </si>
  <si>
    <t>Share of ( profit)/loss of joint venture and associate ( net )</t>
  </si>
  <si>
    <t>Share Of Profit &amp; Loss from Partnership Firm or Association of Persons Etc</t>
  </si>
  <si>
    <t>Gain arising on loss of joint control</t>
  </si>
  <si>
    <t>Loss/(Gain ) on measuring investments at FVTPL ( net )</t>
  </si>
  <si>
    <t>Exchange differences ( net )</t>
  </si>
  <si>
    <t>Foreign Exchange Gain / Loss</t>
  </si>
  <si>
    <t>Impairment allowance recognised for doubtful trade and other receivables, loans and advances (net)</t>
  </si>
  <si>
    <t>Provision For Doubtful Debts</t>
  </si>
  <si>
    <t>Liabilities no longer required written back</t>
  </si>
  <si>
    <t>Other Provisions Written Off</t>
  </si>
  <si>
    <t>Provision for employee benefits</t>
  </si>
  <si>
    <t>Provision For Gratuity,Leave Encashment And Pensions</t>
  </si>
  <si>
    <t>Share based payments</t>
  </si>
  <si>
    <t>Employees Stock Options Grants</t>
  </si>
  <si>
    <t>Interest Expense</t>
  </si>
  <si>
    <t>Interest income</t>
  </si>
  <si>
    <t>Interest Received</t>
  </si>
  <si>
    <t>Dividend income</t>
  </si>
  <si>
    <t>Dividend Received</t>
  </si>
  <si>
    <t>Operating profit before working capital changes :</t>
  </si>
  <si>
    <t>Operating Profit Before Working Capital Changes</t>
  </si>
  <si>
    <t>Changes in working capital :</t>
  </si>
  <si>
    <t>Increase/(Decrease ) in trade payables including acceptances</t>
  </si>
  <si>
    <t>Trade Payables And Others</t>
  </si>
  <si>
    <t>Increase/(Decrease ) in other liabilities</t>
  </si>
  <si>
    <t>Other Current and Non Current Liabilities</t>
  </si>
  <si>
    <t>Increase)/Decrease in trade receivables</t>
  </si>
  <si>
    <t>Trade And Other Receivables</t>
  </si>
  <si>
    <t>Increase)/Decrease in government subsidies receivable</t>
  </si>
  <si>
    <t>Increase)/Decrease in inventories</t>
  </si>
  <si>
    <t>Increase)/Decrease in other assets</t>
  </si>
  <si>
    <t>Other Current and Non Current Assets</t>
  </si>
  <si>
    <t>Cash generated from operations</t>
  </si>
  <si>
    <t>Cash Generated From Operations</t>
  </si>
  <si>
    <t>Direct taxes paid ( net of refunds )</t>
  </si>
  <si>
    <t>Income Tax Paid</t>
  </si>
  <si>
    <t>Net cash flow from operating activities</t>
  </si>
  <si>
    <t>Net Cash Flow From Operating Activities</t>
  </si>
  <si>
    <t>Cash flow used in investing activities :</t>
  </si>
  <si>
    <t>Purchase of property, plant and equipments and other intangible assets, including capital work-in-progress and capital advances</t>
  </si>
  <si>
    <t>Purchase Of Fixed Assets (Tangible / Intangible)</t>
  </si>
  <si>
    <t>Proceeds from sale of property, plant and equipments and leasehold land</t>
  </si>
  <si>
    <t>Sale Of Fixed Assets (Tangible / Intangible)</t>
  </si>
  <si>
    <t>Payment towards acquisition of business *</t>
  </si>
  <si>
    <t>Acquisition Of Companies</t>
  </si>
  <si>
    <t>Purchase of of non - current investments</t>
  </si>
  <si>
    <t>Purchase Of Investments</t>
  </si>
  <si>
    <t>Inter - corporate deposits/ loans given</t>
  </si>
  <si>
    <t>Others-Financing Activities</t>
  </si>
  <si>
    <t>Inter - corporate deposits matured/ loans received</t>
  </si>
  <si>
    <t>Inter Corporate Deposits</t>
  </si>
  <si>
    <t>Proceeds from sale/(Purchase) of current investments (net)</t>
  </si>
  <si>
    <t>Sale Of Investments</t>
  </si>
  <si>
    <t>Interest received</t>
  </si>
  <si>
    <t>Interest Income</t>
  </si>
  <si>
    <t>Dividend received</t>
  </si>
  <si>
    <t>Investment in other bank balances</t>
  </si>
  <si>
    <t>Fixed Deposits</t>
  </si>
  <si>
    <t>Proceeds from other bank balances</t>
  </si>
  <si>
    <t>Net cash flow used in investing activities</t>
  </si>
  <si>
    <t>Net Cash Flow From Investing Activities</t>
  </si>
  <si>
    <t>Cash flow used in financing activities :</t>
  </si>
  <si>
    <t>Proceeds from issue of equity shares on exercise of employee stock options</t>
  </si>
  <si>
    <t>Movement in short - term borrowings</t>
  </si>
  <si>
    <t>Repayment of long - term borrowings</t>
  </si>
  <si>
    <t>Repayment Of Long Term Borrowings</t>
  </si>
  <si>
    <t>Purchase of treasury shares</t>
  </si>
  <si>
    <t>Dividend paid</t>
  </si>
  <si>
    <t>Dividend Paid</t>
  </si>
  <si>
    <t>Interest and other borrowing costs paid</t>
  </si>
  <si>
    <t>Payment of lease liabilities</t>
  </si>
  <si>
    <t>Payments of lease liabilities</t>
  </si>
  <si>
    <t>Net cash flow used in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</si>
  <si>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</si>
  <si>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</si>
  <si>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</si>
  <si>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</si>
  <si>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</si>
  <si>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Exchange gain/(loss ) on cash and cash equivalents</t>
  </si>
  <si>
    <t>Cash and cash equivalents at the end of the period</t>
  </si>
  <si>
    <t>Cash and Cash Equivalents at the End of the Year</t>
  </si>
  <si>
    <t>Nutrient and other allied business</t>
  </si>
  <si>
    <t>Crop protection</t>
  </si>
  <si>
    <t>Total</t>
  </si>
  <si>
    <t>Less: Inter segment revenue</t>
  </si>
  <si>
    <t>Segment results</t>
  </si>
  <si>
    <t>Adjusted for:</t>
  </si>
  <si>
    <t>Unallocable expense</t>
  </si>
  <si>
    <t>Other Extra-Ordinary Income/Expense</t>
  </si>
  <si>
    <t>Other income (including exceptional items)</t>
  </si>
  <si>
    <t>Others-Before Working Capital Changes</t>
  </si>
  <si>
    <t>Share in profit/ (loss) of joint venture and associates</t>
  </si>
  <si>
    <t>Segment assets</t>
  </si>
  <si>
    <t>Unallocable assets</t>
  </si>
  <si>
    <t>Segment liabilities</t>
  </si>
  <si>
    <t>Unallocable liabilities</t>
  </si>
  <si>
    <t>Status</t>
  </si>
  <si>
    <t>Revised Field Mapping</t>
  </si>
  <si>
    <t>Field ID</t>
  </si>
  <si>
    <t>Correct</t>
  </si>
  <si>
    <t>Incorrect</t>
  </si>
  <si>
    <t>Accuracy %</t>
  </si>
  <si>
    <t>Data Wrongly Captured</t>
  </si>
  <si>
    <t>Freight &amp; Handling Expenses</t>
  </si>
  <si>
    <t>Calculated Field</t>
  </si>
  <si>
    <t>Ignore this field</t>
  </si>
  <si>
    <t>Label</t>
  </si>
  <si>
    <t>Income Tax related to items that will be reclassified to Profit or Loss</t>
  </si>
  <si>
    <t>Total Comprehensive Gain (Loss) For the Year</t>
  </si>
  <si>
    <t>Basic EPS</t>
  </si>
  <si>
    <t>Diluted EPS</t>
  </si>
  <si>
    <t>Loans Non-Current</t>
  </si>
  <si>
    <t>Current Investments</t>
  </si>
  <si>
    <t>Other Current Financial Liabilities</t>
  </si>
  <si>
    <t>Short-Term Provisions</t>
  </si>
  <si>
    <t>Comprehensive Income Attributable To [Total]</t>
  </si>
  <si>
    <t>Goodwill On Consolidation</t>
  </si>
  <si>
    <t>Proceeds From Issue Of Equity Shares (Inclu Share Premium)</t>
  </si>
  <si>
    <t>Proceeds From Short Term Borrowings</t>
  </si>
  <si>
    <t>Interest Paid</t>
  </si>
  <si>
    <t>Effect of Exchange Fluctuation Translation Reserve</t>
  </si>
  <si>
    <t>This is Consolidated Field</t>
  </si>
  <si>
    <t>Share of Profit/(loss) of associates and Joint Ventures before ebt</t>
  </si>
  <si>
    <t>Consolidated Field</t>
  </si>
  <si>
    <t>this is consolidated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</si>
</sst>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4" fillId="2" borderId="0" xfId="0" applyFont="1" applyFill="1"/>
    <xf numFmtId="0" fontId="0" fillId="3" borderId="1" xfId="0" applyFill="1" applyBorder="1"/>
    <xf numFmtId="0" fontId="0" fillId="0" borderId="8" xfId="0" applyBorder="1"/>
    <xf numFmtId="0" fontId="3" fillId="3" borderId="1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/>
  </sheetViews>
  <sheetFormatPr defaultRowHeight="15" x14ac:dyDescent="0.25"/>
  <cols>
    <col min="1" max="1" width="52.7109375" customWidth="1"/>
    <col min="2" max="2" width="49.5703125" customWidth="1"/>
    <col min="3" max="3" width="8.85546875" bestFit="1" customWidth="1"/>
    <col min="4" max="4" width="28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31</v>
      </c>
    </row>
    <row r="2" spans="1:8" x14ac:dyDescent="0.25">
      <c r="A2" s="9" t="s">
        <v>2</v>
      </c>
      <c r="B2" s="9" t="s">
        <v>3</v>
      </c>
      <c r="C2" s="9" t="s">
        <v>264</v>
      </c>
      <c r="D2" s="9"/>
      <c r="E2" s="9"/>
      <c r="G2" s="5" t="s">
        <v>265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264</v>
      </c>
      <c r="D3" s="9"/>
      <c r="E3" s="9"/>
      <c r="G3" s="7" t="s">
        <v>266</v>
      </c>
      <c r="H3" s="8">
        <f>H1/SUM(H1:H2)</f>
        <v>0.79487179487179482</v>
      </c>
    </row>
    <row r="4" spans="1:8" x14ac:dyDescent="0.25">
      <c r="A4" s="9" t="s">
        <v>6</v>
      </c>
      <c r="B4" s="9" t="s">
        <v>7</v>
      </c>
      <c r="C4" s="9" t="s">
        <v>264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264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264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264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264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264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264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264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265</v>
      </c>
      <c r="D12" s="9" t="s">
        <v>268</v>
      </c>
      <c r="E12" s="11">
        <v>248</v>
      </c>
    </row>
    <row r="13" spans="1:8" x14ac:dyDescent="0.25">
      <c r="A13" s="9" t="s">
        <v>24</v>
      </c>
      <c r="B13" s="9" t="s">
        <v>23</v>
      </c>
      <c r="C13" s="9" t="s">
        <v>264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264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264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265</v>
      </c>
      <c r="D16" s="9" t="s">
        <v>286</v>
      </c>
      <c r="E16" s="9"/>
    </row>
    <row r="17" spans="1:5" x14ac:dyDescent="0.25">
      <c r="A17" s="9" t="s">
        <v>31</v>
      </c>
      <c r="B17" s="9" t="s">
        <v>32</v>
      </c>
      <c r="C17" s="9" t="s">
        <v>264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264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264</v>
      </c>
      <c r="D19" s="9"/>
      <c r="E19" s="9"/>
    </row>
    <row r="20" spans="1:5" x14ac:dyDescent="0.25">
      <c r="A20" s="9" t="s">
        <v>37</v>
      </c>
      <c r="B20" s="9" t="s">
        <v>9</v>
      </c>
      <c r="C20" s="9" t="s">
        <v>264</v>
      </c>
      <c r="D20" s="9"/>
      <c r="E20" s="9"/>
    </row>
    <row r="21" spans="1:5" x14ac:dyDescent="0.25">
      <c r="A21" s="9" t="s">
        <v>38</v>
      </c>
      <c r="B21" s="9" t="s">
        <v>39</v>
      </c>
      <c r="C21" s="9" t="s">
        <v>264</v>
      </c>
      <c r="D21" s="9"/>
      <c r="E21" s="9"/>
    </row>
    <row r="22" spans="1:5" x14ac:dyDescent="0.25">
      <c r="A22" s="9" t="s">
        <v>40</v>
      </c>
      <c r="B22" s="9" t="s">
        <v>41</v>
      </c>
      <c r="C22" s="9" t="s">
        <v>264</v>
      </c>
      <c r="D22" s="9"/>
      <c r="E22" s="9"/>
    </row>
    <row r="23" spans="1:5" x14ac:dyDescent="0.25">
      <c r="A23" s="9" t="s">
        <v>42</v>
      </c>
      <c r="B23" s="9" t="s">
        <v>43</v>
      </c>
      <c r="C23" s="9" t="s">
        <v>264</v>
      </c>
      <c r="D23" s="9"/>
      <c r="E23" s="9"/>
    </row>
    <row r="24" spans="1:5" x14ac:dyDescent="0.25">
      <c r="A24" s="9" t="s">
        <v>44</v>
      </c>
      <c r="B24" s="9" t="s">
        <v>45</v>
      </c>
      <c r="C24" s="9" t="s">
        <v>264</v>
      </c>
      <c r="D24" s="9"/>
      <c r="E24" s="9"/>
    </row>
    <row r="25" spans="1:5" x14ac:dyDescent="0.25">
      <c r="A25" s="9" t="s">
        <v>46</v>
      </c>
      <c r="B25" s="9" t="s">
        <v>9</v>
      </c>
      <c r="C25" s="9"/>
      <c r="D25" s="9" t="s">
        <v>286</v>
      </c>
      <c r="E25" s="9"/>
    </row>
    <row r="26" spans="1:5" x14ac:dyDescent="0.25">
      <c r="A26" s="9" t="s">
        <v>47</v>
      </c>
      <c r="B26" s="9" t="s">
        <v>48</v>
      </c>
      <c r="C26" s="9"/>
      <c r="D26" s="9" t="s">
        <v>286</v>
      </c>
      <c r="E26" s="9"/>
    </row>
    <row r="27" spans="1:5" x14ac:dyDescent="0.25">
      <c r="A27" s="9" t="s">
        <v>49</v>
      </c>
      <c r="B27" s="9" t="s">
        <v>50</v>
      </c>
      <c r="C27" s="9"/>
      <c r="D27" s="9" t="s">
        <v>286</v>
      </c>
      <c r="E27" s="9"/>
    </row>
    <row r="28" spans="1:5" x14ac:dyDescent="0.25">
      <c r="A28" s="9" t="s">
        <v>51</v>
      </c>
      <c r="B28" s="9" t="s">
        <v>9</v>
      </c>
      <c r="C28" s="9" t="s">
        <v>264</v>
      </c>
      <c r="D28" s="9"/>
      <c r="E28" s="9"/>
    </row>
    <row r="29" spans="1:5" x14ac:dyDescent="0.25">
      <c r="A29" s="9" t="s">
        <v>52</v>
      </c>
      <c r="B29" s="9" t="s">
        <v>53</v>
      </c>
      <c r="C29" s="9" t="s">
        <v>265</v>
      </c>
      <c r="D29" s="9" t="s">
        <v>271</v>
      </c>
      <c r="E29" s="9"/>
    </row>
    <row r="30" spans="1:5" x14ac:dyDescent="0.25">
      <c r="A30" s="9" t="s">
        <v>54</v>
      </c>
      <c r="B30" s="9" t="s">
        <v>53</v>
      </c>
      <c r="C30" s="9" t="s">
        <v>264</v>
      </c>
      <c r="D30" s="9"/>
      <c r="E30" s="9"/>
    </row>
    <row r="31" spans="1:5" x14ac:dyDescent="0.25">
      <c r="A31" s="9" t="s">
        <v>55</v>
      </c>
      <c r="B31" s="9" t="s">
        <v>53</v>
      </c>
      <c r="C31" s="9" t="s">
        <v>264</v>
      </c>
      <c r="D31" s="9"/>
      <c r="E31" s="9"/>
    </row>
    <row r="32" spans="1:5" x14ac:dyDescent="0.25">
      <c r="A32" s="9" t="s">
        <v>56</v>
      </c>
      <c r="B32" s="9" t="s">
        <v>57</v>
      </c>
      <c r="C32" s="9" t="s">
        <v>264</v>
      </c>
      <c r="D32" s="9"/>
      <c r="E32" s="9"/>
    </row>
    <row r="33" spans="1:5" x14ac:dyDescent="0.25">
      <c r="A33" s="9" t="s">
        <v>58</v>
      </c>
      <c r="B33" s="9" t="s">
        <v>59</v>
      </c>
      <c r="C33" s="9" t="s">
        <v>265</v>
      </c>
      <c r="D33" s="9" t="s">
        <v>271</v>
      </c>
      <c r="E33" s="9"/>
    </row>
    <row r="34" spans="1:5" x14ac:dyDescent="0.25">
      <c r="A34" s="9" t="s">
        <v>60</v>
      </c>
      <c r="B34" s="9" t="s">
        <v>59</v>
      </c>
      <c r="C34" s="9" t="s">
        <v>264</v>
      </c>
      <c r="D34" s="9"/>
      <c r="E34" s="9"/>
    </row>
    <row r="35" spans="1:5" x14ac:dyDescent="0.25">
      <c r="A35" s="9" t="s">
        <v>61</v>
      </c>
      <c r="B35" s="9" t="s">
        <v>59</v>
      </c>
      <c r="C35" s="9" t="s">
        <v>264</v>
      </c>
      <c r="D35" s="9"/>
      <c r="E35" s="9"/>
    </row>
    <row r="36" spans="1:5" x14ac:dyDescent="0.25">
      <c r="A36" s="9" t="s">
        <v>56</v>
      </c>
      <c r="B36" s="9" t="s">
        <v>57</v>
      </c>
      <c r="C36" s="9" t="s">
        <v>265</v>
      </c>
      <c r="D36" s="9" t="s">
        <v>272</v>
      </c>
      <c r="E36" s="11">
        <v>22296</v>
      </c>
    </row>
    <row r="37" spans="1:5" x14ac:dyDescent="0.25">
      <c r="A37" s="9" t="s">
        <v>62</v>
      </c>
      <c r="B37" s="9" t="s">
        <v>63</v>
      </c>
      <c r="C37" s="9" t="s">
        <v>264</v>
      </c>
      <c r="D37" s="2"/>
      <c r="E37" s="13"/>
    </row>
    <row r="38" spans="1:5" x14ac:dyDescent="0.25">
      <c r="A38" s="9" t="s">
        <v>46</v>
      </c>
      <c r="B38" s="9" t="s">
        <v>9</v>
      </c>
      <c r="C38" s="9"/>
      <c r="D38" s="9" t="s">
        <v>270</v>
      </c>
      <c r="E38" s="9"/>
    </row>
    <row r="39" spans="1:5" x14ac:dyDescent="0.25">
      <c r="A39" s="9" t="s">
        <v>47</v>
      </c>
      <c r="B39" s="9" t="s">
        <v>48</v>
      </c>
      <c r="C39" s="9"/>
      <c r="D39" s="9" t="s">
        <v>270</v>
      </c>
      <c r="E39" s="9"/>
    </row>
    <row r="40" spans="1:5" x14ac:dyDescent="0.25">
      <c r="A40" s="9" t="s">
        <v>49</v>
      </c>
      <c r="B40" s="9" t="s">
        <v>50</v>
      </c>
      <c r="C40" s="9"/>
      <c r="D40" s="9" t="s">
        <v>270</v>
      </c>
      <c r="E40" s="9"/>
    </row>
    <row r="41" spans="1:5" x14ac:dyDescent="0.25">
      <c r="A41" s="9" t="s">
        <v>64</v>
      </c>
      <c r="B41" s="9" t="s">
        <v>65</v>
      </c>
      <c r="C41" s="9" t="s">
        <v>265</v>
      </c>
      <c r="D41" s="9" t="s">
        <v>273</v>
      </c>
      <c r="E41" s="11">
        <v>20019</v>
      </c>
    </row>
    <row r="42" spans="1:5" x14ac:dyDescent="0.25">
      <c r="A42" s="9" t="s">
        <v>46</v>
      </c>
      <c r="B42" s="9" t="s">
        <v>9</v>
      </c>
      <c r="C42" s="9"/>
      <c r="D42" s="9" t="s">
        <v>270</v>
      </c>
      <c r="E42" s="9"/>
    </row>
    <row r="43" spans="1:5" x14ac:dyDescent="0.25">
      <c r="A43" s="9" t="s">
        <v>47</v>
      </c>
      <c r="B43" s="9" t="s">
        <v>48</v>
      </c>
      <c r="C43" s="9"/>
      <c r="D43" s="9" t="s">
        <v>270</v>
      </c>
      <c r="E43" s="9"/>
    </row>
    <row r="44" spans="1:5" x14ac:dyDescent="0.25">
      <c r="A44" s="9" t="s">
        <v>49</v>
      </c>
      <c r="B44" s="9" t="s">
        <v>50</v>
      </c>
      <c r="C44" s="9"/>
      <c r="D44" s="9" t="s">
        <v>270</v>
      </c>
      <c r="E44" s="9"/>
    </row>
    <row r="45" spans="1:5" x14ac:dyDescent="0.25">
      <c r="A45" s="9" t="s">
        <v>66</v>
      </c>
      <c r="B45" s="9" t="s">
        <v>67</v>
      </c>
      <c r="C45" t="s">
        <v>264</v>
      </c>
      <c r="D45" s="9"/>
      <c r="E45" s="9"/>
    </row>
    <row r="46" spans="1:5" x14ac:dyDescent="0.25">
      <c r="A46" s="9" t="s">
        <v>68</v>
      </c>
      <c r="B46" s="9" t="s">
        <v>69</v>
      </c>
      <c r="C46" s="9" t="s">
        <v>264</v>
      </c>
      <c r="D46" s="9"/>
      <c r="E46" s="9"/>
    </row>
    <row r="47" spans="1:5" x14ac:dyDescent="0.25">
      <c r="A47" s="9" t="s">
        <v>70</v>
      </c>
      <c r="B47" s="9" t="s">
        <v>9</v>
      </c>
      <c r="C47" s="9" t="s">
        <v>264</v>
      </c>
      <c r="D47" s="9"/>
      <c r="E47" s="9"/>
    </row>
    <row r="48" spans="1:5" x14ac:dyDescent="0.25">
      <c r="A48" s="9" t="s">
        <v>71</v>
      </c>
      <c r="B48" s="9" t="s">
        <v>9</v>
      </c>
      <c r="C48" s="9" t="s">
        <v>265</v>
      </c>
      <c r="D48" s="9" t="s">
        <v>274</v>
      </c>
      <c r="E48" s="11">
        <v>222</v>
      </c>
    </row>
    <row r="49" spans="1:5" x14ac:dyDescent="0.25">
      <c r="A49" s="9" t="s">
        <v>72</v>
      </c>
      <c r="B49" s="9" t="s">
        <v>9</v>
      </c>
      <c r="C49" s="9" t="s">
        <v>265</v>
      </c>
      <c r="D49" s="9" t="s">
        <v>275</v>
      </c>
      <c r="E49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/>
  </sheetViews>
  <sheetFormatPr defaultRowHeight="15" x14ac:dyDescent="0.25"/>
  <cols>
    <col min="1" max="1" width="53.7109375" customWidth="1"/>
    <col min="2" max="2" width="58.28515625" customWidth="1"/>
    <col min="3" max="3" width="8.85546875" bestFit="1" customWidth="1"/>
    <col min="4" max="4" width="26.425781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40</v>
      </c>
    </row>
    <row r="2" spans="1:8" x14ac:dyDescent="0.25">
      <c r="A2" s="9" t="s">
        <v>2</v>
      </c>
      <c r="B2" s="9" t="s">
        <v>3</v>
      </c>
      <c r="C2" s="9" t="s">
        <v>264</v>
      </c>
      <c r="D2" s="9"/>
      <c r="E2" s="9"/>
      <c r="G2" s="5" t="s">
        <v>265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264</v>
      </c>
      <c r="D3" s="9"/>
      <c r="E3" s="9"/>
      <c r="G3" s="7" t="s">
        <v>266</v>
      </c>
      <c r="H3" s="8">
        <f>H1/SUM(H1:H2)</f>
        <v>0.83333333333333337</v>
      </c>
    </row>
    <row r="4" spans="1:8" x14ac:dyDescent="0.25">
      <c r="A4" s="9" t="s">
        <v>6</v>
      </c>
      <c r="B4" s="9" t="s">
        <v>7</v>
      </c>
      <c r="C4" s="9" t="s">
        <v>264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264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264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264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264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264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264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264</v>
      </c>
      <c r="D11" s="9"/>
      <c r="E11" s="9"/>
    </row>
    <row r="12" spans="1:8" x14ac:dyDescent="0.25">
      <c r="A12" s="9" t="s">
        <v>22</v>
      </c>
      <c r="B12" s="9" t="s">
        <v>23</v>
      </c>
      <c r="C12" s="9" t="s">
        <v>265</v>
      </c>
      <c r="D12" s="9" t="s">
        <v>268</v>
      </c>
      <c r="E12" s="11">
        <v>248</v>
      </c>
    </row>
    <row r="13" spans="1:8" x14ac:dyDescent="0.25">
      <c r="A13" s="9" t="s">
        <v>24</v>
      </c>
      <c r="B13" s="9" t="s">
        <v>23</v>
      </c>
      <c r="C13" s="9" t="s">
        <v>264</v>
      </c>
      <c r="D13" s="9"/>
      <c r="E13" s="9"/>
    </row>
    <row r="14" spans="1:8" x14ac:dyDescent="0.25">
      <c r="A14" s="9" t="s">
        <v>25</v>
      </c>
      <c r="B14" s="9" t="s">
        <v>26</v>
      </c>
      <c r="C14" s="9" t="s">
        <v>264</v>
      </c>
      <c r="D14" s="9"/>
      <c r="E14" s="9"/>
    </row>
    <row r="15" spans="1:8" x14ac:dyDescent="0.25">
      <c r="A15" s="9" t="s">
        <v>27</v>
      </c>
      <c r="B15" s="9" t="s">
        <v>28</v>
      </c>
      <c r="C15" s="9" t="s">
        <v>264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265</v>
      </c>
      <c r="D16" s="2" t="s">
        <v>287</v>
      </c>
      <c r="E16" s="13">
        <v>25236</v>
      </c>
    </row>
    <row r="17" spans="1:5" x14ac:dyDescent="0.25">
      <c r="A17" s="9" t="s">
        <v>31</v>
      </c>
      <c r="B17" s="9" t="s">
        <v>32</v>
      </c>
      <c r="C17" s="9" t="s">
        <v>264</v>
      </c>
      <c r="D17" s="9"/>
      <c r="E17" s="9"/>
    </row>
    <row r="18" spans="1:5" x14ac:dyDescent="0.25">
      <c r="A18" s="9" t="s">
        <v>33</v>
      </c>
      <c r="B18" s="9" t="s">
        <v>34</v>
      </c>
      <c r="C18" s="9" t="s">
        <v>264</v>
      </c>
      <c r="D18" s="9"/>
      <c r="E18" s="9"/>
    </row>
    <row r="19" spans="1:5" x14ac:dyDescent="0.25">
      <c r="A19" s="9" t="s">
        <v>35</v>
      </c>
      <c r="B19" s="9" t="s">
        <v>36</v>
      </c>
      <c r="C19" s="9" t="s">
        <v>264</v>
      </c>
      <c r="D19" s="9"/>
      <c r="E19" s="9"/>
    </row>
    <row r="20" spans="1:5" x14ac:dyDescent="0.25">
      <c r="A20" s="9" t="s">
        <v>37</v>
      </c>
      <c r="B20" s="9" t="s">
        <v>9</v>
      </c>
      <c r="C20" s="9" t="s">
        <v>264</v>
      </c>
      <c r="D20" s="9"/>
      <c r="E20" s="9"/>
    </row>
    <row r="21" spans="1:5" x14ac:dyDescent="0.25">
      <c r="A21" s="9" t="s">
        <v>38</v>
      </c>
      <c r="B21" s="9" t="s">
        <v>39</v>
      </c>
      <c r="C21" s="9" t="s">
        <v>264</v>
      </c>
      <c r="D21" s="9"/>
      <c r="E21" s="9"/>
    </row>
    <row r="22" spans="1:5" x14ac:dyDescent="0.25">
      <c r="A22" s="9" t="s">
        <v>40</v>
      </c>
      <c r="B22" s="9" t="s">
        <v>41</v>
      </c>
      <c r="C22" s="9" t="s">
        <v>264</v>
      </c>
      <c r="D22" s="9"/>
      <c r="E22" s="9"/>
    </row>
    <row r="23" spans="1:5" x14ac:dyDescent="0.25">
      <c r="A23" s="9" t="s">
        <v>42</v>
      </c>
      <c r="B23" s="9" t="s">
        <v>43</v>
      </c>
      <c r="C23" s="9" t="s">
        <v>264</v>
      </c>
      <c r="D23" s="9"/>
      <c r="E23" s="9"/>
    </row>
    <row r="24" spans="1:5" x14ac:dyDescent="0.25">
      <c r="A24" s="9" t="s">
        <v>44</v>
      </c>
      <c r="B24" s="9" t="s">
        <v>45</v>
      </c>
      <c r="C24" s="9" t="s">
        <v>264</v>
      </c>
      <c r="D24" s="9"/>
      <c r="E24" s="9"/>
    </row>
    <row r="25" spans="1:5" x14ac:dyDescent="0.25">
      <c r="A25" s="9" t="s">
        <v>46</v>
      </c>
      <c r="B25" s="9" t="s">
        <v>9</v>
      </c>
      <c r="C25" s="9" t="s">
        <v>264</v>
      </c>
      <c r="D25" s="9"/>
      <c r="E25" s="9"/>
    </row>
    <row r="26" spans="1:5" x14ac:dyDescent="0.25">
      <c r="A26" s="9" t="s">
        <v>47</v>
      </c>
      <c r="B26" s="9" t="s">
        <v>48</v>
      </c>
      <c r="C26" s="9" t="s">
        <v>264</v>
      </c>
      <c r="D26" s="9"/>
      <c r="E26" s="9"/>
    </row>
    <row r="27" spans="1:5" x14ac:dyDescent="0.25">
      <c r="A27" s="9" t="s">
        <v>49</v>
      </c>
      <c r="B27" s="9" t="s">
        <v>50</v>
      </c>
      <c r="C27" s="9" t="s">
        <v>264</v>
      </c>
      <c r="D27" s="9"/>
      <c r="E27" s="9"/>
    </row>
    <row r="28" spans="1:5" x14ac:dyDescent="0.25">
      <c r="A28" s="9" t="s">
        <v>51</v>
      </c>
      <c r="B28" s="9" t="s">
        <v>9</v>
      </c>
      <c r="C28" s="9" t="s">
        <v>264</v>
      </c>
      <c r="D28" s="9"/>
      <c r="E28" s="9"/>
    </row>
    <row r="29" spans="1:5" x14ac:dyDescent="0.25">
      <c r="A29" s="9" t="s">
        <v>52</v>
      </c>
      <c r="B29" s="9" t="s">
        <v>53</v>
      </c>
      <c r="C29" s="9" t="s">
        <v>265</v>
      </c>
      <c r="D29" s="9" t="s">
        <v>271</v>
      </c>
      <c r="E29" s="9"/>
    </row>
    <row r="30" spans="1:5" x14ac:dyDescent="0.25">
      <c r="A30" s="9" t="s">
        <v>54</v>
      </c>
      <c r="B30" s="9" t="s">
        <v>53</v>
      </c>
      <c r="C30" s="9" t="s">
        <v>264</v>
      </c>
      <c r="D30" s="9"/>
      <c r="E30" s="9"/>
    </row>
    <row r="31" spans="1:5" x14ac:dyDescent="0.25">
      <c r="A31" s="9" t="s">
        <v>55</v>
      </c>
      <c r="B31" s="9" t="s">
        <v>53</v>
      </c>
      <c r="C31" s="9" t="s">
        <v>264</v>
      </c>
      <c r="D31" s="9"/>
      <c r="E31" s="9"/>
    </row>
    <row r="32" spans="1:5" x14ac:dyDescent="0.25">
      <c r="A32" s="9" t="s">
        <v>56</v>
      </c>
      <c r="B32" s="9" t="s">
        <v>57</v>
      </c>
      <c r="C32" s="9" t="s">
        <v>264</v>
      </c>
      <c r="D32" s="9"/>
      <c r="E32" s="9"/>
    </row>
    <row r="33" spans="1:5" x14ac:dyDescent="0.25">
      <c r="A33" s="9" t="s">
        <v>58</v>
      </c>
      <c r="B33" s="9" t="s">
        <v>59</v>
      </c>
      <c r="C33" s="9" t="s">
        <v>265</v>
      </c>
      <c r="D33" s="9" t="s">
        <v>271</v>
      </c>
      <c r="E33" s="9"/>
    </row>
    <row r="34" spans="1:5" x14ac:dyDescent="0.25">
      <c r="A34" s="9" t="s">
        <v>60</v>
      </c>
      <c r="B34" s="9" t="s">
        <v>59</v>
      </c>
      <c r="C34" s="9" t="s">
        <v>264</v>
      </c>
      <c r="D34" s="9"/>
      <c r="E34" s="9"/>
    </row>
    <row r="35" spans="1:5" x14ac:dyDescent="0.25">
      <c r="A35" s="9" t="s">
        <v>61</v>
      </c>
      <c r="B35" s="9" t="s">
        <v>59</v>
      </c>
      <c r="C35" s="9" t="s">
        <v>264</v>
      </c>
      <c r="D35" s="9"/>
      <c r="E35" s="9"/>
    </row>
    <row r="36" spans="1:5" x14ac:dyDescent="0.25">
      <c r="A36" s="9" t="s">
        <v>56</v>
      </c>
      <c r="B36" s="9" t="s">
        <v>57</v>
      </c>
      <c r="C36" s="9" t="s">
        <v>265</v>
      </c>
      <c r="D36" s="9" t="s">
        <v>272</v>
      </c>
      <c r="E36" s="11">
        <v>22296</v>
      </c>
    </row>
    <row r="37" spans="1:5" x14ac:dyDescent="0.25">
      <c r="A37" s="9" t="s">
        <v>62</v>
      </c>
      <c r="B37" s="9" t="s">
        <v>63</v>
      </c>
      <c r="C37" s="9" t="s">
        <v>264</v>
      </c>
      <c r="D37" s="9"/>
      <c r="E37" s="11"/>
    </row>
    <row r="38" spans="1:5" x14ac:dyDescent="0.25">
      <c r="A38" s="9" t="s">
        <v>46</v>
      </c>
      <c r="B38" s="9" t="s">
        <v>9</v>
      </c>
      <c r="C38" s="9" t="s">
        <v>264</v>
      </c>
      <c r="D38" s="9" t="s">
        <v>280</v>
      </c>
      <c r="E38" s="11">
        <v>22292</v>
      </c>
    </row>
    <row r="39" spans="1:5" x14ac:dyDescent="0.25">
      <c r="A39" s="9" t="s">
        <v>47</v>
      </c>
      <c r="B39" s="9" t="s">
        <v>48</v>
      </c>
      <c r="C39" s="9" t="s">
        <v>264</v>
      </c>
      <c r="D39" s="9"/>
      <c r="E39" s="9"/>
    </row>
    <row r="40" spans="1:5" x14ac:dyDescent="0.25">
      <c r="A40" s="9" t="s">
        <v>49</v>
      </c>
      <c r="B40" s="9" t="s">
        <v>50</v>
      </c>
      <c r="C40" s="9" t="s">
        <v>264</v>
      </c>
      <c r="D40" s="9"/>
      <c r="E40" s="9"/>
    </row>
    <row r="41" spans="1:5" x14ac:dyDescent="0.25">
      <c r="A41" s="9" t="s">
        <v>64</v>
      </c>
      <c r="B41" s="9" t="s">
        <v>65</v>
      </c>
      <c r="C41" s="9" t="s">
        <v>265</v>
      </c>
      <c r="D41" s="9" t="s">
        <v>273</v>
      </c>
      <c r="E41" s="11">
        <v>20019</v>
      </c>
    </row>
    <row r="42" spans="1:5" x14ac:dyDescent="0.25">
      <c r="A42" s="9" t="s">
        <v>46</v>
      </c>
      <c r="B42" s="9" t="s">
        <v>9</v>
      </c>
      <c r="C42" s="9" t="s">
        <v>264</v>
      </c>
      <c r="D42" s="9" t="s">
        <v>65</v>
      </c>
      <c r="E42" s="11">
        <v>22301</v>
      </c>
    </row>
    <row r="43" spans="1:5" x14ac:dyDescent="0.25">
      <c r="A43" s="9" t="s">
        <v>47</v>
      </c>
      <c r="B43" s="9" t="s">
        <v>48</v>
      </c>
      <c r="C43" s="9" t="s">
        <v>264</v>
      </c>
      <c r="D43" s="9"/>
      <c r="E43" s="9"/>
    </row>
    <row r="44" spans="1:5" x14ac:dyDescent="0.25">
      <c r="A44" s="9" t="s">
        <v>49</v>
      </c>
      <c r="B44" s="9" t="s">
        <v>50</v>
      </c>
      <c r="C44" s="9" t="s">
        <v>264</v>
      </c>
      <c r="D44" s="9"/>
      <c r="E44" s="9"/>
    </row>
    <row r="45" spans="1:5" x14ac:dyDescent="0.25">
      <c r="A45" s="9" t="s">
        <v>66</v>
      </c>
      <c r="B45" s="9" t="s">
        <v>67</v>
      </c>
      <c r="C45" s="9" t="s">
        <v>264</v>
      </c>
      <c r="D45" s="9"/>
      <c r="E45" s="9"/>
    </row>
    <row r="46" spans="1:5" x14ac:dyDescent="0.25">
      <c r="A46" s="9" t="s">
        <v>68</v>
      </c>
      <c r="B46" s="9" t="s">
        <v>69</v>
      </c>
      <c r="C46" s="9" t="s">
        <v>264</v>
      </c>
      <c r="D46" s="9"/>
      <c r="E46" s="9"/>
    </row>
    <row r="47" spans="1:5" x14ac:dyDescent="0.25">
      <c r="A47" s="9" t="s">
        <v>70</v>
      </c>
      <c r="B47" s="9" t="s">
        <v>9</v>
      </c>
      <c r="C47" s="9" t="s">
        <v>264</v>
      </c>
      <c r="D47" s="9"/>
      <c r="E47" s="9"/>
    </row>
    <row r="48" spans="1:5" x14ac:dyDescent="0.25">
      <c r="A48" s="9" t="s">
        <v>71</v>
      </c>
      <c r="B48" s="9" t="s">
        <v>9</v>
      </c>
      <c r="C48" s="9" t="s">
        <v>265</v>
      </c>
      <c r="D48" s="9" t="s">
        <v>274</v>
      </c>
      <c r="E48" s="11">
        <v>222</v>
      </c>
    </row>
    <row r="49" spans="1:5" x14ac:dyDescent="0.25">
      <c r="A49" s="9" t="s">
        <v>72</v>
      </c>
      <c r="B49" s="9" t="s">
        <v>9</v>
      </c>
      <c r="C49" s="9" t="s">
        <v>265</v>
      </c>
      <c r="D49" s="9" t="s">
        <v>275</v>
      </c>
      <c r="E49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workbookViewId="0"/>
  </sheetViews>
  <sheetFormatPr defaultRowHeight="15" x14ac:dyDescent="0.25"/>
  <cols>
    <col min="1" max="1" width="72.140625" bestFit="1" customWidth="1"/>
    <col min="2" max="2" width="41.140625" customWidth="1"/>
    <col min="3" max="3" width="8.85546875" bestFit="1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51</v>
      </c>
    </row>
    <row r="2" spans="1:8" x14ac:dyDescent="0.25">
      <c r="A2" s="9" t="s">
        <v>73</v>
      </c>
      <c r="B2" s="9" t="s">
        <v>9</v>
      </c>
      <c r="C2" s="9" t="s">
        <v>264</v>
      </c>
      <c r="D2" s="9"/>
      <c r="E2" s="9"/>
      <c r="G2" s="5" t="s">
        <v>265</v>
      </c>
      <c r="H2" s="6">
        <f>COUNTIF(C:C,G2)</f>
        <v>8</v>
      </c>
    </row>
    <row r="3" spans="1:8" ht="15.75" thickBot="1" x14ac:dyDescent="0.3">
      <c r="A3" s="9" t="s">
        <v>74</v>
      </c>
      <c r="B3" s="9" t="s">
        <v>75</v>
      </c>
      <c r="C3" s="9" t="s">
        <v>264</v>
      </c>
      <c r="D3" s="9"/>
      <c r="E3" s="9"/>
      <c r="G3" s="7" t="s">
        <v>266</v>
      </c>
      <c r="H3" s="8">
        <f>H1/SUM(H1:H2)</f>
        <v>0.86440677966101698</v>
      </c>
    </row>
    <row r="4" spans="1:8" x14ac:dyDescent="0.25">
      <c r="A4" s="9" t="s">
        <v>76</v>
      </c>
      <c r="B4" s="9" t="s">
        <v>77</v>
      </c>
      <c r="C4" s="9" t="s">
        <v>264</v>
      </c>
      <c r="D4" s="9"/>
      <c r="E4" s="9"/>
    </row>
    <row r="5" spans="1:8" x14ac:dyDescent="0.25">
      <c r="A5" s="9" t="s">
        <v>78</v>
      </c>
      <c r="B5" s="9" t="s">
        <v>78</v>
      </c>
      <c r="C5" s="9" t="s">
        <v>264</v>
      </c>
      <c r="D5" s="9"/>
      <c r="E5" s="9"/>
    </row>
    <row r="6" spans="1:8" x14ac:dyDescent="0.25">
      <c r="A6" s="9" t="s">
        <v>79</v>
      </c>
      <c r="B6" s="9" t="s">
        <v>80</v>
      </c>
      <c r="C6" s="9" t="s">
        <v>264</v>
      </c>
      <c r="D6" s="9"/>
      <c r="E6" s="9"/>
    </row>
    <row r="7" spans="1:8" x14ac:dyDescent="0.25">
      <c r="A7" s="9" t="s">
        <v>81</v>
      </c>
      <c r="B7" s="9" t="s">
        <v>81</v>
      </c>
      <c r="C7" s="9" t="s">
        <v>264</v>
      </c>
      <c r="D7" s="9"/>
      <c r="E7" s="9"/>
    </row>
    <row r="8" spans="1:8" x14ac:dyDescent="0.25">
      <c r="A8" s="9" t="s">
        <v>82</v>
      </c>
      <c r="B8" s="9" t="s">
        <v>83</v>
      </c>
      <c r="C8" s="9" t="s">
        <v>264</v>
      </c>
      <c r="D8" s="9"/>
      <c r="E8" s="9"/>
    </row>
    <row r="9" spans="1:8" x14ac:dyDescent="0.25">
      <c r="A9" s="9" t="s">
        <v>84</v>
      </c>
      <c r="B9" s="9" t="s">
        <v>9</v>
      </c>
      <c r="C9" s="9" t="s">
        <v>264</v>
      </c>
      <c r="D9" s="9"/>
      <c r="E9" s="9"/>
    </row>
    <row r="10" spans="1:8" x14ac:dyDescent="0.25">
      <c r="A10" s="9" t="s">
        <v>85</v>
      </c>
      <c r="B10" s="9" t="s">
        <v>86</v>
      </c>
      <c r="C10" s="9" t="s">
        <v>264</v>
      </c>
      <c r="D10" s="9"/>
      <c r="E10" s="9"/>
    </row>
    <row r="11" spans="1:8" x14ac:dyDescent="0.25">
      <c r="A11" s="9" t="s">
        <v>87</v>
      </c>
      <c r="B11" s="9" t="s">
        <v>88</v>
      </c>
      <c r="C11" s="9" t="s">
        <v>265</v>
      </c>
      <c r="D11" s="9" t="s">
        <v>276</v>
      </c>
      <c r="E11" s="11">
        <v>20217</v>
      </c>
    </row>
    <row r="12" spans="1:8" x14ac:dyDescent="0.25">
      <c r="A12" s="9" t="s">
        <v>89</v>
      </c>
      <c r="B12" s="9" t="s">
        <v>90</v>
      </c>
      <c r="C12" s="9" t="s">
        <v>264</v>
      </c>
      <c r="D12" s="9"/>
      <c r="E12" s="9"/>
    </row>
    <row r="13" spans="1:8" x14ac:dyDescent="0.25">
      <c r="A13" s="9" t="s">
        <v>91</v>
      </c>
      <c r="B13" s="9" t="s">
        <v>92</v>
      </c>
      <c r="C13" s="9" t="s">
        <v>264</v>
      </c>
      <c r="D13" s="9"/>
      <c r="E13" s="9"/>
    </row>
    <row r="14" spans="1:8" x14ac:dyDescent="0.25">
      <c r="A14" s="9" t="s">
        <v>93</v>
      </c>
      <c r="B14" s="9" t="s">
        <v>94</v>
      </c>
      <c r="C14" s="9" t="s">
        <v>264</v>
      </c>
      <c r="D14" s="9"/>
      <c r="E14" s="9"/>
    </row>
    <row r="15" spans="1:8" x14ac:dyDescent="0.25">
      <c r="A15" s="9" t="s">
        <v>95</v>
      </c>
      <c r="B15" s="9" t="s">
        <v>96</v>
      </c>
      <c r="C15" s="9" t="s">
        <v>264</v>
      </c>
      <c r="D15" s="9"/>
      <c r="E15" s="9"/>
    </row>
    <row r="16" spans="1:8" x14ac:dyDescent="0.25">
      <c r="A16" s="9" t="s">
        <v>97</v>
      </c>
      <c r="B16" s="9" t="s">
        <v>9</v>
      </c>
      <c r="C16" s="9" t="s">
        <v>264</v>
      </c>
      <c r="D16" s="9"/>
      <c r="E16" s="9"/>
    </row>
    <row r="17" spans="1:5" x14ac:dyDescent="0.25">
      <c r="A17" s="9" t="s">
        <v>98</v>
      </c>
      <c r="B17" s="9" t="s">
        <v>98</v>
      </c>
      <c r="C17" s="9" t="s">
        <v>264</v>
      </c>
      <c r="D17" s="9"/>
      <c r="E17" s="9"/>
    </row>
    <row r="18" spans="1:5" x14ac:dyDescent="0.25">
      <c r="A18" s="9" t="s">
        <v>84</v>
      </c>
      <c r="B18" s="9" t="s">
        <v>9</v>
      </c>
      <c r="C18" s="9" t="s">
        <v>264</v>
      </c>
      <c r="D18" s="9"/>
      <c r="E18" s="9"/>
    </row>
    <row r="19" spans="1:5" x14ac:dyDescent="0.25">
      <c r="A19" s="9" t="s">
        <v>85</v>
      </c>
      <c r="B19" s="9" t="s">
        <v>86</v>
      </c>
      <c r="C19" s="9" t="s">
        <v>265</v>
      </c>
      <c r="D19" s="9" t="s">
        <v>277</v>
      </c>
      <c r="E19" s="11">
        <v>13724</v>
      </c>
    </row>
    <row r="20" spans="1:5" x14ac:dyDescent="0.25">
      <c r="A20" s="9" t="s">
        <v>99</v>
      </c>
      <c r="B20" s="9" t="s">
        <v>100</v>
      </c>
      <c r="C20" s="9" t="s">
        <v>264</v>
      </c>
      <c r="D20" s="9"/>
      <c r="E20" s="9"/>
    </row>
    <row r="21" spans="1:5" x14ac:dyDescent="0.25">
      <c r="A21" s="9" t="s">
        <v>101</v>
      </c>
      <c r="B21" s="9" t="s">
        <v>88</v>
      </c>
      <c r="C21" s="9" t="s">
        <v>265</v>
      </c>
      <c r="D21" s="9" t="s">
        <v>107</v>
      </c>
      <c r="E21" s="11">
        <v>20231</v>
      </c>
    </row>
    <row r="22" spans="1:5" x14ac:dyDescent="0.25">
      <c r="A22" s="9" t="s">
        <v>102</v>
      </c>
      <c r="B22" s="9" t="s">
        <v>103</v>
      </c>
      <c r="C22" s="9" t="s">
        <v>264</v>
      </c>
      <c r="D22" s="9"/>
      <c r="E22" s="9"/>
    </row>
    <row r="23" spans="1:5" x14ac:dyDescent="0.25">
      <c r="A23" s="9" t="s">
        <v>104</v>
      </c>
      <c r="B23" s="9" t="s">
        <v>105</v>
      </c>
      <c r="C23" s="9" t="s">
        <v>264</v>
      </c>
      <c r="D23" s="9"/>
      <c r="E23" s="9"/>
    </row>
    <row r="24" spans="1:5" x14ac:dyDescent="0.25">
      <c r="A24" s="9" t="s">
        <v>87</v>
      </c>
      <c r="B24" s="9" t="s">
        <v>88</v>
      </c>
      <c r="C24" s="9" t="s">
        <v>264</v>
      </c>
      <c r="D24" s="9"/>
      <c r="E24" s="9"/>
    </row>
    <row r="25" spans="1:5" x14ac:dyDescent="0.25">
      <c r="A25" s="9" t="s">
        <v>106</v>
      </c>
      <c r="B25" s="9" t="s">
        <v>107</v>
      </c>
      <c r="C25" s="9" t="s">
        <v>264</v>
      </c>
      <c r="D25" s="9"/>
      <c r="E25" s="9"/>
    </row>
    <row r="26" spans="1:5" x14ac:dyDescent="0.25">
      <c r="A26" s="9" t="s">
        <v>108</v>
      </c>
      <c r="B26" s="9" t="s">
        <v>109</v>
      </c>
      <c r="C26" s="9" t="s">
        <v>264</v>
      </c>
      <c r="D26" s="9"/>
      <c r="E26" s="9"/>
    </row>
    <row r="27" spans="1:5" x14ac:dyDescent="0.25">
      <c r="A27" s="9" t="s">
        <v>110</v>
      </c>
      <c r="B27" s="9" t="s">
        <v>111</v>
      </c>
      <c r="C27" s="9" t="s">
        <v>264</v>
      </c>
      <c r="D27" s="9"/>
      <c r="E27" s="9"/>
    </row>
    <row r="28" spans="1:5" x14ac:dyDescent="0.25">
      <c r="A28" s="9" t="s">
        <v>112</v>
      </c>
      <c r="B28" s="9" t="s">
        <v>113</v>
      </c>
      <c r="C28" s="9" t="s">
        <v>264</v>
      </c>
      <c r="D28" s="9"/>
      <c r="E28" s="9"/>
    </row>
    <row r="29" spans="1:5" x14ac:dyDescent="0.25">
      <c r="A29" s="9" t="s">
        <v>114</v>
      </c>
      <c r="B29" s="9" t="s">
        <v>115</v>
      </c>
      <c r="C29" s="9" t="s">
        <v>264</v>
      </c>
      <c r="D29" s="9"/>
      <c r="E29" s="9"/>
    </row>
    <row r="30" spans="1:5" x14ac:dyDescent="0.25">
      <c r="A30" s="9" t="s">
        <v>116</v>
      </c>
      <c r="B30" s="9" t="s">
        <v>9</v>
      </c>
      <c r="C30" s="9" t="s">
        <v>264</v>
      </c>
      <c r="D30" s="9"/>
      <c r="E30" s="9"/>
    </row>
    <row r="31" spans="1:5" x14ac:dyDescent="0.25">
      <c r="A31" s="9" t="s">
        <v>117</v>
      </c>
      <c r="B31" s="9" t="s">
        <v>9</v>
      </c>
      <c r="C31" s="9" t="s">
        <v>264</v>
      </c>
      <c r="D31" s="9"/>
      <c r="E31" s="9"/>
    </row>
    <row r="32" spans="1:5" x14ac:dyDescent="0.25">
      <c r="A32" s="9" t="s">
        <v>118</v>
      </c>
      <c r="B32" s="9" t="s">
        <v>119</v>
      </c>
      <c r="C32" s="9" t="s">
        <v>264</v>
      </c>
      <c r="D32" s="9"/>
      <c r="E32" s="9"/>
    </row>
    <row r="33" spans="1:5" x14ac:dyDescent="0.25">
      <c r="A33" s="9" t="s">
        <v>120</v>
      </c>
      <c r="B33" s="9" t="s">
        <v>121</v>
      </c>
      <c r="C33" s="9" t="s">
        <v>264</v>
      </c>
      <c r="D33" s="9"/>
      <c r="E33" s="9"/>
    </row>
    <row r="34" spans="1:5" x14ac:dyDescent="0.25">
      <c r="A34" s="9" t="s">
        <v>122</v>
      </c>
      <c r="B34" s="9" t="s">
        <v>123</v>
      </c>
      <c r="C34" s="9" t="s">
        <v>264</v>
      </c>
      <c r="D34" s="9"/>
      <c r="E34" s="9"/>
    </row>
    <row r="35" spans="1:5" x14ac:dyDescent="0.25">
      <c r="A35" s="9" t="s">
        <v>124</v>
      </c>
      <c r="B35" s="9" t="s">
        <v>125</v>
      </c>
      <c r="C35" s="9" t="s">
        <v>265</v>
      </c>
      <c r="D35" s="9" t="s">
        <v>288</v>
      </c>
      <c r="E35" s="9"/>
    </row>
    <row r="36" spans="1:5" x14ac:dyDescent="0.25">
      <c r="A36" s="9" t="s">
        <v>126</v>
      </c>
      <c r="B36" s="9" t="s">
        <v>123</v>
      </c>
      <c r="C36" s="9" t="s">
        <v>265</v>
      </c>
      <c r="D36" s="9" t="s">
        <v>269</v>
      </c>
      <c r="E36" s="9"/>
    </row>
    <row r="37" spans="1:5" x14ac:dyDescent="0.25">
      <c r="A37" s="9" t="s">
        <v>127</v>
      </c>
      <c r="B37" s="9" t="s">
        <v>9</v>
      </c>
      <c r="C37" s="9" t="s">
        <v>264</v>
      </c>
      <c r="D37" s="9"/>
      <c r="E37" s="9"/>
    </row>
    <row r="38" spans="1:5" x14ac:dyDescent="0.25">
      <c r="A38" s="9" t="s">
        <v>128</v>
      </c>
      <c r="B38" s="9" t="s">
        <v>9</v>
      </c>
      <c r="C38" s="9" t="s">
        <v>264</v>
      </c>
      <c r="D38" s="9"/>
      <c r="E38" s="9"/>
    </row>
    <row r="39" spans="1:5" x14ac:dyDescent="0.25">
      <c r="A39" s="9" t="s">
        <v>129</v>
      </c>
      <c r="B39" s="9" t="s">
        <v>9</v>
      </c>
      <c r="C39" s="9" t="s">
        <v>264</v>
      </c>
      <c r="D39" s="9"/>
      <c r="E39" s="9"/>
    </row>
    <row r="40" spans="1:5" x14ac:dyDescent="0.25">
      <c r="A40" s="9" t="s">
        <v>130</v>
      </c>
      <c r="B40" s="9" t="s">
        <v>130</v>
      </c>
      <c r="C40" s="9" t="s">
        <v>264</v>
      </c>
      <c r="D40" s="9"/>
      <c r="E40" s="9"/>
    </row>
    <row r="41" spans="1:5" x14ac:dyDescent="0.25">
      <c r="A41" s="9" t="s">
        <v>131</v>
      </c>
      <c r="B41" s="9" t="s">
        <v>131</v>
      </c>
      <c r="C41" s="9" t="s">
        <v>264</v>
      </c>
      <c r="D41" s="9"/>
      <c r="E41" s="9"/>
    </row>
    <row r="42" spans="1:5" x14ac:dyDescent="0.25">
      <c r="A42" s="9" t="s">
        <v>132</v>
      </c>
      <c r="B42" s="9" t="s">
        <v>133</v>
      </c>
      <c r="C42" s="9" t="s">
        <v>264</v>
      </c>
      <c r="D42" s="9"/>
      <c r="E42" s="9"/>
    </row>
    <row r="43" spans="1:5" x14ac:dyDescent="0.25">
      <c r="A43" s="9" t="s">
        <v>134</v>
      </c>
      <c r="B43" s="9" t="s">
        <v>135</v>
      </c>
      <c r="C43" s="9" t="s">
        <v>264</v>
      </c>
      <c r="D43" s="9"/>
      <c r="E43" s="9"/>
    </row>
    <row r="44" spans="1:5" x14ac:dyDescent="0.25">
      <c r="A44" s="9" t="s">
        <v>136</v>
      </c>
      <c r="B44" s="9" t="s">
        <v>137</v>
      </c>
      <c r="C44" s="9" t="s">
        <v>264</v>
      </c>
      <c r="D44" s="9"/>
      <c r="E44" s="9"/>
    </row>
    <row r="45" spans="1:5" x14ac:dyDescent="0.25">
      <c r="A45" s="9" t="s">
        <v>138</v>
      </c>
      <c r="B45" s="9" t="s">
        <v>139</v>
      </c>
      <c r="C45" s="9" t="s">
        <v>264</v>
      </c>
      <c r="D45" s="9"/>
      <c r="E45" s="9"/>
    </row>
    <row r="46" spans="1:5" x14ac:dyDescent="0.25">
      <c r="A46" s="9" t="s">
        <v>140</v>
      </c>
      <c r="B46" s="9" t="s">
        <v>141</v>
      </c>
      <c r="C46" s="9" t="s">
        <v>264</v>
      </c>
      <c r="D46" s="9"/>
      <c r="E46" s="9"/>
    </row>
    <row r="47" spans="1:5" x14ac:dyDescent="0.25">
      <c r="A47" s="9" t="s">
        <v>142</v>
      </c>
      <c r="B47" s="9" t="s">
        <v>9</v>
      </c>
      <c r="C47" s="9" t="s">
        <v>264</v>
      </c>
      <c r="D47" s="9"/>
      <c r="E47" s="9"/>
    </row>
    <row r="48" spans="1:5" x14ac:dyDescent="0.25">
      <c r="A48" s="9" t="s">
        <v>129</v>
      </c>
      <c r="B48" s="9" t="s">
        <v>9</v>
      </c>
      <c r="C48" s="9" t="s">
        <v>264</v>
      </c>
      <c r="D48" s="9"/>
      <c r="E48" s="9"/>
    </row>
    <row r="49" spans="1:5" x14ac:dyDescent="0.25">
      <c r="A49" s="9" t="s">
        <v>130</v>
      </c>
      <c r="B49" s="9" t="s">
        <v>130</v>
      </c>
      <c r="C49" s="9" t="s">
        <v>264</v>
      </c>
      <c r="D49" s="9"/>
      <c r="E49" s="9"/>
    </row>
    <row r="50" spans="1:5" x14ac:dyDescent="0.25">
      <c r="A50" s="9" t="s">
        <v>131</v>
      </c>
      <c r="B50" s="9" t="s">
        <v>131</v>
      </c>
      <c r="C50" s="9" t="s">
        <v>264</v>
      </c>
      <c r="D50" s="9"/>
      <c r="E50" s="9"/>
    </row>
    <row r="51" spans="1:5" x14ac:dyDescent="0.25">
      <c r="A51" s="9" t="s">
        <v>143</v>
      </c>
      <c r="B51" s="9" t="s">
        <v>144</v>
      </c>
      <c r="C51" s="9" t="s">
        <v>265</v>
      </c>
      <c r="D51" s="9" t="s">
        <v>271</v>
      </c>
      <c r="E51" s="9"/>
    </row>
    <row r="52" spans="1:5" x14ac:dyDescent="0.25">
      <c r="A52" s="9" t="s">
        <v>145</v>
      </c>
      <c r="B52" s="9" t="s">
        <v>144</v>
      </c>
      <c r="C52" s="9" t="s">
        <v>264</v>
      </c>
      <c r="D52" s="9"/>
      <c r="E52" s="9"/>
    </row>
    <row r="53" spans="1:5" x14ac:dyDescent="0.25">
      <c r="A53" s="9" t="s">
        <v>146</v>
      </c>
      <c r="B53" s="9" t="s">
        <v>144</v>
      </c>
      <c r="C53" s="9" t="s">
        <v>264</v>
      </c>
      <c r="D53" s="9"/>
      <c r="E53" s="9"/>
    </row>
    <row r="54" spans="1:5" x14ac:dyDescent="0.25">
      <c r="A54" s="9" t="s">
        <v>132</v>
      </c>
      <c r="B54" s="9" t="s">
        <v>133</v>
      </c>
      <c r="C54" s="9" t="s">
        <v>265</v>
      </c>
      <c r="D54" s="9" t="s">
        <v>278</v>
      </c>
      <c r="E54" s="11">
        <v>20214</v>
      </c>
    </row>
    <row r="55" spans="1:5" x14ac:dyDescent="0.25">
      <c r="A55" s="9" t="s">
        <v>134</v>
      </c>
      <c r="B55" s="9" t="s">
        <v>135</v>
      </c>
      <c r="C55" s="9" t="s">
        <v>265</v>
      </c>
      <c r="D55" s="9" t="s">
        <v>279</v>
      </c>
      <c r="E55" s="11">
        <v>13767</v>
      </c>
    </row>
    <row r="56" spans="1:5" x14ac:dyDescent="0.25">
      <c r="A56" s="9" t="s">
        <v>147</v>
      </c>
      <c r="B56" s="9" t="s">
        <v>148</v>
      </c>
      <c r="C56" s="9" t="s">
        <v>264</v>
      </c>
      <c r="D56" s="9"/>
      <c r="E56" s="9"/>
    </row>
    <row r="57" spans="1:5" x14ac:dyDescent="0.25">
      <c r="A57" s="9" t="s">
        <v>149</v>
      </c>
      <c r="B57" s="9" t="s">
        <v>150</v>
      </c>
      <c r="C57" s="9" t="s">
        <v>264</v>
      </c>
      <c r="D57" s="9"/>
      <c r="E57" s="9"/>
    </row>
    <row r="58" spans="1:5" x14ac:dyDescent="0.25">
      <c r="A58" s="9" t="s">
        <v>151</v>
      </c>
      <c r="B58" s="9" t="s">
        <v>152</v>
      </c>
      <c r="C58" s="9" t="s">
        <v>264</v>
      </c>
      <c r="D58" s="9"/>
      <c r="E58" s="9"/>
    </row>
    <row r="59" spans="1:5" x14ac:dyDescent="0.25">
      <c r="A59" s="9" t="s">
        <v>153</v>
      </c>
      <c r="B59" s="9" t="s">
        <v>43</v>
      </c>
      <c r="C59" s="9" t="s">
        <v>264</v>
      </c>
      <c r="D59" s="9"/>
      <c r="E59" s="9"/>
    </row>
    <row r="60" spans="1:5" x14ac:dyDescent="0.25">
      <c r="A60" s="9" t="s">
        <v>154</v>
      </c>
      <c r="B60" s="9" t="s">
        <v>155</v>
      </c>
      <c r="C60" s="9" t="s">
        <v>264</v>
      </c>
      <c r="D60" s="9"/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/>
  </sheetViews>
  <sheetFormatPr defaultRowHeight="15" x14ac:dyDescent="0.25"/>
  <cols>
    <col min="1" max="1" width="72.140625" bestFit="1" customWidth="1"/>
    <col min="2" max="2" width="41.855468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51</v>
      </c>
    </row>
    <row r="2" spans="1:8" x14ac:dyDescent="0.25">
      <c r="A2" s="9" t="s">
        <v>73</v>
      </c>
      <c r="B2" s="9" t="s">
        <v>9</v>
      </c>
      <c r="C2" s="9" t="s">
        <v>264</v>
      </c>
      <c r="D2" s="9"/>
      <c r="E2" s="9"/>
      <c r="G2" s="5" t="s">
        <v>265</v>
      </c>
      <c r="H2" s="6">
        <f>COUNTIF(C:C,G2)</f>
        <v>8</v>
      </c>
    </row>
    <row r="3" spans="1:8" ht="15.75" thickBot="1" x14ac:dyDescent="0.3">
      <c r="A3" s="9" t="s">
        <v>74</v>
      </c>
      <c r="B3" s="9" t="s">
        <v>75</v>
      </c>
      <c r="C3" s="9" t="s">
        <v>264</v>
      </c>
      <c r="D3" s="9"/>
      <c r="E3" s="9"/>
      <c r="G3" s="7" t="s">
        <v>266</v>
      </c>
      <c r="H3" s="8">
        <f>H1/SUM(H1:H2)</f>
        <v>0.86440677966101698</v>
      </c>
    </row>
    <row r="4" spans="1:8" x14ac:dyDescent="0.25">
      <c r="A4" s="9" t="s">
        <v>76</v>
      </c>
      <c r="B4" s="9" t="s">
        <v>77</v>
      </c>
      <c r="C4" s="9" t="s">
        <v>264</v>
      </c>
      <c r="D4" s="9"/>
      <c r="E4" s="9"/>
    </row>
    <row r="5" spans="1:8" x14ac:dyDescent="0.25">
      <c r="A5" s="9" t="s">
        <v>78</v>
      </c>
      <c r="B5" s="9" t="s">
        <v>78</v>
      </c>
      <c r="C5" s="9" t="s">
        <v>265</v>
      </c>
      <c r="D5" s="9" t="s">
        <v>281</v>
      </c>
      <c r="E5" s="11">
        <v>13734</v>
      </c>
    </row>
    <row r="6" spans="1:8" x14ac:dyDescent="0.25">
      <c r="A6" s="9" t="s">
        <v>79</v>
      </c>
      <c r="B6" s="9" t="s">
        <v>80</v>
      </c>
      <c r="C6" s="9" t="s">
        <v>264</v>
      </c>
      <c r="D6" s="9"/>
      <c r="E6" s="9"/>
    </row>
    <row r="7" spans="1:8" x14ac:dyDescent="0.25">
      <c r="A7" s="9" t="s">
        <v>81</v>
      </c>
      <c r="B7" s="9" t="s">
        <v>81</v>
      </c>
      <c r="C7" s="9" t="s">
        <v>264</v>
      </c>
      <c r="D7" s="9"/>
      <c r="E7" s="9"/>
    </row>
    <row r="8" spans="1:8" x14ac:dyDescent="0.25">
      <c r="A8" s="9" t="s">
        <v>82</v>
      </c>
      <c r="B8" s="9" t="s">
        <v>83</v>
      </c>
      <c r="C8" s="9" t="s">
        <v>264</v>
      </c>
      <c r="D8" s="9"/>
      <c r="E8" s="9"/>
    </row>
    <row r="9" spans="1:8" x14ac:dyDescent="0.25">
      <c r="A9" s="9" t="s">
        <v>84</v>
      </c>
      <c r="B9" s="9" t="s">
        <v>9</v>
      </c>
      <c r="C9" s="9" t="s">
        <v>264</v>
      </c>
      <c r="D9" s="9"/>
      <c r="E9" s="9"/>
    </row>
    <row r="10" spans="1:8" x14ac:dyDescent="0.25">
      <c r="A10" s="9" t="s">
        <v>85</v>
      </c>
      <c r="B10" s="9" t="s">
        <v>86</v>
      </c>
      <c r="C10" s="9" t="s">
        <v>264</v>
      </c>
      <c r="D10" s="9"/>
      <c r="E10" s="9"/>
    </row>
    <row r="11" spans="1:8" x14ac:dyDescent="0.25">
      <c r="A11" s="9" t="s">
        <v>87</v>
      </c>
      <c r="B11" s="9" t="s">
        <v>88</v>
      </c>
      <c r="C11" s="9" t="s">
        <v>265</v>
      </c>
      <c r="D11" s="9" t="s">
        <v>276</v>
      </c>
      <c r="E11" s="11">
        <v>20217</v>
      </c>
    </row>
    <row r="12" spans="1:8" x14ac:dyDescent="0.25">
      <c r="A12" s="9" t="s">
        <v>89</v>
      </c>
      <c r="B12" s="9" t="s">
        <v>90</v>
      </c>
      <c r="C12" s="9" t="s">
        <v>264</v>
      </c>
      <c r="D12" s="9"/>
      <c r="E12" s="9"/>
    </row>
    <row r="13" spans="1:8" x14ac:dyDescent="0.25">
      <c r="A13" s="9" t="s">
        <v>91</v>
      </c>
      <c r="B13" s="9" t="s">
        <v>92</v>
      </c>
      <c r="C13" s="9" t="s">
        <v>264</v>
      </c>
      <c r="D13" s="9"/>
      <c r="E13" s="9"/>
    </row>
    <row r="14" spans="1:8" x14ac:dyDescent="0.25">
      <c r="A14" s="9" t="s">
        <v>93</v>
      </c>
      <c r="B14" s="9" t="s">
        <v>94</v>
      </c>
      <c r="C14" s="9" t="s">
        <v>264</v>
      </c>
      <c r="D14" s="9"/>
      <c r="E14" s="9"/>
    </row>
    <row r="15" spans="1:8" x14ac:dyDescent="0.25">
      <c r="A15" s="9" t="s">
        <v>95</v>
      </c>
      <c r="B15" s="9" t="s">
        <v>96</v>
      </c>
      <c r="C15" s="9" t="s">
        <v>264</v>
      </c>
      <c r="D15" s="9"/>
      <c r="E15" s="9"/>
    </row>
    <row r="16" spans="1:8" x14ac:dyDescent="0.25">
      <c r="A16" s="9" t="s">
        <v>97</v>
      </c>
      <c r="B16" s="9" t="s">
        <v>9</v>
      </c>
      <c r="C16" s="9" t="s">
        <v>264</v>
      </c>
      <c r="D16" s="9"/>
      <c r="E16" s="9"/>
    </row>
    <row r="17" spans="1:5" x14ac:dyDescent="0.25">
      <c r="A17" s="9" t="s">
        <v>98</v>
      </c>
      <c r="B17" s="9" t="s">
        <v>98</v>
      </c>
      <c r="C17" s="9" t="s">
        <v>264</v>
      </c>
      <c r="D17" s="9"/>
      <c r="E17" s="9"/>
    </row>
    <row r="18" spans="1:5" x14ac:dyDescent="0.25">
      <c r="A18" s="9" t="s">
        <v>84</v>
      </c>
      <c r="B18" s="9" t="s">
        <v>9</v>
      </c>
      <c r="C18" s="9" t="s">
        <v>264</v>
      </c>
      <c r="D18" s="9"/>
      <c r="E18" s="9"/>
    </row>
    <row r="19" spans="1:5" x14ac:dyDescent="0.25">
      <c r="A19" s="9" t="s">
        <v>85</v>
      </c>
      <c r="B19" s="9" t="s">
        <v>86</v>
      </c>
      <c r="C19" s="9" t="s">
        <v>265</v>
      </c>
      <c r="D19" s="9" t="s">
        <v>277</v>
      </c>
      <c r="E19" s="11">
        <v>13724</v>
      </c>
    </row>
    <row r="20" spans="1:5" x14ac:dyDescent="0.25">
      <c r="A20" s="9" t="s">
        <v>99</v>
      </c>
      <c r="B20" s="9" t="s">
        <v>100</v>
      </c>
      <c r="C20" s="9" t="s">
        <v>264</v>
      </c>
      <c r="D20" s="9"/>
      <c r="E20" s="9"/>
    </row>
    <row r="21" spans="1:5" x14ac:dyDescent="0.25">
      <c r="A21" s="9" t="s">
        <v>101</v>
      </c>
      <c r="B21" s="9" t="s">
        <v>88</v>
      </c>
      <c r="C21" s="9" t="s">
        <v>265</v>
      </c>
      <c r="D21" s="9" t="s">
        <v>107</v>
      </c>
      <c r="E21" s="11">
        <v>20231</v>
      </c>
    </row>
    <row r="22" spans="1:5" x14ac:dyDescent="0.25">
      <c r="A22" s="9" t="s">
        <v>102</v>
      </c>
      <c r="B22" s="9" t="s">
        <v>103</v>
      </c>
      <c r="C22" s="9" t="s">
        <v>264</v>
      </c>
      <c r="D22" s="9"/>
      <c r="E22" s="9"/>
    </row>
    <row r="23" spans="1:5" x14ac:dyDescent="0.25">
      <c r="A23" s="9" t="s">
        <v>104</v>
      </c>
      <c r="B23" s="9" t="s">
        <v>105</v>
      </c>
      <c r="C23" s="9" t="s">
        <v>264</v>
      </c>
      <c r="D23" s="9"/>
      <c r="E23" s="9"/>
    </row>
    <row r="24" spans="1:5" x14ac:dyDescent="0.25">
      <c r="A24" s="9" t="s">
        <v>87</v>
      </c>
      <c r="B24" s="9" t="s">
        <v>88</v>
      </c>
      <c r="C24" s="9" t="s">
        <v>264</v>
      </c>
      <c r="D24" s="9"/>
      <c r="E24" s="9"/>
    </row>
    <row r="25" spans="1:5" x14ac:dyDescent="0.25">
      <c r="A25" s="9" t="s">
        <v>106</v>
      </c>
      <c r="B25" s="9" t="s">
        <v>107</v>
      </c>
      <c r="C25" s="9" t="s">
        <v>264</v>
      </c>
      <c r="D25" s="9"/>
      <c r="E25" s="9"/>
    </row>
    <row r="26" spans="1:5" x14ac:dyDescent="0.25">
      <c r="A26" s="9" t="s">
        <v>108</v>
      </c>
      <c r="B26" s="9" t="s">
        <v>109</v>
      </c>
      <c r="C26" s="9" t="s">
        <v>264</v>
      </c>
      <c r="D26" s="9"/>
      <c r="E26" s="9"/>
    </row>
    <row r="27" spans="1:5" x14ac:dyDescent="0.25">
      <c r="A27" s="9" t="s">
        <v>110</v>
      </c>
      <c r="B27" s="9" t="s">
        <v>111</v>
      </c>
      <c r="C27" s="9" t="s">
        <v>264</v>
      </c>
      <c r="D27" s="9"/>
      <c r="E27" s="9"/>
    </row>
    <row r="28" spans="1:5" x14ac:dyDescent="0.25">
      <c r="A28" s="9" t="s">
        <v>112</v>
      </c>
      <c r="B28" s="9" t="s">
        <v>113</v>
      </c>
      <c r="C28" s="9" t="s">
        <v>264</v>
      </c>
      <c r="D28" s="9"/>
      <c r="E28" s="9"/>
    </row>
    <row r="29" spans="1:5" x14ac:dyDescent="0.25">
      <c r="A29" s="9" t="s">
        <v>114</v>
      </c>
      <c r="B29" s="9" t="s">
        <v>115</v>
      </c>
      <c r="C29" s="9" t="s">
        <v>264</v>
      </c>
      <c r="D29" s="9"/>
      <c r="E29" s="9"/>
    </row>
    <row r="30" spans="1:5" x14ac:dyDescent="0.25">
      <c r="A30" s="9" t="s">
        <v>116</v>
      </c>
      <c r="B30" s="9" t="s">
        <v>9</v>
      </c>
      <c r="C30" s="9" t="s">
        <v>264</v>
      </c>
      <c r="D30" s="9"/>
      <c r="E30" s="9"/>
    </row>
    <row r="31" spans="1:5" x14ac:dyDescent="0.25">
      <c r="A31" s="9" t="s">
        <v>117</v>
      </c>
      <c r="B31" s="9" t="s">
        <v>9</v>
      </c>
      <c r="C31" s="9" t="s">
        <v>264</v>
      </c>
      <c r="D31" s="9"/>
      <c r="E31" s="9"/>
    </row>
    <row r="32" spans="1:5" x14ac:dyDescent="0.25">
      <c r="A32" s="9" t="s">
        <v>118</v>
      </c>
      <c r="B32" s="9" t="s">
        <v>119</v>
      </c>
      <c r="C32" s="9" t="s">
        <v>264</v>
      </c>
      <c r="D32" s="9"/>
      <c r="E32" s="9"/>
    </row>
    <row r="33" spans="1:5" x14ac:dyDescent="0.25">
      <c r="A33" s="9" t="s">
        <v>120</v>
      </c>
      <c r="B33" s="9" t="s">
        <v>121</v>
      </c>
      <c r="C33" s="9" t="s">
        <v>264</v>
      </c>
      <c r="D33" s="9"/>
      <c r="E33" s="9"/>
    </row>
    <row r="34" spans="1:5" x14ac:dyDescent="0.25">
      <c r="A34" s="9" t="s">
        <v>122</v>
      </c>
      <c r="B34" s="9" t="s">
        <v>123</v>
      </c>
      <c r="C34" s="9" t="s">
        <v>264</v>
      </c>
      <c r="D34" s="9"/>
      <c r="E34" s="9"/>
    </row>
    <row r="35" spans="1:5" x14ac:dyDescent="0.25">
      <c r="A35" s="9" t="s">
        <v>124</v>
      </c>
      <c r="B35" s="9" t="s">
        <v>125</v>
      </c>
      <c r="C35" s="9" t="s">
        <v>264</v>
      </c>
      <c r="D35" s="9"/>
      <c r="E35" s="9"/>
    </row>
    <row r="36" spans="1:5" x14ac:dyDescent="0.25">
      <c r="A36" s="9" t="s">
        <v>126</v>
      </c>
      <c r="B36" s="9" t="s">
        <v>123</v>
      </c>
      <c r="C36" s="9" t="s">
        <v>265</v>
      </c>
      <c r="D36" s="9" t="s">
        <v>269</v>
      </c>
      <c r="E36" s="9"/>
    </row>
    <row r="37" spans="1:5" x14ac:dyDescent="0.25">
      <c r="A37" s="9" t="s">
        <v>127</v>
      </c>
      <c r="B37" s="9" t="s">
        <v>9</v>
      </c>
      <c r="C37" s="9" t="s">
        <v>264</v>
      </c>
      <c r="D37" s="9"/>
      <c r="E37" s="9"/>
    </row>
    <row r="38" spans="1:5" x14ac:dyDescent="0.25">
      <c r="A38" s="9" t="s">
        <v>128</v>
      </c>
      <c r="B38" s="9" t="s">
        <v>9</v>
      </c>
      <c r="C38" s="9" t="s">
        <v>264</v>
      </c>
      <c r="D38" s="9"/>
      <c r="E38" s="9"/>
    </row>
    <row r="39" spans="1:5" x14ac:dyDescent="0.25">
      <c r="A39" s="9" t="s">
        <v>129</v>
      </c>
      <c r="B39" s="9" t="s">
        <v>9</v>
      </c>
      <c r="C39" s="9" t="s">
        <v>264</v>
      </c>
      <c r="D39" s="9"/>
      <c r="E39" s="9"/>
    </row>
    <row r="40" spans="1:5" x14ac:dyDescent="0.25">
      <c r="A40" s="9" t="s">
        <v>130</v>
      </c>
      <c r="B40" s="9" t="s">
        <v>130</v>
      </c>
      <c r="C40" s="9" t="s">
        <v>264</v>
      </c>
      <c r="D40" s="9"/>
      <c r="E40" s="9"/>
    </row>
    <row r="41" spans="1:5" x14ac:dyDescent="0.25">
      <c r="A41" s="9" t="s">
        <v>131</v>
      </c>
      <c r="B41" s="9" t="s">
        <v>131</v>
      </c>
      <c r="C41" s="9" t="s">
        <v>264</v>
      </c>
      <c r="D41" s="9"/>
      <c r="E41" s="9"/>
    </row>
    <row r="42" spans="1:5" x14ac:dyDescent="0.25">
      <c r="A42" s="9" t="s">
        <v>132</v>
      </c>
      <c r="B42" s="9" t="s">
        <v>133</v>
      </c>
      <c r="C42" s="9" t="s">
        <v>264</v>
      </c>
      <c r="D42" s="9"/>
      <c r="E42" s="9"/>
    </row>
    <row r="43" spans="1:5" x14ac:dyDescent="0.25">
      <c r="A43" s="9" t="s">
        <v>134</v>
      </c>
      <c r="B43" s="9" t="s">
        <v>135</v>
      </c>
      <c r="C43" s="9" t="s">
        <v>264</v>
      </c>
      <c r="D43" s="9"/>
      <c r="E43" s="9"/>
    </row>
    <row r="44" spans="1:5" x14ac:dyDescent="0.25">
      <c r="A44" s="9" t="s">
        <v>136</v>
      </c>
      <c r="B44" s="9" t="s">
        <v>137</v>
      </c>
      <c r="C44" s="12" t="s">
        <v>264</v>
      </c>
      <c r="D44" s="9"/>
      <c r="E44" s="9"/>
    </row>
    <row r="45" spans="1:5" x14ac:dyDescent="0.25">
      <c r="A45" s="9" t="s">
        <v>138</v>
      </c>
      <c r="B45" s="9" t="s">
        <v>139</v>
      </c>
      <c r="C45" s="9" t="s">
        <v>264</v>
      </c>
      <c r="D45" s="9"/>
      <c r="E45" s="9"/>
    </row>
    <row r="46" spans="1:5" x14ac:dyDescent="0.25">
      <c r="A46" s="9" t="s">
        <v>140</v>
      </c>
      <c r="B46" s="9" t="s">
        <v>141</v>
      </c>
      <c r="C46" s="12" t="s">
        <v>264</v>
      </c>
      <c r="D46" s="9"/>
      <c r="E46" s="9"/>
    </row>
    <row r="47" spans="1:5" x14ac:dyDescent="0.25">
      <c r="A47" s="9" t="s">
        <v>142</v>
      </c>
      <c r="B47" s="9" t="s">
        <v>9</v>
      </c>
      <c r="C47" s="9" t="s">
        <v>264</v>
      </c>
      <c r="D47" s="9"/>
      <c r="E47" s="9"/>
    </row>
    <row r="48" spans="1:5" x14ac:dyDescent="0.25">
      <c r="A48" s="9" t="s">
        <v>129</v>
      </c>
      <c r="B48" s="9" t="s">
        <v>9</v>
      </c>
      <c r="C48" s="12" t="s">
        <v>264</v>
      </c>
      <c r="D48" s="9"/>
      <c r="E48" s="9"/>
    </row>
    <row r="49" spans="1:5" x14ac:dyDescent="0.25">
      <c r="A49" s="9" t="s">
        <v>130</v>
      </c>
      <c r="B49" s="9" t="s">
        <v>130</v>
      </c>
      <c r="C49" s="9" t="s">
        <v>264</v>
      </c>
      <c r="D49" s="9"/>
      <c r="E49" s="9"/>
    </row>
    <row r="50" spans="1:5" x14ac:dyDescent="0.25">
      <c r="A50" s="9" t="s">
        <v>131</v>
      </c>
      <c r="B50" s="9" t="s">
        <v>131</v>
      </c>
      <c r="C50" s="9" t="s">
        <v>264</v>
      </c>
      <c r="D50" s="9"/>
      <c r="E50" s="9"/>
    </row>
    <row r="51" spans="1:5" x14ac:dyDescent="0.25">
      <c r="A51" s="9" t="s">
        <v>143</v>
      </c>
      <c r="B51" s="9" t="s">
        <v>144</v>
      </c>
      <c r="C51" s="9" t="s">
        <v>265</v>
      </c>
      <c r="D51" s="9" t="s">
        <v>271</v>
      </c>
      <c r="E51" s="9"/>
    </row>
    <row r="52" spans="1:5" x14ac:dyDescent="0.25">
      <c r="A52" s="9" t="s">
        <v>145</v>
      </c>
      <c r="B52" s="9" t="s">
        <v>144</v>
      </c>
      <c r="C52" s="9" t="s">
        <v>264</v>
      </c>
      <c r="D52" s="9"/>
      <c r="E52" s="9"/>
    </row>
    <row r="53" spans="1:5" x14ac:dyDescent="0.25">
      <c r="A53" s="9" t="s">
        <v>146</v>
      </c>
      <c r="B53" s="9" t="s">
        <v>144</v>
      </c>
      <c r="C53" s="9" t="s">
        <v>264</v>
      </c>
      <c r="D53" s="9"/>
      <c r="E53" s="9"/>
    </row>
    <row r="54" spans="1:5" x14ac:dyDescent="0.25">
      <c r="A54" s="9" t="s">
        <v>132</v>
      </c>
      <c r="B54" s="9" t="s">
        <v>133</v>
      </c>
      <c r="C54" s="9" t="s">
        <v>265</v>
      </c>
      <c r="D54" s="9" t="s">
        <v>278</v>
      </c>
      <c r="E54" s="11">
        <v>20214</v>
      </c>
    </row>
    <row r="55" spans="1:5" x14ac:dyDescent="0.25">
      <c r="A55" s="9" t="s">
        <v>134</v>
      </c>
      <c r="B55" s="9" t="s">
        <v>135</v>
      </c>
      <c r="C55" s="9" t="s">
        <v>265</v>
      </c>
      <c r="D55" s="9" t="s">
        <v>279</v>
      </c>
      <c r="E55" s="11">
        <v>13767</v>
      </c>
    </row>
    <row r="56" spans="1:5" x14ac:dyDescent="0.25">
      <c r="A56" s="9" t="s">
        <v>147</v>
      </c>
      <c r="B56" s="9" t="s">
        <v>148</v>
      </c>
      <c r="C56" s="9" t="s">
        <v>264</v>
      </c>
      <c r="D56" s="9"/>
      <c r="E56" s="9"/>
    </row>
    <row r="57" spans="1:5" x14ac:dyDescent="0.25">
      <c r="A57" s="9" t="s">
        <v>149</v>
      </c>
      <c r="B57" s="9" t="s">
        <v>150</v>
      </c>
      <c r="C57" s="9" t="s">
        <v>264</v>
      </c>
      <c r="D57" s="9"/>
      <c r="E57" s="9"/>
    </row>
    <row r="58" spans="1:5" x14ac:dyDescent="0.25">
      <c r="A58" s="9" t="s">
        <v>151</v>
      </c>
      <c r="B58" s="9" t="s">
        <v>152</v>
      </c>
      <c r="C58" s="9" t="s">
        <v>264</v>
      </c>
      <c r="D58" s="9"/>
      <c r="E58" s="9"/>
    </row>
    <row r="59" spans="1:5" x14ac:dyDescent="0.25">
      <c r="A59" s="9" t="s">
        <v>153</v>
      </c>
      <c r="B59" s="9" t="s">
        <v>43</v>
      </c>
      <c r="C59" s="9" t="s">
        <v>264</v>
      </c>
      <c r="D59" s="9"/>
      <c r="E59" s="9"/>
    </row>
    <row r="60" spans="1:5" x14ac:dyDescent="0.25">
      <c r="A60" s="9" t="s">
        <v>154</v>
      </c>
      <c r="B60" s="9" t="s">
        <v>155</v>
      </c>
      <c r="C60" s="9" t="s">
        <v>264</v>
      </c>
      <c r="D60" s="9"/>
      <c r="E6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/>
  </sheetViews>
  <sheetFormatPr defaultRowHeight="15" x14ac:dyDescent="0.25"/>
  <cols>
    <col min="1" max="1" width="75.5703125" customWidth="1"/>
    <col min="2" max="2" width="51.42578125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43</v>
      </c>
    </row>
    <row r="2" spans="1:8" x14ac:dyDescent="0.25">
      <c r="A2" s="9" t="s">
        <v>35</v>
      </c>
      <c r="B2" s="9" t="s">
        <v>156</v>
      </c>
      <c r="C2" s="9" t="s">
        <v>264</v>
      </c>
      <c r="D2" s="9"/>
      <c r="E2" s="9"/>
      <c r="G2" s="5" t="s">
        <v>265</v>
      </c>
      <c r="H2" s="6">
        <f>COUNTIF(C:C,G2)</f>
        <v>11</v>
      </c>
    </row>
    <row r="3" spans="1:8" ht="15.75" thickBot="1" x14ac:dyDescent="0.3">
      <c r="A3" s="9" t="s">
        <v>157</v>
      </c>
      <c r="B3" s="9" t="s">
        <v>9</v>
      </c>
      <c r="C3" s="9" t="s">
        <v>264</v>
      </c>
      <c r="D3" s="9"/>
      <c r="E3" s="9"/>
      <c r="G3" s="7" t="s">
        <v>266</v>
      </c>
      <c r="H3" s="8">
        <f>H1/SUM(H1:H2)</f>
        <v>0.79629629629629628</v>
      </c>
    </row>
    <row r="4" spans="1:8" x14ac:dyDescent="0.25">
      <c r="A4" s="9" t="s">
        <v>20</v>
      </c>
      <c r="B4" s="9" t="s">
        <v>158</v>
      </c>
      <c r="C4" s="9" t="s">
        <v>264</v>
      </c>
      <c r="D4" s="9"/>
      <c r="E4" s="9"/>
    </row>
    <row r="5" spans="1:8" x14ac:dyDescent="0.25">
      <c r="A5" s="9" t="s">
        <v>159</v>
      </c>
      <c r="B5" s="9" t="s">
        <v>160</v>
      </c>
      <c r="C5" s="9" t="s">
        <v>264</v>
      </c>
      <c r="D5" s="9"/>
      <c r="E5" s="9"/>
    </row>
    <row r="6" spans="1:8" x14ac:dyDescent="0.25">
      <c r="A6" s="9" t="s">
        <v>161</v>
      </c>
      <c r="B6" s="9" t="s">
        <v>162</v>
      </c>
      <c r="C6" s="9" t="s">
        <v>264</v>
      </c>
      <c r="D6" s="9"/>
      <c r="E6" s="9"/>
    </row>
    <row r="7" spans="1:8" x14ac:dyDescent="0.25">
      <c r="A7" s="9" t="s">
        <v>163</v>
      </c>
      <c r="B7" s="9" t="s">
        <v>164</v>
      </c>
      <c r="C7" s="9" t="s">
        <v>264</v>
      </c>
      <c r="D7" s="9"/>
      <c r="E7" s="9"/>
    </row>
    <row r="8" spans="1:8" x14ac:dyDescent="0.25">
      <c r="A8" s="9" t="s">
        <v>165</v>
      </c>
      <c r="B8" s="9" t="s">
        <v>166</v>
      </c>
      <c r="C8" s="9" t="s">
        <v>265</v>
      </c>
      <c r="D8" s="9" t="s">
        <v>289</v>
      </c>
      <c r="E8" s="11"/>
    </row>
    <row r="9" spans="1:8" s="14" customFormat="1" x14ac:dyDescent="0.25">
      <c r="A9" s="9" t="s">
        <v>167</v>
      </c>
      <c r="B9" s="9" t="s">
        <v>160</v>
      </c>
      <c r="C9" s="9" t="s">
        <v>265</v>
      </c>
      <c r="D9" s="9" t="s">
        <v>255</v>
      </c>
      <c r="E9" s="11">
        <v>17542</v>
      </c>
    </row>
    <row r="10" spans="1:8" x14ac:dyDescent="0.25">
      <c r="A10" s="9" t="s">
        <v>168</v>
      </c>
      <c r="B10" s="9" t="s">
        <v>164</v>
      </c>
      <c r="C10" s="9" t="s">
        <v>265</v>
      </c>
      <c r="D10" s="9" t="s">
        <v>255</v>
      </c>
      <c r="E10" s="11">
        <v>17542</v>
      </c>
    </row>
    <row r="11" spans="1:8" x14ac:dyDescent="0.25">
      <c r="A11" s="9" t="s">
        <v>169</v>
      </c>
      <c r="B11" s="9" t="s">
        <v>170</v>
      </c>
      <c r="C11" s="9" t="s">
        <v>264</v>
      </c>
      <c r="D11" s="9"/>
      <c r="E11" s="9"/>
    </row>
    <row r="12" spans="1:8" x14ac:dyDescent="0.25">
      <c r="A12" s="9" t="s">
        <v>171</v>
      </c>
      <c r="B12" s="9" t="s">
        <v>172</v>
      </c>
      <c r="C12" s="9" t="s">
        <v>264</v>
      </c>
      <c r="D12" s="9"/>
      <c r="E12" s="9"/>
    </row>
    <row r="13" spans="1:8" x14ac:dyDescent="0.25">
      <c r="A13" s="9" t="s">
        <v>173</v>
      </c>
      <c r="B13" s="9" t="s">
        <v>174</v>
      </c>
      <c r="C13" s="9" t="s">
        <v>264</v>
      </c>
      <c r="D13" s="9"/>
      <c r="E13" s="9"/>
    </row>
    <row r="14" spans="1:8" x14ac:dyDescent="0.25">
      <c r="A14" s="9" t="s">
        <v>175</v>
      </c>
      <c r="B14" s="9" t="s">
        <v>176</v>
      </c>
      <c r="C14" s="9" t="s">
        <v>264</v>
      </c>
      <c r="D14" s="9"/>
      <c r="E14" s="9"/>
    </row>
    <row r="15" spans="1:8" x14ac:dyDescent="0.25">
      <c r="A15" s="9" t="s">
        <v>177</v>
      </c>
      <c r="B15" s="9" t="s">
        <v>178</v>
      </c>
      <c r="C15" s="9" t="s">
        <v>264</v>
      </c>
      <c r="D15" s="9"/>
      <c r="E15" s="9"/>
    </row>
    <row r="16" spans="1:8" x14ac:dyDescent="0.25">
      <c r="A16" s="9" t="s">
        <v>18</v>
      </c>
      <c r="B16" s="9" t="s">
        <v>179</v>
      </c>
      <c r="C16" s="9" t="s">
        <v>264</v>
      </c>
      <c r="D16" s="9"/>
      <c r="E16" s="9"/>
    </row>
    <row r="17" spans="1:5" x14ac:dyDescent="0.25">
      <c r="A17" s="9" t="s">
        <v>180</v>
      </c>
      <c r="B17" s="9" t="s">
        <v>181</v>
      </c>
      <c r="C17" s="9" t="s">
        <v>265</v>
      </c>
      <c r="D17" s="9" t="s">
        <v>219</v>
      </c>
      <c r="E17" s="11">
        <v>30481</v>
      </c>
    </row>
    <row r="18" spans="1:5" x14ac:dyDescent="0.25">
      <c r="A18" s="9" t="s">
        <v>182</v>
      </c>
      <c r="B18" s="9" t="s">
        <v>183</v>
      </c>
      <c r="C18" s="9" t="s">
        <v>264</v>
      </c>
      <c r="D18" s="9"/>
      <c r="E18" s="9"/>
    </row>
    <row r="19" spans="1:5" x14ac:dyDescent="0.25">
      <c r="A19" s="9" t="s">
        <v>184</v>
      </c>
      <c r="B19" s="9" t="s">
        <v>185</v>
      </c>
      <c r="C19" s="9" t="s">
        <v>264</v>
      </c>
      <c r="D19" s="9"/>
      <c r="E19" s="9"/>
    </row>
    <row r="20" spans="1:5" x14ac:dyDescent="0.25">
      <c r="A20" s="9" t="s">
        <v>186</v>
      </c>
      <c r="B20" s="9" t="s">
        <v>9</v>
      </c>
      <c r="C20" s="9" t="s">
        <v>264</v>
      </c>
      <c r="D20" s="9"/>
      <c r="E20" s="9"/>
    </row>
    <row r="21" spans="1:5" x14ac:dyDescent="0.25">
      <c r="A21" s="9" t="s">
        <v>187</v>
      </c>
      <c r="B21" s="9" t="s">
        <v>188</v>
      </c>
      <c r="C21" s="9" t="s">
        <v>264</v>
      </c>
      <c r="D21" s="9"/>
      <c r="E21" s="9"/>
    </row>
    <row r="22" spans="1:5" x14ac:dyDescent="0.25">
      <c r="A22" s="9" t="s">
        <v>189</v>
      </c>
      <c r="B22" s="9" t="s">
        <v>190</v>
      </c>
      <c r="C22" s="9" t="s">
        <v>264</v>
      </c>
      <c r="D22" s="9"/>
      <c r="E22" s="9"/>
    </row>
    <row r="23" spans="1:5" x14ac:dyDescent="0.25">
      <c r="A23" s="9" t="s">
        <v>191</v>
      </c>
      <c r="B23" s="9" t="s">
        <v>192</v>
      </c>
      <c r="C23" s="9" t="s">
        <v>264</v>
      </c>
      <c r="D23" s="9"/>
      <c r="E23" s="9"/>
    </row>
    <row r="24" spans="1:5" x14ac:dyDescent="0.25">
      <c r="A24" s="9" t="s">
        <v>193</v>
      </c>
      <c r="B24" s="9" t="s">
        <v>192</v>
      </c>
      <c r="C24" s="9" t="s">
        <v>265</v>
      </c>
      <c r="D24" s="9" t="s">
        <v>196</v>
      </c>
      <c r="E24" s="11">
        <v>30518</v>
      </c>
    </row>
    <row r="25" spans="1:5" x14ac:dyDescent="0.25">
      <c r="A25" s="9" t="s">
        <v>194</v>
      </c>
      <c r="B25" s="9" t="s">
        <v>98</v>
      </c>
      <c r="C25" s="9" t="s">
        <v>264</v>
      </c>
      <c r="D25" s="9"/>
      <c r="E25" s="9"/>
    </row>
    <row r="26" spans="1:5" x14ac:dyDescent="0.25">
      <c r="A26" s="9" t="s">
        <v>195</v>
      </c>
      <c r="B26" s="9" t="s">
        <v>196</v>
      </c>
      <c r="C26" s="9" t="s">
        <v>264</v>
      </c>
      <c r="D26" s="9"/>
      <c r="E26" s="9"/>
    </row>
    <row r="27" spans="1:5" x14ac:dyDescent="0.25">
      <c r="A27" s="9" t="s">
        <v>197</v>
      </c>
      <c r="B27" s="9" t="s">
        <v>198</v>
      </c>
      <c r="C27" s="9" t="s">
        <v>264</v>
      </c>
      <c r="D27" s="9"/>
      <c r="E27" s="9"/>
    </row>
    <row r="28" spans="1:5" x14ac:dyDescent="0.25">
      <c r="A28" s="9" t="s">
        <v>199</v>
      </c>
      <c r="B28" s="9" t="s">
        <v>200</v>
      </c>
      <c r="C28" s="9" t="s">
        <v>264</v>
      </c>
      <c r="D28" s="9"/>
      <c r="E28" s="9"/>
    </row>
    <row r="29" spans="1:5" x14ac:dyDescent="0.25">
      <c r="A29" s="9" t="s">
        <v>201</v>
      </c>
      <c r="B29" s="9" t="s">
        <v>202</v>
      </c>
      <c r="C29" s="9" t="s">
        <v>264</v>
      </c>
      <c r="D29" s="9"/>
      <c r="E29" s="9"/>
    </row>
    <row r="30" spans="1:5" x14ac:dyDescent="0.25">
      <c r="A30" s="9" t="s">
        <v>203</v>
      </c>
      <c r="B30" s="9" t="s">
        <v>9</v>
      </c>
      <c r="C30" s="9" t="s">
        <v>264</v>
      </c>
      <c r="D30" s="9"/>
      <c r="E30" s="9"/>
    </row>
    <row r="31" spans="1:5" x14ac:dyDescent="0.25">
      <c r="A31" s="9" t="s">
        <v>204</v>
      </c>
      <c r="B31" s="9" t="s">
        <v>205</v>
      </c>
      <c r="C31" s="9" t="s">
        <v>264</v>
      </c>
      <c r="D31" s="9"/>
      <c r="E31" s="9"/>
    </row>
    <row r="32" spans="1:5" x14ac:dyDescent="0.25">
      <c r="A32" s="9" t="s">
        <v>206</v>
      </c>
      <c r="B32" s="9" t="s">
        <v>207</v>
      </c>
      <c r="C32" s="9" t="s">
        <v>264</v>
      </c>
      <c r="D32" s="9"/>
      <c r="E32" s="9"/>
    </row>
    <row r="33" spans="1:5" x14ac:dyDescent="0.25">
      <c r="A33" s="9" t="s">
        <v>208</v>
      </c>
      <c r="B33" s="9" t="s">
        <v>209</v>
      </c>
      <c r="C33" s="9" t="s">
        <v>264</v>
      </c>
      <c r="D33" s="9"/>
      <c r="E33" s="9"/>
    </row>
    <row r="34" spans="1:5" x14ac:dyDescent="0.25">
      <c r="A34" s="9" t="s">
        <v>210</v>
      </c>
      <c r="B34" s="9" t="s">
        <v>211</v>
      </c>
      <c r="C34" s="9" t="s">
        <v>264</v>
      </c>
      <c r="D34" s="9"/>
      <c r="E34" s="9"/>
    </row>
    <row r="35" spans="1:5" x14ac:dyDescent="0.25">
      <c r="A35" s="9" t="s">
        <v>212</v>
      </c>
      <c r="B35" s="9" t="s">
        <v>213</v>
      </c>
      <c r="C35" s="9" t="s">
        <v>265</v>
      </c>
      <c r="D35" s="9" t="s">
        <v>215</v>
      </c>
      <c r="E35" s="11">
        <v>30419</v>
      </c>
    </row>
    <row r="36" spans="1:5" x14ac:dyDescent="0.25">
      <c r="A36" s="9" t="s">
        <v>214</v>
      </c>
      <c r="B36" s="9" t="s">
        <v>215</v>
      </c>
      <c r="C36" s="9" t="s">
        <v>264</v>
      </c>
      <c r="D36" s="9"/>
      <c r="E36" s="9"/>
    </row>
    <row r="37" spans="1:5" x14ac:dyDescent="0.25">
      <c r="A37" s="9" t="s">
        <v>216</v>
      </c>
      <c r="B37" s="9" t="s">
        <v>217</v>
      </c>
      <c r="C37" s="9" t="s">
        <v>264</v>
      </c>
      <c r="D37" s="9"/>
      <c r="E37" s="9"/>
    </row>
    <row r="38" spans="1:5" x14ac:dyDescent="0.25">
      <c r="A38" s="9" t="s">
        <v>218</v>
      </c>
      <c r="B38" s="9" t="s">
        <v>219</v>
      </c>
      <c r="C38" s="9" t="s">
        <v>265</v>
      </c>
      <c r="D38" s="9" t="s">
        <v>181</v>
      </c>
      <c r="E38" s="11">
        <v>30485</v>
      </c>
    </row>
    <row r="39" spans="1:5" x14ac:dyDescent="0.25">
      <c r="A39" s="9" t="s">
        <v>220</v>
      </c>
      <c r="B39" s="9" t="s">
        <v>183</v>
      </c>
      <c r="C39" s="9" t="s">
        <v>264</v>
      </c>
      <c r="D39" s="9"/>
      <c r="E39" s="9"/>
    </row>
    <row r="40" spans="1:5" x14ac:dyDescent="0.25">
      <c r="A40" s="9" t="s">
        <v>221</v>
      </c>
      <c r="B40" s="9" t="s">
        <v>222</v>
      </c>
      <c r="C40" s="9" t="s">
        <v>264</v>
      </c>
      <c r="D40" s="9"/>
      <c r="E40" s="9"/>
    </row>
    <row r="41" spans="1:5" x14ac:dyDescent="0.25">
      <c r="A41" s="9" t="s">
        <v>223</v>
      </c>
      <c r="B41" s="9" t="s">
        <v>222</v>
      </c>
      <c r="C41" s="9" t="s">
        <v>264</v>
      </c>
      <c r="D41" s="9"/>
      <c r="E41" s="9"/>
    </row>
    <row r="42" spans="1:5" x14ac:dyDescent="0.25">
      <c r="A42" s="9" t="s">
        <v>224</v>
      </c>
      <c r="B42" s="9" t="s">
        <v>225</v>
      </c>
      <c r="C42" s="9" t="s">
        <v>264</v>
      </c>
      <c r="D42" s="9"/>
      <c r="E42" s="9"/>
    </row>
    <row r="43" spans="1:5" x14ac:dyDescent="0.25">
      <c r="A43" s="9" t="s">
        <v>226</v>
      </c>
      <c r="B43" s="9" t="s">
        <v>9</v>
      </c>
      <c r="C43" s="9" t="s">
        <v>264</v>
      </c>
      <c r="D43" s="9"/>
      <c r="E43" s="9"/>
    </row>
    <row r="44" spans="1:5" x14ac:dyDescent="0.25">
      <c r="A44" s="9" t="s">
        <v>227</v>
      </c>
      <c r="B44" s="9" t="s">
        <v>213</v>
      </c>
      <c r="C44" s="9" t="s">
        <v>265</v>
      </c>
      <c r="D44" s="9" t="s">
        <v>282</v>
      </c>
      <c r="E44" s="11">
        <v>17553</v>
      </c>
    </row>
    <row r="45" spans="1:5" x14ac:dyDescent="0.25">
      <c r="A45" s="9" t="s">
        <v>228</v>
      </c>
      <c r="B45" s="9" t="s">
        <v>9</v>
      </c>
      <c r="C45" s="9" t="s">
        <v>265</v>
      </c>
      <c r="D45" s="9" t="s">
        <v>283</v>
      </c>
      <c r="E45" s="11">
        <v>17555</v>
      </c>
    </row>
    <row r="46" spans="1:5" x14ac:dyDescent="0.25">
      <c r="A46" s="9" t="s">
        <v>229</v>
      </c>
      <c r="B46" s="9" t="s">
        <v>230</v>
      </c>
      <c r="C46" s="9" t="s">
        <v>264</v>
      </c>
      <c r="D46" s="9"/>
      <c r="E46" s="9"/>
    </row>
    <row r="47" spans="1:5" x14ac:dyDescent="0.25">
      <c r="A47" s="9" t="s">
        <v>231</v>
      </c>
      <c r="B47" s="9" t="s">
        <v>213</v>
      </c>
      <c r="C47" s="9" t="s">
        <v>264</v>
      </c>
      <c r="D47" s="9"/>
      <c r="E47" s="9"/>
    </row>
    <row r="48" spans="1:5" x14ac:dyDescent="0.25">
      <c r="A48" s="9" t="s">
        <v>232</v>
      </c>
      <c r="B48" s="9" t="s">
        <v>233</v>
      </c>
      <c r="C48" s="9" t="s">
        <v>264</v>
      </c>
      <c r="D48" s="9"/>
      <c r="E48" s="9"/>
    </row>
    <row r="49" spans="1:5" x14ac:dyDescent="0.25">
      <c r="A49" s="9" t="s">
        <v>234</v>
      </c>
      <c r="B49" s="9" t="s">
        <v>179</v>
      </c>
      <c r="C49" s="9" t="s">
        <v>265</v>
      </c>
      <c r="D49" s="9" t="s">
        <v>284</v>
      </c>
      <c r="E49" s="11">
        <v>30484</v>
      </c>
    </row>
    <row r="50" spans="1:5" x14ac:dyDescent="0.25">
      <c r="A50" s="9" t="s">
        <v>235</v>
      </c>
      <c r="B50" s="9" t="s">
        <v>236</v>
      </c>
      <c r="C50" s="9" t="s">
        <v>264</v>
      </c>
      <c r="D50" s="9"/>
      <c r="E50" s="9"/>
    </row>
    <row r="51" spans="1:5" x14ac:dyDescent="0.25">
      <c r="A51" s="9" t="s">
        <v>237</v>
      </c>
      <c r="B51" s="9" t="s">
        <v>238</v>
      </c>
      <c r="C51" s="9" t="s">
        <v>264</v>
      </c>
      <c r="D51" s="9"/>
      <c r="E51" s="9"/>
    </row>
    <row r="52" spans="1:5" x14ac:dyDescent="0.25">
      <c r="A52" s="9" t="s">
        <v>239</v>
      </c>
      <c r="B52" s="9" t="s">
        <v>240</v>
      </c>
      <c r="C52" s="9" t="s">
        <v>264</v>
      </c>
      <c r="D52" s="9"/>
      <c r="E52" s="9"/>
    </row>
    <row r="53" spans="1:5" x14ac:dyDescent="0.25">
      <c r="A53" s="9" t="s">
        <v>241</v>
      </c>
      <c r="B53" s="9" t="s">
        <v>242</v>
      </c>
      <c r="C53" s="9" t="s">
        <v>264</v>
      </c>
      <c r="D53" s="9"/>
      <c r="E53" s="9"/>
    </row>
    <row r="54" spans="1:5" x14ac:dyDescent="0.25">
      <c r="A54" s="9" t="s">
        <v>243</v>
      </c>
      <c r="B54" s="9" t="s">
        <v>240</v>
      </c>
      <c r="C54" s="9" t="s">
        <v>265</v>
      </c>
      <c r="D54" s="9" t="s">
        <v>285</v>
      </c>
      <c r="E54" s="11">
        <v>17529</v>
      </c>
    </row>
    <row r="55" spans="1:5" x14ac:dyDescent="0.25">
      <c r="A55" s="9" t="s">
        <v>244</v>
      </c>
      <c r="B55" s="9" t="s">
        <v>245</v>
      </c>
      <c r="C55" s="9" t="s">
        <v>264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78.140625" customWidth="1"/>
    <col min="2" max="2" width="60.4257812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44</v>
      </c>
    </row>
    <row r="2" spans="1:8" x14ac:dyDescent="0.25">
      <c r="A2" s="9" t="s">
        <v>35</v>
      </c>
      <c r="B2" s="9" t="s">
        <v>156</v>
      </c>
      <c r="C2" s="9" t="s">
        <v>264</v>
      </c>
      <c r="D2" s="9"/>
      <c r="E2" s="9"/>
      <c r="G2" s="5" t="s">
        <v>265</v>
      </c>
      <c r="H2" s="6">
        <f>COUNTIF(C:C,G2)</f>
        <v>10</v>
      </c>
    </row>
    <row r="3" spans="1:8" ht="15.75" thickBot="1" x14ac:dyDescent="0.3">
      <c r="A3" s="9" t="s">
        <v>157</v>
      </c>
      <c r="B3" s="9" t="s">
        <v>9</v>
      </c>
      <c r="C3" s="9" t="s">
        <v>264</v>
      </c>
      <c r="D3" s="9"/>
      <c r="E3" s="9"/>
      <c r="G3" s="7" t="s">
        <v>266</v>
      </c>
      <c r="H3" s="8">
        <f>H1/SUM(H1:H2)</f>
        <v>0.81481481481481477</v>
      </c>
    </row>
    <row r="4" spans="1:8" x14ac:dyDescent="0.25">
      <c r="A4" s="9" t="s">
        <v>20</v>
      </c>
      <c r="B4" s="9" t="s">
        <v>158</v>
      </c>
      <c r="C4" s="9" t="s">
        <v>264</v>
      </c>
      <c r="D4" s="9"/>
      <c r="E4" s="9"/>
    </row>
    <row r="5" spans="1:8" x14ac:dyDescent="0.25">
      <c r="A5" s="9" t="s">
        <v>159</v>
      </c>
      <c r="B5" s="9" t="s">
        <v>160</v>
      </c>
      <c r="C5" s="9" t="s">
        <v>264</v>
      </c>
      <c r="D5" s="9"/>
      <c r="E5" s="9"/>
    </row>
    <row r="6" spans="1:8" x14ac:dyDescent="0.25">
      <c r="A6" s="9" t="s">
        <v>161</v>
      </c>
      <c r="B6" s="9" t="s">
        <v>162</v>
      </c>
      <c r="C6" s="9" t="s">
        <v>264</v>
      </c>
      <c r="D6" s="9"/>
      <c r="E6" s="9"/>
    </row>
    <row r="7" spans="1:8" x14ac:dyDescent="0.25">
      <c r="A7" s="9" t="s">
        <v>163</v>
      </c>
      <c r="B7" s="9" t="s">
        <v>164</v>
      </c>
      <c r="C7" s="9" t="s">
        <v>264</v>
      </c>
      <c r="D7" s="9"/>
      <c r="E7" s="9"/>
    </row>
    <row r="8" spans="1:8" x14ac:dyDescent="0.25">
      <c r="A8" s="9" t="s">
        <v>165</v>
      </c>
      <c r="B8" s="9" t="s">
        <v>166</v>
      </c>
      <c r="C8" s="9" t="s">
        <v>264</v>
      </c>
      <c r="D8" s="9"/>
      <c r="E8" s="9"/>
    </row>
    <row r="9" spans="1:8" x14ac:dyDescent="0.25">
      <c r="A9" s="9" t="s">
        <v>167</v>
      </c>
      <c r="B9" s="9" t="s">
        <v>160</v>
      </c>
      <c r="C9" s="9" t="s">
        <v>265</v>
      </c>
      <c r="D9" s="9" t="s">
        <v>255</v>
      </c>
      <c r="E9" s="11">
        <v>17542</v>
      </c>
    </row>
    <row r="10" spans="1:8" x14ac:dyDescent="0.25">
      <c r="A10" s="9" t="s">
        <v>168</v>
      </c>
      <c r="B10" s="9" t="s">
        <v>164</v>
      </c>
      <c r="C10" s="9" t="s">
        <v>265</v>
      </c>
      <c r="D10" s="9" t="s">
        <v>255</v>
      </c>
      <c r="E10" s="11">
        <v>17542</v>
      </c>
    </row>
    <row r="11" spans="1:8" x14ac:dyDescent="0.25">
      <c r="A11" s="9" t="s">
        <v>169</v>
      </c>
      <c r="B11" s="9" t="s">
        <v>170</v>
      </c>
      <c r="C11" s="9" t="s">
        <v>264</v>
      </c>
      <c r="D11" s="9"/>
      <c r="E11" s="9"/>
    </row>
    <row r="12" spans="1:8" x14ac:dyDescent="0.25">
      <c r="A12" s="9" t="s">
        <v>171</v>
      </c>
      <c r="B12" s="9" t="s">
        <v>172</v>
      </c>
      <c r="C12" s="9" t="s">
        <v>264</v>
      </c>
      <c r="D12" s="9"/>
      <c r="E12" s="9"/>
    </row>
    <row r="13" spans="1:8" x14ac:dyDescent="0.25">
      <c r="A13" s="9" t="s">
        <v>173</v>
      </c>
      <c r="B13" s="9" t="s">
        <v>174</v>
      </c>
      <c r="C13" s="9" t="s">
        <v>264</v>
      </c>
      <c r="D13" s="9"/>
      <c r="E13" s="9"/>
    </row>
    <row r="14" spans="1:8" x14ac:dyDescent="0.25">
      <c r="A14" s="9" t="s">
        <v>175</v>
      </c>
      <c r="B14" s="9" t="s">
        <v>176</v>
      </c>
      <c r="C14" s="9" t="s">
        <v>264</v>
      </c>
      <c r="D14" s="9"/>
      <c r="E14" s="9"/>
    </row>
    <row r="15" spans="1:8" x14ac:dyDescent="0.25">
      <c r="A15" s="9" t="s">
        <v>177</v>
      </c>
      <c r="B15" s="9" t="s">
        <v>178</v>
      </c>
      <c r="C15" s="9" t="s">
        <v>264</v>
      </c>
      <c r="D15" s="9"/>
      <c r="E15" s="9"/>
    </row>
    <row r="16" spans="1:8" x14ac:dyDescent="0.25">
      <c r="A16" s="9" t="s">
        <v>18</v>
      </c>
      <c r="B16" s="9" t="s">
        <v>179</v>
      </c>
      <c r="C16" s="9" t="s">
        <v>264</v>
      </c>
      <c r="D16" s="9"/>
      <c r="E16" s="9"/>
    </row>
    <row r="17" spans="1:5" x14ac:dyDescent="0.25">
      <c r="A17" s="9" t="s">
        <v>180</v>
      </c>
      <c r="B17" s="9" t="s">
        <v>181</v>
      </c>
      <c r="C17" s="9" t="s">
        <v>265</v>
      </c>
      <c r="D17" s="9" t="s">
        <v>219</v>
      </c>
      <c r="E17" s="11">
        <v>30481</v>
      </c>
    </row>
    <row r="18" spans="1:5" x14ac:dyDescent="0.25">
      <c r="A18" s="9" t="s">
        <v>182</v>
      </c>
      <c r="B18" s="9" t="s">
        <v>183</v>
      </c>
      <c r="C18" s="9" t="s">
        <v>264</v>
      </c>
      <c r="D18" s="9"/>
      <c r="E18" s="9"/>
    </row>
    <row r="19" spans="1:5" x14ac:dyDescent="0.25">
      <c r="A19" s="9" t="s">
        <v>184</v>
      </c>
      <c r="B19" s="9" t="s">
        <v>185</v>
      </c>
      <c r="C19" s="9" t="s">
        <v>264</v>
      </c>
      <c r="D19" s="9"/>
      <c r="E19" s="9"/>
    </row>
    <row r="20" spans="1:5" x14ac:dyDescent="0.25">
      <c r="A20" s="9" t="s">
        <v>186</v>
      </c>
      <c r="B20" s="9" t="s">
        <v>9</v>
      </c>
      <c r="C20" s="9" t="s">
        <v>264</v>
      </c>
      <c r="D20" s="9"/>
      <c r="E20" s="9"/>
    </row>
    <row r="21" spans="1:5" x14ac:dyDescent="0.25">
      <c r="A21" s="9" t="s">
        <v>187</v>
      </c>
      <c r="B21" s="9" t="s">
        <v>188</v>
      </c>
      <c r="C21" s="9" t="s">
        <v>264</v>
      </c>
      <c r="D21" s="9"/>
      <c r="E21" s="9"/>
    </row>
    <row r="22" spans="1:5" x14ac:dyDescent="0.25">
      <c r="A22" s="9" t="s">
        <v>189</v>
      </c>
      <c r="B22" s="9" t="s">
        <v>190</v>
      </c>
      <c r="C22" s="9" t="s">
        <v>264</v>
      </c>
      <c r="D22" s="9"/>
      <c r="E22" s="9"/>
    </row>
    <row r="23" spans="1:5" x14ac:dyDescent="0.25">
      <c r="A23" s="9" t="s">
        <v>191</v>
      </c>
      <c r="B23" s="9" t="s">
        <v>192</v>
      </c>
      <c r="C23" s="9" t="s">
        <v>264</v>
      </c>
      <c r="D23" s="9"/>
      <c r="E23" s="9"/>
    </row>
    <row r="24" spans="1:5" x14ac:dyDescent="0.25">
      <c r="A24" s="9" t="s">
        <v>193</v>
      </c>
      <c r="B24" s="9" t="s">
        <v>192</v>
      </c>
      <c r="C24" s="9" t="s">
        <v>265</v>
      </c>
      <c r="D24" s="9" t="s">
        <v>196</v>
      </c>
      <c r="E24" s="11">
        <v>30518</v>
      </c>
    </row>
    <row r="25" spans="1:5" x14ac:dyDescent="0.25">
      <c r="A25" s="9" t="s">
        <v>194</v>
      </c>
      <c r="B25" s="9" t="s">
        <v>98</v>
      </c>
      <c r="C25" s="9" t="s">
        <v>264</v>
      </c>
      <c r="D25" s="9"/>
      <c r="E25" s="9"/>
    </row>
    <row r="26" spans="1:5" x14ac:dyDescent="0.25">
      <c r="A26" s="9" t="s">
        <v>195</v>
      </c>
      <c r="B26" s="9" t="s">
        <v>196</v>
      </c>
      <c r="C26" s="9" t="s">
        <v>264</v>
      </c>
      <c r="D26" s="9"/>
      <c r="E26" s="9"/>
    </row>
    <row r="27" spans="1:5" x14ac:dyDescent="0.25">
      <c r="A27" s="9" t="s">
        <v>197</v>
      </c>
      <c r="B27" s="9" t="s">
        <v>198</v>
      </c>
      <c r="C27" s="9" t="s">
        <v>264</v>
      </c>
      <c r="D27" s="9"/>
      <c r="E27" s="9"/>
    </row>
    <row r="28" spans="1:5" x14ac:dyDescent="0.25">
      <c r="A28" s="9" t="s">
        <v>199</v>
      </c>
      <c r="B28" s="9" t="s">
        <v>200</v>
      </c>
      <c r="C28" s="9" t="s">
        <v>264</v>
      </c>
      <c r="D28" s="9"/>
      <c r="E28" s="9"/>
    </row>
    <row r="29" spans="1:5" x14ac:dyDescent="0.25">
      <c r="A29" s="9" t="s">
        <v>201</v>
      </c>
      <c r="B29" s="9" t="s">
        <v>202</v>
      </c>
      <c r="C29" s="9" t="s">
        <v>264</v>
      </c>
      <c r="D29" s="9"/>
      <c r="E29" s="9"/>
    </row>
    <row r="30" spans="1:5" x14ac:dyDescent="0.25">
      <c r="A30" s="9" t="s">
        <v>203</v>
      </c>
      <c r="B30" s="9" t="s">
        <v>9</v>
      </c>
      <c r="C30" s="9" t="s">
        <v>264</v>
      </c>
      <c r="D30" s="9"/>
      <c r="E30" s="9"/>
    </row>
    <row r="31" spans="1:5" x14ac:dyDescent="0.25">
      <c r="A31" s="9" t="s">
        <v>204</v>
      </c>
      <c r="B31" s="9" t="s">
        <v>205</v>
      </c>
      <c r="C31" s="9" t="s">
        <v>264</v>
      </c>
      <c r="D31" s="9"/>
      <c r="E31" s="9"/>
    </row>
    <row r="32" spans="1:5" x14ac:dyDescent="0.25">
      <c r="A32" s="9" t="s">
        <v>206</v>
      </c>
      <c r="B32" s="9" t="s">
        <v>207</v>
      </c>
      <c r="C32" s="9" t="s">
        <v>264</v>
      </c>
      <c r="D32" s="9"/>
      <c r="E32" s="9"/>
    </row>
    <row r="33" spans="1:5" x14ac:dyDescent="0.25">
      <c r="A33" s="9" t="s">
        <v>208</v>
      </c>
      <c r="B33" s="9" t="s">
        <v>209</v>
      </c>
      <c r="C33" s="9" t="s">
        <v>264</v>
      </c>
      <c r="D33" s="9"/>
      <c r="E33" s="9"/>
    </row>
    <row r="34" spans="1:5" x14ac:dyDescent="0.25">
      <c r="A34" s="9" t="s">
        <v>210</v>
      </c>
      <c r="B34" s="9" t="s">
        <v>211</v>
      </c>
      <c r="C34" s="9" t="s">
        <v>264</v>
      </c>
      <c r="D34" s="9"/>
      <c r="E34" s="9"/>
    </row>
    <row r="35" spans="1:5" x14ac:dyDescent="0.25">
      <c r="A35" s="9" t="s">
        <v>212</v>
      </c>
      <c r="B35" s="9" t="s">
        <v>213</v>
      </c>
      <c r="C35" s="9" t="s">
        <v>265</v>
      </c>
      <c r="D35" s="9" t="s">
        <v>215</v>
      </c>
      <c r="E35" s="11">
        <v>30419</v>
      </c>
    </row>
    <row r="36" spans="1:5" x14ac:dyDescent="0.25">
      <c r="A36" s="9" t="s">
        <v>214</v>
      </c>
      <c r="B36" s="9" t="s">
        <v>215</v>
      </c>
      <c r="C36" s="9" t="s">
        <v>264</v>
      </c>
      <c r="D36" s="9"/>
      <c r="E36" s="9"/>
    </row>
    <row r="37" spans="1:5" x14ac:dyDescent="0.25">
      <c r="A37" s="9" t="s">
        <v>216</v>
      </c>
      <c r="B37" s="9" t="s">
        <v>217</v>
      </c>
      <c r="C37" s="9" t="s">
        <v>264</v>
      </c>
      <c r="D37" s="9"/>
      <c r="E37" s="9"/>
    </row>
    <row r="38" spans="1:5" x14ac:dyDescent="0.25">
      <c r="A38" s="9" t="s">
        <v>218</v>
      </c>
      <c r="B38" s="9" t="s">
        <v>219</v>
      </c>
      <c r="C38" s="9" t="s">
        <v>265</v>
      </c>
      <c r="D38" s="9" t="s">
        <v>181</v>
      </c>
      <c r="E38" s="11">
        <v>30485</v>
      </c>
    </row>
    <row r="39" spans="1:5" x14ac:dyDescent="0.25">
      <c r="A39" s="9" t="s">
        <v>220</v>
      </c>
      <c r="B39" s="9" t="s">
        <v>183</v>
      </c>
      <c r="C39" s="9" t="s">
        <v>264</v>
      </c>
      <c r="D39" s="9"/>
      <c r="E39" s="9"/>
    </row>
    <row r="40" spans="1:5" x14ac:dyDescent="0.25">
      <c r="A40" s="9" t="s">
        <v>221</v>
      </c>
      <c r="B40" s="9" t="s">
        <v>222</v>
      </c>
      <c r="C40" s="9" t="s">
        <v>264</v>
      </c>
      <c r="D40" s="9"/>
      <c r="E40" s="9"/>
    </row>
    <row r="41" spans="1:5" x14ac:dyDescent="0.25">
      <c r="A41" s="9" t="s">
        <v>223</v>
      </c>
      <c r="B41" s="9" t="s">
        <v>222</v>
      </c>
      <c r="C41" s="9" t="s">
        <v>264</v>
      </c>
      <c r="D41" s="9"/>
      <c r="E41" s="9"/>
    </row>
    <row r="42" spans="1:5" x14ac:dyDescent="0.25">
      <c r="A42" s="9" t="s">
        <v>224</v>
      </c>
      <c r="B42" s="9" t="s">
        <v>225</v>
      </c>
      <c r="C42" s="9" t="s">
        <v>264</v>
      </c>
      <c r="D42" s="9"/>
      <c r="E42" s="9"/>
    </row>
    <row r="43" spans="1:5" x14ac:dyDescent="0.25">
      <c r="A43" s="9" t="s">
        <v>226</v>
      </c>
      <c r="B43" s="9" t="s">
        <v>9</v>
      </c>
      <c r="C43" s="9" t="s">
        <v>264</v>
      </c>
      <c r="D43" s="9"/>
      <c r="E43" s="9"/>
    </row>
    <row r="44" spans="1:5" x14ac:dyDescent="0.25">
      <c r="A44" s="9" t="s">
        <v>227</v>
      </c>
      <c r="B44" s="9" t="s">
        <v>213</v>
      </c>
      <c r="C44" s="9" t="s">
        <v>265</v>
      </c>
      <c r="D44" s="9" t="s">
        <v>282</v>
      </c>
      <c r="E44" s="11">
        <v>17553</v>
      </c>
    </row>
    <row r="45" spans="1:5" x14ac:dyDescent="0.25">
      <c r="A45" s="9" t="s">
        <v>228</v>
      </c>
      <c r="B45" s="9" t="s">
        <v>9</v>
      </c>
      <c r="C45" s="9" t="s">
        <v>265</v>
      </c>
      <c r="D45" s="9" t="s">
        <v>283</v>
      </c>
      <c r="E45" s="11">
        <v>17555</v>
      </c>
    </row>
    <row r="46" spans="1:5" x14ac:dyDescent="0.25">
      <c r="A46" s="9" t="s">
        <v>229</v>
      </c>
      <c r="B46" s="9" t="s">
        <v>230</v>
      </c>
      <c r="C46" s="9" t="s">
        <v>264</v>
      </c>
      <c r="D46" s="9"/>
      <c r="E46" s="9"/>
    </row>
    <row r="47" spans="1:5" x14ac:dyDescent="0.25">
      <c r="A47" s="9" t="s">
        <v>231</v>
      </c>
      <c r="B47" s="9" t="s">
        <v>213</v>
      </c>
      <c r="C47" s="9" t="s">
        <v>264</v>
      </c>
      <c r="D47" s="9"/>
      <c r="E47" s="9"/>
    </row>
    <row r="48" spans="1:5" x14ac:dyDescent="0.25">
      <c r="A48" s="9" t="s">
        <v>232</v>
      </c>
      <c r="B48" s="9" t="s">
        <v>233</v>
      </c>
      <c r="C48" s="9" t="s">
        <v>264</v>
      </c>
      <c r="D48" s="9"/>
      <c r="E48" s="9"/>
    </row>
    <row r="49" spans="1:5" x14ac:dyDescent="0.25">
      <c r="A49" s="9" t="s">
        <v>234</v>
      </c>
      <c r="B49" s="9" t="s">
        <v>179</v>
      </c>
      <c r="C49" s="9" t="s">
        <v>265</v>
      </c>
      <c r="D49" s="9" t="s">
        <v>284</v>
      </c>
      <c r="E49" s="11">
        <v>30484</v>
      </c>
    </row>
    <row r="50" spans="1:5" x14ac:dyDescent="0.25">
      <c r="A50" s="9" t="s">
        <v>235</v>
      </c>
      <c r="B50" s="9" t="s">
        <v>236</v>
      </c>
      <c r="C50" s="9" t="s">
        <v>264</v>
      </c>
      <c r="D50" s="9"/>
      <c r="E50" s="9"/>
    </row>
    <row r="51" spans="1:5" x14ac:dyDescent="0.25">
      <c r="A51" s="9" t="s">
        <v>237</v>
      </c>
      <c r="B51" s="9" t="s">
        <v>238</v>
      </c>
      <c r="C51" s="9" t="s">
        <v>264</v>
      </c>
      <c r="D51" s="9"/>
      <c r="E51" s="9"/>
    </row>
    <row r="52" spans="1:5" x14ac:dyDescent="0.25">
      <c r="A52" s="9" t="s">
        <v>239</v>
      </c>
      <c r="B52" s="9" t="s">
        <v>240</v>
      </c>
      <c r="C52" s="9" t="s">
        <v>264</v>
      </c>
      <c r="D52" s="9"/>
      <c r="E52" s="9"/>
    </row>
    <row r="53" spans="1:5" x14ac:dyDescent="0.25">
      <c r="A53" s="9" t="s">
        <v>241</v>
      </c>
      <c r="B53" s="9" t="s">
        <v>242</v>
      </c>
      <c r="C53" s="9" t="s">
        <v>264</v>
      </c>
      <c r="D53" s="9"/>
      <c r="E53" s="9"/>
    </row>
    <row r="54" spans="1:5" x14ac:dyDescent="0.25">
      <c r="A54" s="9" t="s">
        <v>243</v>
      </c>
      <c r="B54" s="9" t="s">
        <v>240</v>
      </c>
      <c r="C54" s="9" t="s">
        <v>265</v>
      </c>
      <c r="D54" s="9" t="s">
        <v>285</v>
      </c>
      <c r="E54" s="11">
        <v>17529</v>
      </c>
    </row>
    <row r="55" spans="1:5" x14ac:dyDescent="0.25">
      <c r="A55" s="9" t="s">
        <v>244</v>
      </c>
      <c r="B55" s="9" t="s">
        <v>245</v>
      </c>
      <c r="C55" s="9" t="s">
        <v>264</v>
      </c>
      <c r="D55" s="9"/>
      <c r="E5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6"/>
  <sheetViews>
    <sheetView workbookViewId="0"/>
  </sheetViews>
  <sheetFormatPr defaultRowHeight="15" x14ac:dyDescent="0.25"/>
  <cols>
    <col min="1" max="1" width="44.140625" bestFit="1" customWidth="1"/>
    <col min="2" max="2" width="49.7109375" customWidth="1"/>
    <col min="3" max="3" width="6.28515625" bestFit="1" customWidth="1"/>
    <col min="4" max="4" width="20" bestFit="1" customWidth="1"/>
    <col min="5" max="5" width="7.140625" bestFit="1" customWidth="1"/>
  </cols>
  <sheetData>
    <row r="1" spans="1:9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0</v>
      </c>
    </row>
    <row r="2" spans="1:9" x14ac:dyDescent="0.25">
      <c r="A2" s="9" t="s">
        <v>246</v>
      </c>
      <c r="B2" s="9" t="s">
        <v>196</v>
      </c>
      <c r="C2" s="9"/>
      <c r="D2" s="9"/>
      <c r="E2" s="9"/>
      <c r="G2" s="5" t="s">
        <v>265</v>
      </c>
      <c r="H2" s="6">
        <f>COUNTIF(C:C,G2)</f>
        <v>0</v>
      </c>
    </row>
    <row r="3" spans="1:9" ht="15.75" thickBot="1" x14ac:dyDescent="0.3">
      <c r="A3" s="9" t="s">
        <v>247</v>
      </c>
      <c r="B3" s="9" t="s">
        <v>205</v>
      </c>
      <c r="C3" s="9"/>
      <c r="D3" s="9"/>
      <c r="E3" s="9"/>
      <c r="G3" s="7" t="s">
        <v>266</v>
      </c>
      <c r="H3" s="8" t="e">
        <f>H1/SUM(H1:H2)</f>
        <v>#DIV/0!</v>
      </c>
    </row>
    <row r="4" spans="1:9" x14ac:dyDescent="0.25">
      <c r="A4" s="9" t="s">
        <v>248</v>
      </c>
      <c r="B4" s="9" t="s">
        <v>43</v>
      </c>
      <c r="C4" s="9"/>
      <c r="D4" s="9"/>
      <c r="E4" s="9"/>
    </row>
    <row r="5" spans="1:9" x14ac:dyDescent="0.25">
      <c r="A5" s="9" t="s">
        <v>249</v>
      </c>
      <c r="B5" s="9" t="s">
        <v>156</v>
      </c>
      <c r="C5" s="9"/>
      <c r="D5" s="9"/>
      <c r="E5" s="9"/>
      <c r="G5" s="10" t="s">
        <v>267</v>
      </c>
      <c r="H5" s="10"/>
      <c r="I5" s="10"/>
    </row>
    <row r="6" spans="1:9" x14ac:dyDescent="0.25">
      <c r="A6" s="9" t="s">
        <v>2</v>
      </c>
      <c r="B6" s="9" t="s">
        <v>198</v>
      </c>
      <c r="C6" s="9"/>
      <c r="D6" s="9"/>
      <c r="E6" s="9"/>
    </row>
    <row r="7" spans="1:9" x14ac:dyDescent="0.25">
      <c r="A7" s="9" t="s">
        <v>250</v>
      </c>
      <c r="B7" s="9" t="s">
        <v>9</v>
      </c>
      <c r="C7" s="9"/>
      <c r="D7" s="9"/>
      <c r="E7" s="9"/>
    </row>
    <row r="8" spans="1:9" x14ac:dyDescent="0.25">
      <c r="A8" s="9" t="s">
        <v>246</v>
      </c>
      <c r="B8" s="9" t="s">
        <v>196</v>
      </c>
      <c r="C8" s="9"/>
      <c r="D8" s="9"/>
      <c r="E8" s="9"/>
    </row>
    <row r="9" spans="1:9" x14ac:dyDescent="0.25">
      <c r="A9" s="9" t="s">
        <v>247</v>
      </c>
      <c r="B9" s="9" t="s">
        <v>205</v>
      </c>
      <c r="C9" s="9"/>
      <c r="D9" s="9"/>
      <c r="E9" s="9"/>
    </row>
    <row r="10" spans="1:9" x14ac:dyDescent="0.25">
      <c r="A10" s="9" t="s">
        <v>248</v>
      </c>
      <c r="B10" s="9" t="s">
        <v>43</v>
      </c>
      <c r="C10" s="9"/>
      <c r="D10" s="9"/>
      <c r="E10" s="9"/>
    </row>
    <row r="11" spans="1:9" x14ac:dyDescent="0.25">
      <c r="A11" s="9" t="s">
        <v>251</v>
      </c>
      <c r="B11" s="9" t="s">
        <v>9</v>
      </c>
      <c r="C11" s="9"/>
      <c r="D11" s="9"/>
      <c r="E11" s="9"/>
    </row>
    <row r="12" spans="1:9" x14ac:dyDescent="0.25">
      <c r="A12" s="9" t="s">
        <v>252</v>
      </c>
      <c r="B12" s="9" t="s">
        <v>253</v>
      </c>
      <c r="C12" s="9"/>
      <c r="D12" s="9"/>
      <c r="E12" s="9"/>
    </row>
    <row r="13" spans="1:9" x14ac:dyDescent="0.25">
      <c r="A13" s="9" t="s">
        <v>18</v>
      </c>
      <c r="B13" s="9" t="s">
        <v>179</v>
      </c>
      <c r="C13" s="9"/>
      <c r="D13" s="9"/>
      <c r="E13" s="9"/>
    </row>
    <row r="14" spans="1:9" x14ac:dyDescent="0.25">
      <c r="A14" s="9" t="s">
        <v>254</v>
      </c>
      <c r="B14" s="9" t="s">
        <v>255</v>
      </c>
      <c r="C14" s="9"/>
      <c r="D14" s="9"/>
      <c r="E14" s="9"/>
    </row>
    <row r="15" spans="1:9" x14ac:dyDescent="0.25">
      <c r="A15" s="9" t="s">
        <v>256</v>
      </c>
      <c r="B15" s="9" t="s">
        <v>166</v>
      </c>
      <c r="C15" s="9"/>
      <c r="D15" s="9"/>
      <c r="E15" s="9"/>
    </row>
    <row r="16" spans="1:9" x14ac:dyDescent="0.25">
      <c r="A16" s="9" t="s">
        <v>35</v>
      </c>
      <c r="B16" s="9" t="s">
        <v>156</v>
      </c>
      <c r="C16" s="9"/>
      <c r="D16" s="9"/>
      <c r="E16" s="9"/>
    </row>
    <row r="17" spans="1:5" x14ac:dyDescent="0.25">
      <c r="A17" s="9" t="s">
        <v>257</v>
      </c>
      <c r="B17" s="9" t="s">
        <v>9</v>
      </c>
      <c r="C17" s="9"/>
      <c r="D17" s="9"/>
      <c r="E17" s="9"/>
    </row>
    <row r="18" spans="1:5" x14ac:dyDescent="0.25">
      <c r="A18" s="9" t="s">
        <v>246</v>
      </c>
      <c r="B18" s="9" t="s">
        <v>196</v>
      </c>
      <c r="C18" s="9"/>
      <c r="D18" s="9"/>
      <c r="E18" s="9"/>
    </row>
    <row r="19" spans="1:5" x14ac:dyDescent="0.25">
      <c r="A19" s="9" t="s">
        <v>247</v>
      </c>
      <c r="B19" s="9" t="s">
        <v>205</v>
      </c>
      <c r="C19" s="9"/>
      <c r="D19" s="9"/>
      <c r="E19" s="9"/>
    </row>
    <row r="20" spans="1:5" x14ac:dyDescent="0.25">
      <c r="A20" s="9" t="s">
        <v>258</v>
      </c>
      <c r="B20" s="9" t="s">
        <v>213</v>
      </c>
      <c r="C20" s="9"/>
      <c r="D20" s="9"/>
      <c r="E20" s="9"/>
    </row>
    <row r="21" spans="1:5" x14ac:dyDescent="0.25">
      <c r="A21" s="9" t="s">
        <v>114</v>
      </c>
      <c r="B21" s="9" t="s">
        <v>43</v>
      </c>
      <c r="C21" s="9"/>
      <c r="D21" s="9"/>
      <c r="E21" s="9"/>
    </row>
    <row r="22" spans="1:5" x14ac:dyDescent="0.25">
      <c r="A22" s="9" t="s">
        <v>259</v>
      </c>
      <c r="B22" s="9" t="s">
        <v>43</v>
      </c>
      <c r="C22" s="9"/>
      <c r="D22" s="9"/>
      <c r="E22" s="9"/>
    </row>
    <row r="23" spans="1:5" x14ac:dyDescent="0.25">
      <c r="A23" s="9" t="s">
        <v>246</v>
      </c>
      <c r="B23" s="9" t="s">
        <v>196</v>
      </c>
      <c r="C23" s="9"/>
      <c r="D23" s="9"/>
      <c r="E23" s="9"/>
    </row>
    <row r="24" spans="1:5" x14ac:dyDescent="0.25">
      <c r="A24" s="9" t="s">
        <v>247</v>
      </c>
      <c r="B24" s="9" t="s">
        <v>205</v>
      </c>
      <c r="C24" s="9"/>
      <c r="D24" s="9"/>
      <c r="E24" s="9"/>
    </row>
    <row r="25" spans="1:5" x14ac:dyDescent="0.25">
      <c r="A25" s="9" t="s">
        <v>260</v>
      </c>
      <c r="B25" s="9" t="s">
        <v>213</v>
      </c>
      <c r="C25" s="9"/>
      <c r="D25" s="9"/>
      <c r="E25" s="9"/>
    </row>
    <row r="26" spans="1:5" x14ac:dyDescent="0.25">
      <c r="A26" s="9" t="s">
        <v>153</v>
      </c>
      <c r="B26" s="9" t="s">
        <v>190</v>
      </c>
      <c r="C26" s="9"/>
      <c r="D26" s="9"/>
      <c r="E2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workbookViewId="0"/>
  </sheetViews>
  <sheetFormatPr defaultRowHeight="15" x14ac:dyDescent="0.25"/>
  <cols>
    <col min="1" max="1" width="44.140625" bestFit="1" customWidth="1"/>
    <col min="2" max="2" width="56.7109375" customWidth="1"/>
    <col min="3" max="3" width="6.28515625" bestFit="1" customWidth="1"/>
    <col min="4" max="4" width="20" bestFit="1" customWidth="1"/>
    <col min="5" max="5" width="7.140625" bestFit="1" customWidth="1"/>
  </cols>
  <sheetData>
    <row r="1" spans="1:9" x14ac:dyDescent="0.25">
      <c r="A1" s="1" t="s">
        <v>0</v>
      </c>
      <c r="B1" s="1" t="s">
        <v>1</v>
      </c>
      <c r="C1" s="2" t="s">
        <v>261</v>
      </c>
      <c r="D1" s="2" t="s">
        <v>262</v>
      </c>
      <c r="E1" s="2" t="s">
        <v>263</v>
      </c>
      <c r="G1" s="3" t="s">
        <v>264</v>
      </c>
      <c r="H1" s="4">
        <f>COUNTIF(C:C,G1)</f>
        <v>0</v>
      </c>
    </row>
    <row r="2" spans="1:9" x14ac:dyDescent="0.25">
      <c r="A2" s="9" t="s">
        <v>246</v>
      </c>
      <c r="B2" s="9" t="s">
        <v>196</v>
      </c>
      <c r="C2" s="9"/>
      <c r="D2" s="9"/>
      <c r="E2" s="9"/>
      <c r="G2" s="5" t="s">
        <v>265</v>
      </c>
      <c r="H2" s="6">
        <f>COUNTIF(C:C,G2)</f>
        <v>0</v>
      </c>
    </row>
    <row r="3" spans="1:9" ht="15.75" thickBot="1" x14ac:dyDescent="0.3">
      <c r="A3" s="9" t="s">
        <v>247</v>
      </c>
      <c r="B3" s="9" t="s">
        <v>205</v>
      </c>
      <c r="C3" s="9"/>
      <c r="D3" s="9"/>
      <c r="E3" s="9"/>
      <c r="G3" s="7" t="s">
        <v>266</v>
      </c>
      <c r="H3" s="8" t="e">
        <f>H1/SUM(H1:H2)</f>
        <v>#DIV/0!</v>
      </c>
    </row>
    <row r="4" spans="1:9" x14ac:dyDescent="0.25">
      <c r="A4" s="9" t="s">
        <v>248</v>
      </c>
      <c r="B4" s="9" t="s">
        <v>43</v>
      </c>
      <c r="C4" s="9"/>
      <c r="D4" s="9"/>
      <c r="E4" s="9"/>
    </row>
    <row r="5" spans="1:9" x14ac:dyDescent="0.25">
      <c r="A5" s="9" t="s">
        <v>249</v>
      </c>
      <c r="B5" s="9" t="s">
        <v>156</v>
      </c>
      <c r="C5" s="9"/>
      <c r="D5" s="9"/>
      <c r="E5" s="9"/>
      <c r="G5" s="10" t="s">
        <v>267</v>
      </c>
      <c r="H5" s="10"/>
      <c r="I5" s="10"/>
    </row>
    <row r="6" spans="1:9" x14ac:dyDescent="0.25">
      <c r="A6" s="9" t="s">
        <v>2</v>
      </c>
      <c r="B6" s="9" t="s">
        <v>198</v>
      </c>
      <c r="C6" s="9"/>
      <c r="D6" s="9"/>
      <c r="E6" s="9"/>
    </row>
    <row r="7" spans="1:9" x14ac:dyDescent="0.25">
      <c r="A7" s="9" t="s">
        <v>250</v>
      </c>
      <c r="B7" s="9" t="s">
        <v>9</v>
      </c>
      <c r="C7" s="9"/>
      <c r="D7" s="9"/>
      <c r="E7" s="9"/>
    </row>
    <row r="8" spans="1:9" x14ac:dyDescent="0.25">
      <c r="A8" s="9" t="s">
        <v>246</v>
      </c>
      <c r="B8" s="9" t="s">
        <v>196</v>
      </c>
      <c r="C8" s="9"/>
      <c r="D8" s="9"/>
      <c r="E8" s="9"/>
    </row>
    <row r="9" spans="1:9" x14ac:dyDescent="0.25">
      <c r="A9" s="9" t="s">
        <v>247</v>
      </c>
      <c r="B9" s="9" t="s">
        <v>205</v>
      </c>
      <c r="C9" s="9"/>
      <c r="D9" s="9"/>
      <c r="E9" s="9"/>
    </row>
    <row r="10" spans="1:9" x14ac:dyDescent="0.25">
      <c r="A10" s="9" t="s">
        <v>248</v>
      </c>
      <c r="B10" s="9" t="s">
        <v>43</v>
      </c>
      <c r="C10" s="9"/>
      <c r="D10" s="9"/>
      <c r="E10" s="9"/>
    </row>
    <row r="11" spans="1:9" x14ac:dyDescent="0.25">
      <c r="A11" s="9" t="s">
        <v>251</v>
      </c>
      <c r="B11" s="9" t="s">
        <v>9</v>
      </c>
      <c r="C11" s="9"/>
      <c r="D11" s="9"/>
      <c r="E11" s="9"/>
    </row>
    <row r="12" spans="1:9" x14ac:dyDescent="0.25">
      <c r="A12" s="9" t="s">
        <v>252</v>
      </c>
      <c r="B12" s="9" t="s">
        <v>253</v>
      </c>
      <c r="C12" s="9"/>
      <c r="D12" s="9"/>
      <c r="E12" s="9"/>
    </row>
    <row r="13" spans="1:9" x14ac:dyDescent="0.25">
      <c r="A13" s="9" t="s">
        <v>18</v>
      </c>
      <c r="B13" s="9" t="s">
        <v>179</v>
      </c>
      <c r="C13" s="9"/>
      <c r="D13" s="9"/>
      <c r="E13" s="9"/>
    </row>
    <row r="14" spans="1:9" x14ac:dyDescent="0.25">
      <c r="A14" s="9" t="s">
        <v>254</v>
      </c>
      <c r="B14" s="9" t="s">
        <v>255</v>
      </c>
      <c r="C14" s="9"/>
      <c r="D14" s="9"/>
      <c r="E14" s="9"/>
    </row>
    <row r="15" spans="1:9" x14ac:dyDescent="0.25">
      <c r="A15" s="9" t="s">
        <v>256</v>
      </c>
      <c r="B15" s="9" t="s">
        <v>166</v>
      </c>
      <c r="C15" s="9"/>
      <c r="D15" s="9"/>
      <c r="E15" s="9"/>
    </row>
    <row r="16" spans="1:9" x14ac:dyDescent="0.25">
      <c r="A16" s="9" t="s">
        <v>35</v>
      </c>
      <c r="B16" s="9" t="s">
        <v>156</v>
      </c>
      <c r="C16" s="9"/>
      <c r="D16" s="9"/>
      <c r="E16" s="9"/>
    </row>
    <row r="17" spans="1:5" x14ac:dyDescent="0.25">
      <c r="A17" s="9" t="s">
        <v>257</v>
      </c>
      <c r="B17" s="9" t="s">
        <v>9</v>
      </c>
      <c r="C17" s="9"/>
      <c r="D17" s="9"/>
      <c r="E17" s="9"/>
    </row>
    <row r="18" spans="1:5" x14ac:dyDescent="0.25">
      <c r="A18" s="9" t="s">
        <v>246</v>
      </c>
      <c r="B18" s="9" t="s">
        <v>196</v>
      </c>
      <c r="C18" s="9"/>
      <c r="D18" s="9"/>
      <c r="E18" s="9"/>
    </row>
    <row r="19" spans="1:5" x14ac:dyDescent="0.25">
      <c r="A19" s="9" t="s">
        <v>247</v>
      </c>
      <c r="B19" s="9" t="s">
        <v>205</v>
      </c>
      <c r="C19" s="9"/>
      <c r="D19" s="9"/>
      <c r="E19" s="9"/>
    </row>
    <row r="20" spans="1:5" x14ac:dyDescent="0.25">
      <c r="A20" s="9" t="s">
        <v>258</v>
      </c>
      <c r="B20" s="9" t="s">
        <v>213</v>
      </c>
      <c r="C20" s="9"/>
      <c r="D20" s="9"/>
      <c r="E20" s="9"/>
    </row>
    <row r="21" spans="1:5" x14ac:dyDescent="0.25">
      <c r="A21" s="9" t="s">
        <v>114</v>
      </c>
      <c r="B21" s="9" t="s">
        <v>43</v>
      </c>
      <c r="C21" s="9"/>
      <c r="D21" s="9"/>
      <c r="E21" s="9"/>
    </row>
    <row r="22" spans="1:5" x14ac:dyDescent="0.25">
      <c r="A22" s="9" t="s">
        <v>259</v>
      </c>
      <c r="B22" s="9" t="s">
        <v>43</v>
      </c>
      <c r="C22" s="9"/>
      <c r="D22" s="9"/>
      <c r="E22" s="9"/>
    </row>
    <row r="23" spans="1:5" x14ac:dyDescent="0.25">
      <c r="A23" s="9" t="s">
        <v>246</v>
      </c>
      <c r="B23" s="9" t="s">
        <v>196</v>
      </c>
      <c r="C23" s="9"/>
      <c r="D23" s="9"/>
      <c r="E23" s="9"/>
    </row>
    <row r="24" spans="1:5" x14ac:dyDescent="0.25">
      <c r="A24" s="9" t="s">
        <v>247</v>
      </c>
      <c r="B24" s="9" t="s">
        <v>205</v>
      </c>
      <c r="C24" s="9"/>
      <c r="D24" s="9"/>
      <c r="E24" s="9"/>
    </row>
    <row r="25" spans="1:5" x14ac:dyDescent="0.25">
      <c r="A25" s="9" t="s">
        <v>260</v>
      </c>
      <c r="B25" s="9" t="s">
        <v>213</v>
      </c>
      <c r="C25" s="9"/>
      <c r="D25" s="9"/>
      <c r="E25" s="9"/>
    </row>
    <row r="26" spans="1:5" x14ac:dyDescent="0.25">
      <c r="A26" s="9" t="s">
        <v>153</v>
      </c>
      <c r="B26" s="9" t="s">
        <v>190</v>
      </c>
      <c r="C26" s="9"/>
      <c r="D26" s="9"/>
      <c r="E2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Standalone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2026-03-23T05:55:51Z</dcterms:created>
  <dcterms:modified xsi:type="dcterms:W3CDTF">2026-03-27T05:06:34Z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2026-03-24T09:40:16Z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821811cd-c57e-40f2-ab01-d43c050be01c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