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2_20260324\"/>
    </mc:Choice>
  </mc:AlternateContent>
  <xr:revisionPtr revIDLastSave="0" documentId="13_ncr:1_{CB92812A-E71A-42A4-849D-56D98019D9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ndalone Profit &amp; Loss" sheetId="1" r:id="rId1"/>
    <sheet name="Consolidated Profit &amp; Loss" sheetId="5" r:id="rId2"/>
    <sheet name="Standalone Balance Sheet" sheetId="3" r:id="rId3"/>
    <sheet name="Consolidated Balance Sheet" sheetId="7" r:id="rId4"/>
    <sheet name="Standalone Cash Flow" sheetId="4" r:id="rId5"/>
    <sheet name="Consolidated Cash Flow" sheetId="8" r:id="rId6"/>
    <sheet name="Segment Reporting Standalone" sheetId="2" r:id="rId7"/>
    <sheet name="Segment Reporting Consolidate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3" i="6" s="1"/>
  <c r="H2" i="2"/>
  <c r="H1" i="2"/>
  <c r="H3" i="2" s="1"/>
  <c r="H2" i="4"/>
  <c r="H1" i="4"/>
  <c r="H2" i="7"/>
  <c r="H1" i="7"/>
  <c r="H3" i="7" s="1"/>
  <c r="H2" i="3"/>
  <c r="H1" i="3"/>
  <c r="H3" i="5"/>
  <c r="H1" i="5"/>
  <c r="I10" i="1"/>
  <c r="I9" i="1"/>
  <c r="I11" i="1" s="1"/>
  <c r="H2" i="8"/>
  <c r="H1" i="8"/>
  <c r="H3" i="8" l="1"/>
  <c r="H3" i="4"/>
  <c r="H3" i="3"/>
  <c r="H4" i="5"/>
</calcChain>
</file>

<file path=xl/sharedStrings.xml><?xml version="1.0" encoding="utf-8"?>
<sst xmlns="http://schemas.openxmlformats.org/spreadsheetml/2006/main" count="1184" uniqueCount="298">
  <si>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</si>
  <si>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</si>
  <si>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</si>
  <si>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</si>
  <si>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</si>
  <si>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</si>
  <si>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</si>
  <si>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</si>
  <si>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Purchases of Stock - in - 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</si>
  <si>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</si>
  <si>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</si>
  <si>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</si>
  <si>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</si>
  <si>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</si>
  <si>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</si>
  <si>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 xml:space="preserve">Depreciation and Amortisation Expense </t>
  </si>
  <si>
    <t>Depreciation, Depletion and Amortisation Expense</t>
  </si>
  <si>
    <t>Other Expenses</t>
  </si>
  <si>
    <t>Total Expenses</t>
  </si>
  <si>
    <t>Profit Before Tax</t>
  </si>
  <si>
    <t>Profit/(Loss) From Ordinary Activities before Tax</t>
  </si>
  <si>
    <t>Tax Expense:</t>
  </si>
  <si>
    <t>Current Tax</t>
  </si>
  <si>
    <t>Tax Expense</t>
  </si>
  <si>
    <t>Tax Related to Earlier Years</t>
  </si>
  <si>
    <t>Deferred Tax</t>
  </si>
  <si>
    <t>Total Tax Expense</t>
  </si>
  <si>
    <t>Total Field</t>
  </si>
  <si>
    <t>Profit for the Period</t>
  </si>
  <si>
    <t>Net Profit/(Loss) for the Period</t>
  </si>
  <si>
    <t>Other Comprehensive Income (OCI)</t>
  </si>
  <si>
    <t>Items that will not be re-classified to Profit or Loss:</t>
  </si>
  <si>
    <t>Re-measurement Gain / (Loss) on Defined Benefit Plans</t>
  </si>
  <si>
    <t>Items that will not be reclassified to Profit or Loss</t>
  </si>
  <si>
    <t>Income Tax (Charge)/ Credit relating to items that will not be reclassified to Profit or Loss</t>
  </si>
  <si>
    <t>Income Tax related to items that will not be reclassified to Profit or Loss</t>
  </si>
  <si>
    <t>Items that will be re-classified to Profit or Loss:</t>
  </si>
  <si>
    <t>Items that will be reclassified to Profit or Loss</t>
  </si>
  <si>
    <t>Effective Portion of Exchange Difference (Loss) on Hedging Instruments</t>
  </si>
  <si>
    <t>Effective Portion of Exchange Difference Loss on Hedging Instruments re-classified to Profit or Loss</t>
  </si>
  <si>
    <t>Income Tax (Charge) relating to items that will be re-classified to Profit or Loss</t>
  </si>
  <si>
    <t>Income Tax related to items that will be reclassified to Profit or Loss</t>
  </si>
  <si>
    <t>OCI for the Period (Net of Tax)</t>
  </si>
  <si>
    <t>Total Comprehensive Income for the Period (VII + VIII) (Comprising Profit and Other Comprehensive Income for the Period)</t>
  </si>
  <si>
    <t>Total Comprehensive Gain (Loss) For the Year</t>
  </si>
  <si>
    <t>Paid up Equity Share Capital (Face Value of Rs.10/- per share)</t>
  </si>
  <si>
    <t>Paid-Up Equity Share Capital</t>
  </si>
  <si>
    <t>Other Equity</t>
  </si>
  <si>
    <t>Reserve excluding Revaluation Reserves (as per Balance Sheet of Previous Accounting Year)</t>
  </si>
  <si>
    <t>Earnings per Equity Share:</t>
  </si>
  <si>
    <t>Basic (Rs.)</t>
  </si>
  <si>
    <t>Basic EPS</t>
  </si>
  <si>
    <t>Diluted (Rs.)</t>
  </si>
  <si>
    <t>Diluted EPS</t>
  </si>
  <si>
    <t>Own Manufactured Fertilisers</t>
  </si>
  <si>
    <t>Operating Expenses</t>
  </si>
  <si>
    <t>Complex Fertilisers</t>
  </si>
  <si>
    <t>Crop Protection Chemicals, Speciality Nutrients and Seeds</t>
  </si>
  <si>
    <t>Software Development Expenses</t>
  </si>
  <si>
    <t>Others</t>
  </si>
  <si>
    <t>Gross Sales/Income from Operations</t>
  </si>
  <si>
    <t>Total</t>
  </si>
  <si>
    <t>Less : Inter Segment Revenue</t>
  </si>
  <si>
    <t>Revenue from Operations</t>
  </si>
  <si>
    <t>Segment Results</t>
  </si>
  <si>
    <t>Profit before Finance Costs and Tax from each Segment</t>
  </si>
  <si>
    <t>Profit/(Loss) from Ordinary Activities after Finance Costs but before Exceptional Items</t>
  </si>
  <si>
    <t>Less : i ) Finance Costs</t>
  </si>
  <si>
    <t>Unallocable Expenditure Net off Unallocable Income</t>
  </si>
  <si>
    <t>Profit before Tax</t>
  </si>
  <si>
    <t>Segment Assets</t>
  </si>
  <si>
    <t>Unallocated Assets ( Including Fixed Deposits and Investment in Mutual Funds )</t>
  </si>
  <si>
    <t>Total Segment Assets</t>
  </si>
  <si>
    <t>Segment Liabilities</t>
  </si>
  <si>
    <t>Unallocated Liabilities ( Including Deferred Tax Liabilities )</t>
  </si>
  <si>
    <t>Total Segment Liabilities</t>
  </si>
  <si>
    <t>Non - Current Assets</t>
  </si>
  <si>
    <t>Property, Plant and Equipment</t>
  </si>
  <si>
    <t>Property, Plant &amp; Equipment</t>
  </si>
  <si>
    <t>Capital Work-in-Progress</t>
  </si>
  <si>
    <t>Capital Work-In-Progress</t>
  </si>
  <si>
    <t>Right-of-Use Assets</t>
  </si>
  <si>
    <t>Right-of-use asset</t>
  </si>
  <si>
    <t>Other Intangible Assets</t>
  </si>
  <si>
    <t>Intangible Assets Under Development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</si>
  <si>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</si>
  <si>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</si>
  <si>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</si>
  <si>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</si>
  <si>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</si>
  <si>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</si>
  <si>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</si>
  <si>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</si>
  <si>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Non-Current Tax Assets (Net)</t>
  </si>
  <si>
    <t>Income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</si>
  <si>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</si>
  <si>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</si>
  <si>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</si>
  <si>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</si>
  <si>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</si>
  <si>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</si>
  <si>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</si>
  <si>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(iii) above</t>
  </si>
  <si>
    <t>Bank balance other than cash and cash equivalents</t>
  </si>
  <si>
    <t>Other Current Assets</t>
  </si>
  <si>
    <t>Assets classified as held for sale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</si>
  <si>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</si>
  <si>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</si>
  <si>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</si>
  <si>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</si>
  <si>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</si>
  <si>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</si>
  <si>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</si>
  <si>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</si>
  <si>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</si>
  <si>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</si>
  <si>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Non-Current Liabilities</t>
  </si>
  <si>
    <t>Financial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</si>
  <si>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</si>
  <si>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</si>
  <si>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</si>
  <si>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</si>
  <si>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</si>
  <si>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(Net)</t>
  </si>
  <si>
    <t>Deferred Tax Liability (Net)</t>
  </si>
  <si>
    <t>Other Non-Current Liabilities</t>
  </si>
  <si>
    <t>Total Non-Current Liabilities</t>
  </si>
  <si>
    <t>Current Liabilities</t>
  </si>
  <si>
    <t>Lease Liabilities</t>
  </si>
  <si>
    <t>Trade Payables</t>
  </si>
  <si>
    <t>total outstanding dues of micro enterprises and small enterprises; and</t>
  </si>
  <si>
    <t>total outstanding dues of creditors other than micro enterprises and small enterprises</t>
  </si>
  <si>
    <t>Other Current Liabilities</t>
  </si>
  <si>
    <t>Other liabilities</t>
  </si>
  <si>
    <t>Current Tax Liabilities (Net)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</si>
  <si>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</si>
  <si>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</si>
  <si>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</si>
  <si>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</si>
  <si>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</si>
  <si>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</si>
  <si>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</si>
  <si>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( Gain ) on Sale of Current Investments</t>
  </si>
  <si>
    <t>Profit On Sale Of Investments</t>
  </si>
  <si>
    <t>Fair Value ( Gain ) on Financial Assets measured at Fair Value through Profit or Loss</t>
  </si>
  <si>
    <t>Others-Before Working Capital Changes</t>
  </si>
  <si>
    <t xml:space="preserve">Reversal of Fair Value Loss on Financial Assets measured at Fair Value through Profit or Loss, recognised in earlier years </t>
  </si>
  <si>
    <t>Fair Value ( Gain ) on Derivatives not Designated as Hedge</t>
  </si>
  <si>
    <t>Un - realised Foreign Exchange Variation Loss</t>
  </si>
  <si>
    <t>Foreign Exchange Gain / Loss</t>
  </si>
  <si>
    <t>Realised Foreign Exchange Variation Loss</t>
  </si>
  <si>
    <t>Effective Portion of Exchange Difference Loss on Hedging Instruments re - classified to Profit or Loss</t>
  </si>
  <si>
    <t>Impairment loss / (Reversal of Impairment Loss)</t>
  </si>
  <si>
    <t>Loss on Disposal/ Write off of Property, Plant and Equipment (Net)</t>
  </si>
  <si>
    <t>Profit On Sale Of Fixed Assets</t>
  </si>
  <si>
    <t>Allowance for Doubtful Debts and Advances ( Net )</t>
  </si>
  <si>
    <t>Provision For Doubtful Debts</t>
  </si>
  <si>
    <t>Inventories Written off</t>
  </si>
  <si>
    <t>Investment Written Off</t>
  </si>
  <si>
    <t>Provision for Onerous Contracts</t>
  </si>
  <si>
    <t>Provision for doubtful debts</t>
  </si>
  <si>
    <t>Liabilities no longer required Written back</t>
  </si>
  <si>
    <t>Other Provisions Written Off</t>
  </si>
  <si>
    <t>Catalyst Charges Written off</t>
  </si>
  <si>
    <t>Miscellaneous Expenditure Written Off</t>
  </si>
  <si>
    <t>Irrecoverable Balances Written off</t>
  </si>
  <si>
    <t>Bad Debts Written Off</t>
  </si>
  <si>
    <t>Finance Costs ( Interest )</t>
  </si>
  <si>
    <t>Interest Expense</t>
  </si>
  <si>
    <t>Interest ( Income )</t>
  </si>
  <si>
    <t>Interest Received</t>
  </si>
  <si>
    <t>Dividend ( Income ) on Investment in Joint Venture</t>
  </si>
  <si>
    <t>Share Of Profit &amp; Loss from Partnership Firm or Association of Persons Etc</t>
  </si>
  <si>
    <t>Dividend ( Income ) on Other Non - Current Investment</t>
  </si>
  <si>
    <t>Interest Income</t>
  </si>
  <si>
    <t>Operating Profit before Working Capital Changes</t>
  </si>
  <si>
    <t>Operating Profit Before Working Capital Changes</t>
  </si>
  <si>
    <t>Working Capital Adjustments :</t>
  </si>
  <si>
    <t>(Increase ) in Inventories</t>
  </si>
  <si>
    <t>(Increase ) in Trade Receivables</t>
  </si>
  <si>
    <t>Trade And Other Receivables</t>
  </si>
  <si>
    <t>(Increase ) / Decrease in Other Financial Assets - Non - Current</t>
  </si>
  <si>
    <t>Adjustments for other financial assets, non-current</t>
  </si>
  <si>
    <t>(Increase) in Other Financial Assets - Current</t>
  </si>
  <si>
    <t>Adjustments for other financial assets, current</t>
  </si>
  <si>
    <t>Decrease I (Increase) in Other Assets - Non-Current</t>
  </si>
  <si>
    <t>Other Current and Non Current Assets</t>
  </si>
  <si>
    <t>(Increase) I Decrease in Other Assets - Current</t>
  </si>
  <si>
    <t>Increase in Trade Payables</t>
  </si>
  <si>
    <t>Trade Payables And Others</t>
  </si>
  <si>
    <t>Increase in Other Financial Liabilities - Non-Current</t>
  </si>
  <si>
    <t>Adjustments for other financial liabilities, current</t>
  </si>
  <si>
    <t>Increase in Other Financial Liabilities - Current</t>
  </si>
  <si>
    <t>Increase in Other Liabilities - Non-Current</t>
  </si>
  <si>
    <t>Adjustments for other financial liabilities, non-current</t>
  </si>
  <si>
    <t>(Decrease) in Other Liabilities - Current</t>
  </si>
  <si>
    <t>Other Current and Non Current Liabilities</t>
  </si>
  <si>
    <t>Increase / (Decrease) in Provisions - Non-Current</t>
  </si>
  <si>
    <t>Increase in Provisions - Current</t>
  </si>
  <si>
    <t>Cash generated from Operations</t>
  </si>
  <si>
    <t>Cash Generated From Operations</t>
  </si>
  <si>
    <t>Income Tax Paid ( Net of Refunds )</t>
  </si>
  <si>
    <t>Income Tax Paid</t>
  </si>
  <si>
    <t>Net Cash Flow generated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</si>
  <si>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</si>
  <si>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</si>
  <si>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</si>
  <si>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</t>
  </si>
  <si>
    <t>Purchase Of Fixed Assets (Tangible / Intangible)</t>
  </si>
  <si>
    <t>Purchase of Intangible Assets</t>
  </si>
  <si>
    <t>(Increase)/ Decrease of Intangible Assets under Development</t>
  </si>
  <si>
    <t>Purchase of intangible assets under development</t>
  </si>
  <si>
    <t>Proceeds from Disposal / Sale of Property, Plant and Equipment</t>
  </si>
  <si>
    <t>Sale Of Fixed Assets (Tangible / Intangible)</t>
  </si>
  <si>
    <t>Purchase of Current Investments</t>
  </si>
  <si>
    <t>Purchase Of Investments</t>
  </si>
  <si>
    <t>Proceeds from Sale of Current Investments</t>
  </si>
  <si>
    <t>Sale Of Investments</t>
  </si>
  <si>
    <t>Proceeds from recovery of Fair Value Loss on Financial Assets measured at Fair Value through Profit or Loss, recognised in earlier years</t>
  </si>
  <si>
    <t>Dividend Received</t>
  </si>
  <si>
    <t>Fixed Deposits ( placed ) [ having original maturity of more than three months ]</t>
  </si>
  <si>
    <t>Fixed Deposits</t>
  </si>
  <si>
    <t>Net Cash Flow ( used in ) Investing Activities</t>
  </si>
  <si>
    <t>Cash Flow from Financing Activities</t>
  </si>
  <si>
    <t>Repayment of Long - Term Borrowings</t>
  </si>
  <si>
    <t>Repayment Of Long Term Borrowings</t>
  </si>
  <si>
    <t>Repayment of Lease Liabilities</t>
  </si>
  <si>
    <t>Payments of lease liabilities</t>
  </si>
  <si>
    <t>Finance Costs paid ( Interest )</t>
  </si>
  <si>
    <t>Interest Paid</t>
  </si>
  <si>
    <t>Dividend Paid</t>
  </si>
  <si>
    <t>Net Cash Flow ( used in )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</si>
  <si>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</si>
  <si>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</si>
  <si>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</si>
  <si>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</si>
  <si>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</si>
  <si>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</si>
  <si>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</si>
  <si>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Profit Before Share of Profit of a Joint Venture and Tax</t>
  </si>
  <si>
    <t>Ignore this Field</t>
  </si>
  <si>
    <t>Share of Net Profit of a Joint Venture Accounted for using the Equity Method</t>
  </si>
  <si>
    <t>Share of Profit/(loss) of associates and Joint Ventures before ebt</t>
  </si>
  <si>
    <t>Income Tax (Charge)/ Credit relating to items that will not be re-classified to Profit or Loss</t>
  </si>
  <si>
    <t>Exchange Difference Gain on translation of Foreign Operations</t>
  </si>
  <si>
    <t>Effective Portion of Exchange Difference (Loss} on Hedging Instruments</t>
  </si>
  <si>
    <t>Total Comprehensive Income for the Period (Comprising Profit and Other Comprehensive Income for the Period)</t>
  </si>
  <si>
    <t>Profit for the Period attributable to:</t>
  </si>
  <si>
    <t>Profit (Loss) Attributable To [Total]</t>
  </si>
  <si>
    <t>Owners of the Parent Company</t>
  </si>
  <si>
    <t>Owners of the company</t>
  </si>
  <si>
    <t>Non-controlling Interest</t>
  </si>
  <si>
    <t>Other Comprehensive Income for the Period attributable to:</t>
  </si>
  <si>
    <t>Comprehensive Income Attributable To [Total]</t>
  </si>
  <si>
    <t>Total Comprehensive Income for the Period attributable to:</t>
  </si>
  <si>
    <t>Total Comprehensive Income Attributable To</t>
  </si>
  <si>
    <t>Add: Share of Net Profit of a Joint Venture Accounted for using the Equity Method</t>
  </si>
  <si>
    <t>Investments Accounted for Using the Equity Method</t>
  </si>
  <si>
    <t>Investments Accounted for Using the equity method</t>
  </si>
  <si>
    <t>Current Tax Assets (Net)</t>
  </si>
  <si>
    <t>Total Equity attributable to the Owners of the Parent Company</t>
  </si>
  <si>
    <t>Non-Controlling Interest</t>
  </si>
  <si>
    <t>Borrowings</t>
  </si>
  <si>
    <t>Reversal of Fair Value Loss on Financial Assets measured at Fair Value through Profit or Loss, recognised in earlier years</t>
  </si>
  <si>
    <t>Un-realised Foreign Exchange Variation Loss</t>
  </si>
  <si>
    <t>Loss on Disposal / Write off of Property, Plant and Equipment (Net)</t>
  </si>
  <si>
    <t>Liabilities no Longer Required Written back</t>
  </si>
  <si>
    <t>Share of Profit of a Joint Venture</t>
  </si>
  <si>
    <t>( Increase ) in Inventories</t>
  </si>
  <si>
    <t>( Increase ) in Trade Receivables</t>
  </si>
  <si>
    <t>( Increase ) / Decrease in Other Financial Assets - Non - Current</t>
  </si>
  <si>
    <t>Decrease /(Increase) in Other Assets - Non-Current</t>
  </si>
  <si>
    <t>Increase in Other Financial liabilities - Non-Current</t>
  </si>
  <si>
    <t>Purchase of Property. Plant and Equipment</t>
  </si>
  <si>
    <t>Distribution Received from Joint Venture</t>
  </si>
  <si>
    <t>Net Increase / (Decrease) in Cash and Cash Equivalents</t>
  </si>
  <si>
    <t>Foreign Currency Translation Difference</t>
  </si>
  <si>
    <t>Cash and Cash Equivalents at the beginning of the period</t>
  </si>
  <si>
    <t>Cash and Cash Equivalents at the end of the period</t>
  </si>
  <si>
    <t>Status</t>
  </si>
  <si>
    <t>Revised Field Mapping</t>
  </si>
  <si>
    <t>Field ID</t>
  </si>
  <si>
    <t>Correct</t>
  </si>
  <si>
    <t>Incorrect</t>
  </si>
  <si>
    <t>Accuracy %</t>
  </si>
  <si>
    <t>The ‘Revenue from Operations’ field is not captured and has been added manually.</t>
  </si>
  <si>
    <t>Ignore this field</t>
  </si>
  <si>
    <t>Label</t>
  </si>
  <si>
    <t>Other Comprehensive Income</t>
  </si>
  <si>
    <t>Non-Controlling Interests</t>
  </si>
  <si>
    <t>Loans Non-Current</t>
  </si>
  <si>
    <t>Current Investments</t>
  </si>
  <si>
    <t>Other Current Financial Assets</t>
  </si>
  <si>
    <t>Minority Interest</t>
  </si>
  <si>
    <t>Other Current Financial Liabilities</t>
  </si>
  <si>
    <t>Short-Term Provisions</t>
  </si>
  <si>
    <t>Data wrongly captured</t>
  </si>
  <si>
    <t>Cash receipts from share of profits of partnership firm or association of persons or limited liability partnerships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</si>
</sst>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4" fillId="3" borderId="0" xfId="0" applyFont="1" applyFill="1" applyBorder="1"/>
    <xf numFmtId="0" fontId="4" fillId="3" borderId="0" xfId="0" applyFont="1" applyFill="1"/>
    <xf numFmtId="0" fontId="0" fillId="0" borderId="8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D29" sqref="D29:E29"/>
    </sheetView>
  </sheetViews>
  <sheetFormatPr defaultRowHeight="14.4" x14ac:dyDescent="0.3"/>
  <cols>
    <col min="1" max="1" width="84.109375" customWidth="1"/>
    <col min="2" max="2" width="74.44140625" customWidth="1"/>
    <col min="3" max="3" width="8.33203125" customWidth="1"/>
    <col min="4" max="4" width="20" bestFit="1" customWidth="1"/>
    <col min="5" max="5" width="7.109375" bestFit="1" customWidth="1"/>
  </cols>
  <sheetData>
    <row r="1" spans="1:9" x14ac:dyDescent="0.3">
      <c r="A1" s="1" t="s">
        <v>0</v>
      </c>
      <c r="B1" s="1" t="s">
        <v>1</v>
      </c>
      <c r="C1" s="2" t="s">
        <v>279</v>
      </c>
      <c r="D1" s="2" t="s">
        <v>280</v>
      </c>
      <c r="E1" s="2" t="s">
        <v>281</v>
      </c>
    </row>
    <row r="2" spans="1:9" x14ac:dyDescent="0.3">
      <c r="A2" t="s">
        <v>63</v>
      </c>
      <c r="B2" s="9" t="s">
        <v>60</v>
      </c>
      <c r="C2" s="10" t="s">
        <v>283</v>
      </c>
      <c r="D2" t="s">
        <v>285</v>
      </c>
      <c r="E2" s="2"/>
    </row>
    <row r="3" spans="1:9" x14ac:dyDescent="0.3">
      <c r="A3" s="9" t="s">
        <v>2</v>
      </c>
      <c r="B3" s="9" t="s">
        <v>3</v>
      </c>
      <c r="C3" s="9" t="s">
        <v>282</v>
      </c>
      <c r="D3" s="9"/>
      <c r="E3" s="9"/>
    </row>
    <row r="4" spans="1:9" x14ac:dyDescent="0.3">
      <c r="A4" s="9" t="s">
        <v>4</v>
      </c>
      <c r="B4" s="9" t="s">
        <v>4</v>
      </c>
      <c r="C4" s="9" t="s">
        <v>282</v>
      </c>
      <c r="D4" s="9"/>
      <c r="E4" s="9"/>
    </row>
    <row r="5" spans="1:9" x14ac:dyDescent="0.3">
      <c r="A5" s="9" t="s">
        <v>5</v>
      </c>
      <c r="B5" s="9" t="s">
        <v>6</v>
      </c>
      <c r="C5" s="9" t="s">
        <v>282</v>
      </c>
      <c r="D5" s="9"/>
      <c r="E5" s="9"/>
    </row>
    <row r="6" spans="1:9" x14ac:dyDescent="0.3">
      <c r="A6" s="9" t="s">
        <v>7</v>
      </c>
      <c r="B6" s="9" t="s">
        <v>7</v>
      </c>
      <c r="C6" s="9" t="s">
        <v>282</v>
      </c>
      <c r="D6" s="9"/>
      <c r="E6" s="9"/>
    </row>
    <row r="7" spans="1:9" x14ac:dyDescent="0.3">
      <c r="A7" s="9" t="s">
        <v>8</v>
      </c>
      <c r="B7" s="9" t="s">
        <v>9</v>
      </c>
      <c r="C7" s="9" t="s">
        <v>282</v>
      </c>
      <c r="D7" s="9"/>
      <c r="E7" s="9"/>
    </row>
    <row r="8" spans="1:9" ht="15" thickBot="1" x14ac:dyDescent="0.35">
      <c r="A8" s="9" t="s">
        <v>10</v>
      </c>
      <c r="B8" s="9" t="s">
        <v>11</v>
      </c>
      <c r="C8" s="9" t="s">
        <v>282</v>
      </c>
      <c r="D8" s="9"/>
      <c r="E8" s="9"/>
    </row>
    <row r="9" spans="1:9" x14ac:dyDescent="0.3">
      <c r="A9" s="9" t="s">
        <v>12</v>
      </c>
      <c r="B9" s="9" t="s">
        <v>13</v>
      </c>
      <c r="C9" s="9" t="s">
        <v>282</v>
      </c>
      <c r="D9" s="9"/>
      <c r="E9" s="9"/>
      <c r="H9" s="3" t="s">
        <v>282</v>
      </c>
      <c r="I9" s="4">
        <f>COUNTIF(C:C,H9)</f>
        <v>30</v>
      </c>
    </row>
    <row r="10" spans="1:9" x14ac:dyDescent="0.3">
      <c r="A10" s="9" t="s">
        <v>14</v>
      </c>
      <c r="B10" s="9" t="s">
        <v>14</v>
      </c>
      <c r="C10" s="9" t="s">
        <v>282</v>
      </c>
      <c r="D10" s="9"/>
      <c r="E10" s="9"/>
      <c r="H10" s="5" t="s">
        <v>283</v>
      </c>
      <c r="I10" s="6">
        <f>COUNTIF(C:C,H10)</f>
        <v>3</v>
      </c>
    </row>
    <row r="11" spans="1:9" ht="15" thickBot="1" x14ac:dyDescent="0.35">
      <c r="A11" s="9" t="s">
        <v>15</v>
      </c>
      <c r="B11" s="9" t="s">
        <v>16</v>
      </c>
      <c r="C11" s="9" t="s">
        <v>282</v>
      </c>
      <c r="D11" s="9"/>
      <c r="E11" s="9"/>
      <c r="H11" s="7" t="s">
        <v>284</v>
      </c>
      <c r="I11" s="8">
        <f>I9/SUM(I9:I10)</f>
        <v>0.90909090909090906</v>
      </c>
    </row>
    <row r="12" spans="1:9" x14ac:dyDescent="0.3">
      <c r="A12" s="9" t="s">
        <v>17</v>
      </c>
      <c r="B12" s="9" t="s">
        <v>17</v>
      </c>
      <c r="C12" s="9" t="s">
        <v>282</v>
      </c>
      <c r="D12" s="9"/>
      <c r="E12" s="9"/>
    </row>
    <row r="13" spans="1:9" x14ac:dyDescent="0.3">
      <c r="A13" s="9" t="s">
        <v>18</v>
      </c>
      <c r="B13" s="9" t="s">
        <v>18</v>
      </c>
      <c r="C13" s="9" t="s">
        <v>282</v>
      </c>
      <c r="D13" s="9"/>
      <c r="E13" s="9"/>
    </row>
    <row r="14" spans="1:9" x14ac:dyDescent="0.3">
      <c r="A14" s="9" t="s">
        <v>19</v>
      </c>
      <c r="B14" s="9" t="s">
        <v>20</v>
      </c>
      <c r="C14" s="9" t="s">
        <v>282</v>
      </c>
      <c r="D14" s="9"/>
      <c r="E14" s="9"/>
    </row>
    <row r="15" spans="1:9" x14ac:dyDescent="0.3">
      <c r="A15" s="9" t="s">
        <v>21</v>
      </c>
      <c r="B15" s="9" t="s">
        <v>6</v>
      </c>
      <c r="C15" s="9" t="s">
        <v>282</v>
      </c>
      <c r="D15" s="9"/>
      <c r="E15" s="9"/>
    </row>
    <row r="16" spans="1:9" x14ac:dyDescent="0.3">
      <c r="A16" s="9" t="s">
        <v>22</v>
      </c>
      <c r="B16" s="9" t="s">
        <v>23</v>
      </c>
      <c r="C16" s="9" t="s">
        <v>282</v>
      </c>
      <c r="D16" s="9"/>
      <c r="E16" s="9"/>
    </row>
    <row r="17" spans="1:5" x14ac:dyDescent="0.3">
      <c r="A17" s="9" t="s">
        <v>24</v>
      </c>
      <c r="B17" s="9" t="s">
        <v>23</v>
      </c>
      <c r="C17" s="9" t="s">
        <v>282</v>
      </c>
      <c r="D17" s="9"/>
      <c r="E17" s="9"/>
    </row>
    <row r="18" spans="1:5" x14ac:dyDescent="0.3">
      <c r="A18" s="9" t="s">
        <v>25</v>
      </c>
      <c r="B18" s="9" t="s">
        <v>25</v>
      </c>
      <c r="C18" s="9" t="s">
        <v>282</v>
      </c>
      <c r="D18" s="9"/>
      <c r="E18" s="9"/>
    </row>
    <row r="19" spans="1:5" x14ac:dyDescent="0.3">
      <c r="A19" s="9" t="s">
        <v>26</v>
      </c>
      <c r="B19" s="9" t="s">
        <v>27</v>
      </c>
      <c r="C19" s="9"/>
      <c r="D19" s="9" t="s">
        <v>286</v>
      </c>
      <c r="E19" s="9"/>
    </row>
    <row r="20" spans="1:5" x14ac:dyDescent="0.3">
      <c r="A20" s="9" t="s">
        <v>28</v>
      </c>
      <c r="B20" s="9" t="s">
        <v>29</v>
      </c>
      <c r="C20" s="9" t="s">
        <v>282</v>
      </c>
      <c r="D20" s="9"/>
      <c r="E20" s="9"/>
    </row>
    <row r="21" spans="1:5" x14ac:dyDescent="0.3">
      <c r="A21" s="9" t="s">
        <v>30</v>
      </c>
      <c r="B21" s="9" t="s">
        <v>6</v>
      </c>
      <c r="C21" s="9" t="s">
        <v>282</v>
      </c>
      <c r="D21" s="9"/>
      <c r="E21" s="9"/>
    </row>
    <row r="22" spans="1:5" x14ac:dyDescent="0.3">
      <c r="A22" s="9" t="s">
        <v>31</v>
      </c>
      <c r="B22" s="9" t="s">
        <v>6</v>
      </c>
      <c r="C22" s="9" t="s">
        <v>282</v>
      </c>
      <c r="D22" s="9"/>
      <c r="E22" s="9"/>
    </row>
    <row r="23" spans="1:5" x14ac:dyDescent="0.3">
      <c r="A23" s="9" t="s">
        <v>32</v>
      </c>
      <c r="B23" s="9" t="s">
        <v>33</v>
      </c>
      <c r="C23" s="9" t="s">
        <v>282</v>
      </c>
      <c r="D23" s="9"/>
      <c r="E23" s="9"/>
    </row>
    <row r="24" spans="1:5" x14ac:dyDescent="0.3">
      <c r="A24" s="9" t="s">
        <v>34</v>
      </c>
      <c r="B24" s="9" t="s">
        <v>35</v>
      </c>
      <c r="C24" s="9" t="s">
        <v>282</v>
      </c>
      <c r="D24" s="9"/>
      <c r="E24" s="9"/>
    </row>
    <row r="25" spans="1:5" x14ac:dyDescent="0.3">
      <c r="A25" s="9" t="s">
        <v>36</v>
      </c>
      <c r="B25" s="9" t="s">
        <v>37</v>
      </c>
      <c r="C25" s="9" t="s">
        <v>283</v>
      </c>
      <c r="D25" s="9" t="s">
        <v>287</v>
      </c>
      <c r="E25" s="9"/>
    </row>
    <row r="26" spans="1:5" x14ac:dyDescent="0.3">
      <c r="A26" s="9" t="s">
        <v>38</v>
      </c>
      <c r="B26" s="9" t="s">
        <v>37</v>
      </c>
      <c r="C26" s="9" t="s">
        <v>282</v>
      </c>
      <c r="D26" s="9"/>
      <c r="E26" s="9"/>
    </row>
    <row r="27" spans="1:5" x14ac:dyDescent="0.3">
      <c r="A27" s="9" t="s">
        <v>39</v>
      </c>
      <c r="B27" s="9" t="s">
        <v>37</v>
      </c>
      <c r="C27" s="9" t="s">
        <v>282</v>
      </c>
      <c r="D27" s="9"/>
      <c r="E27" s="9"/>
    </row>
    <row r="28" spans="1:5" x14ac:dyDescent="0.3">
      <c r="A28" s="9" t="s">
        <v>40</v>
      </c>
      <c r="B28" s="9" t="s">
        <v>41</v>
      </c>
      <c r="C28" s="9" t="s">
        <v>282</v>
      </c>
      <c r="D28" s="9"/>
      <c r="E28" s="9"/>
    </row>
    <row r="29" spans="1:5" x14ac:dyDescent="0.3">
      <c r="A29" s="9" t="s">
        <v>42</v>
      </c>
      <c r="B29" s="9" t="s">
        <v>33</v>
      </c>
      <c r="C29" s="9" t="s">
        <v>283</v>
      </c>
      <c r="D29" s="10" t="s">
        <v>288</v>
      </c>
      <c r="E29" s="11">
        <v>16484</v>
      </c>
    </row>
    <row r="30" spans="1:5" x14ac:dyDescent="0.3">
      <c r="A30" s="9" t="s">
        <v>43</v>
      </c>
      <c r="B30" s="9" t="s">
        <v>44</v>
      </c>
      <c r="C30" s="9" t="s">
        <v>282</v>
      </c>
      <c r="D30" s="9"/>
      <c r="E30" s="9"/>
    </row>
    <row r="31" spans="1:5" x14ac:dyDescent="0.3">
      <c r="A31" s="9" t="s">
        <v>45</v>
      </c>
      <c r="B31" s="9" t="s">
        <v>46</v>
      </c>
      <c r="C31" s="9" t="s">
        <v>282</v>
      </c>
      <c r="D31" s="9"/>
      <c r="E31" s="9"/>
    </row>
    <row r="32" spans="1:5" x14ac:dyDescent="0.3">
      <c r="A32" s="9" t="s">
        <v>47</v>
      </c>
      <c r="B32" s="9" t="s">
        <v>48</v>
      </c>
      <c r="C32" s="9" t="s">
        <v>282</v>
      </c>
      <c r="D32" s="9"/>
      <c r="E32" s="9"/>
    </row>
    <row r="33" spans="1:5" x14ac:dyDescent="0.3">
      <c r="A33" s="9" t="s">
        <v>49</v>
      </c>
      <c r="B33" s="9" t="s">
        <v>6</v>
      </c>
      <c r="C33" s="9" t="s">
        <v>282</v>
      </c>
      <c r="D33" s="9"/>
      <c r="E33" s="9"/>
    </row>
    <row r="34" spans="1:5" x14ac:dyDescent="0.3">
      <c r="A34" s="9" t="s">
        <v>50</v>
      </c>
      <c r="B34" s="9" t="s">
        <v>51</v>
      </c>
      <c r="C34" s="9" t="s">
        <v>282</v>
      </c>
      <c r="D34" s="9"/>
      <c r="E34" s="9"/>
    </row>
    <row r="35" spans="1:5" x14ac:dyDescent="0.3">
      <c r="A35" s="9" t="s">
        <v>52</v>
      </c>
      <c r="B35" s="9" t="s">
        <v>53</v>
      </c>
      <c r="C35" s="9" t="s">
        <v>282</v>
      </c>
      <c r="D35" s="9"/>
      <c r="E3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>
      <selection activeCell="C47" sqref="C47"/>
    </sheetView>
  </sheetViews>
  <sheetFormatPr defaultRowHeight="14.4" x14ac:dyDescent="0.3"/>
  <cols>
    <col min="1" max="1" width="94" bestFit="1" customWidth="1"/>
    <col min="2" max="2" width="69.44140625" customWidth="1"/>
    <col min="3" max="3" width="8.7773437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279</v>
      </c>
      <c r="D1" s="2" t="s">
        <v>280</v>
      </c>
      <c r="E1" s="2" t="s">
        <v>281</v>
      </c>
      <c r="G1" s="3" t="s">
        <v>282</v>
      </c>
      <c r="H1" s="4">
        <f>COUNTIF(C:C,G1)</f>
        <v>38</v>
      </c>
    </row>
    <row r="2" spans="1:8" x14ac:dyDescent="0.3">
      <c r="A2" t="s">
        <v>63</v>
      </c>
      <c r="B2" s="9" t="s">
        <v>60</v>
      </c>
      <c r="C2" s="10" t="s">
        <v>283</v>
      </c>
      <c r="D2" t="s">
        <v>285</v>
      </c>
      <c r="E2" s="2"/>
      <c r="G2" s="5"/>
      <c r="H2" s="6"/>
    </row>
    <row r="3" spans="1:8" x14ac:dyDescent="0.3">
      <c r="A3" s="9" t="s">
        <v>2</v>
      </c>
      <c r="B3" s="9" t="s">
        <v>3</v>
      </c>
      <c r="C3" s="9" t="s">
        <v>282</v>
      </c>
      <c r="D3" s="9"/>
      <c r="E3" s="9"/>
      <c r="G3" s="5" t="s">
        <v>283</v>
      </c>
      <c r="H3" s="6">
        <f>COUNTIF(C:C,G3)</f>
        <v>6</v>
      </c>
    </row>
    <row r="4" spans="1:8" ht="15" thickBot="1" x14ac:dyDescent="0.35">
      <c r="A4" s="9" t="s">
        <v>4</v>
      </c>
      <c r="B4" s="9" t="s">
        <v>4</v>
      </c>
      <c r="C4" s="9" t="s">
        <v>282</v>
      </c>
      <c r="D4" s="9"/>
      <c r="E4" s="9"/>
      <c r="G4" s="7" t="s">
        <v>284</v>
      </c>
      <c r="H4" s="8">
        <f>H1/SUM(H1:H3)</f>
        <v>0.86363636363636365</v>
      </c>
    </row>
    <row r="5" spans="1:8" x14ac:dyDescent="0.3">
      <c r="A5" s="9" t="s">
        <v>5</v>
      </c>
      <c r="B5" s="9" t="s">
        <v>6</v>
      </c>
      <c r="C5" s="9" t="s">
        <v>282</v>
      </c>
      <c r="D5" s="9"/>
      <c r="E5" s="9"/>
    </row>
    <row r="6" spans="1:8" x14ac:dyDescent="0.3">
      <c r="A6" s="9" t="s">
        <v>7</v>
      </c>
      <c r="B6" s="9" t="s">
        <v>7</v>
      </c>
      <c r="C6" s="9" t="s">
        <v>282</v>
      </c>
      <c r="D6" s="9"/>
      <c r="E6" s="9"/>
    </row>
    <row r="7" spans="1:8" x14ac:dyDescent="0.3">
      <c r="A7" s="9" t="s">
        <v>8</v>
      </c>
      <c r="B7" s="9" t="s">
        <v>9</v>
      </c>
      <c r="C7" s="9" t="s">
        <v>282</v>
      </c>
      <c r="D7" s="9"/>
      <c r="E7" s="9"/>
    </row>
    <row r="8" spans="1:8" x14ac:dyDescent="0.3">
      <c r="A8" s="9" t="s">
        <v>10</v>
      </c>
      <c r="B8" s="9" t="s">
        <v>11</v>
      </c>
      <c r="C8" s="9" t="s">
        <v>282</v>
      </c>
      <c r="D8" s="9"/>
      <c r="E8" s="9"/>
    </row>
    <row r="9" spans="1:8" x14ac:dyDescent="0.3">
      <c r="A9" s="9" t="s">
        <v>12</v>
      </c>
      <c r="B9" s="9" t="s">
        <v>13</v>
      </c>
      <c r="C9" s="9" t="s">
        <v>282</v>
      </c>
      <c r="D9" s="9"/>
      <c r="E9" s="9"/>
    </row>
    <row r="10" spans="1:8" x14ac:dyDescent="0.3">
      <c r="A10" s="9" t="s">
        <v>14</v>
      </c>
      <c r="B10" s="9" t="s">
        <v>14</v>
      </c>
      <c r="C10" s="9" t="s">
        <v>282</v>
      </c>
      <c r="D10" s="9"/>
      <c r="E10" s="9"/>
    </row>
    <row r="11" spans="1:8" x14ac:dyDescent="0.3">
      <c r="A11" s="9" t="s">
        <v>15</v>
      </c>
      <c r="B11" s="9" t="s">
        <v>16</v>
      </c>
      <c r="C11" s="9" t="s">
        <v>282</v>
      </c>
      <c r="D11" s="9"/>
      <c r="E11" s="9"/>
    </row>
    <row r="12" spans="1:8" x14ac:dyDescent="0.3">
      <c r="A12" s="9" t="s">
        <v>17</v>
      </c>
      <c r="B12" s="9" t="s">
        <v>17</v>
      </c>
      <c r="C12" s="9" t="s">
        <v>282</v>
      </c>
      <c r="D12" s="9"/>
      <c r="E12" s="9"/>
    </row>
    <row r="13" spans="1:8" x14ac:dyDescent="0.3">
      <c r="A13" s="9" t="s">
        <v>18</v>
      </c>
      <c r="B13" s="9" t="s">
        <v>18</v>
      </c>
      <c r="C13" s="9" t="s">
        <v>282</v>
      </c>
      <c r="D13" s="9"/>
      <c r="E13" s="9"/>
    </row>
    <row r="14" spans="1:8" x14ac:dyDescent="0.3">
      <c r="A14" s="9" t="s">
        <v>239</v>
      </c>
      <c r="B14" s="9" t="s">
        <v>240</v>
      </c>
      <c r="C14" s="9"/>
      <c r="D14" s="9" t="s">
        <v>286</v>
      </c>
      <c r="E14" s="9"/>
    </row>
    <row r="15" spans="1:8" x14ac:dyDescent="0.3">
      <c r="A15" s="9" t="s">
        <v>241</v>
      </c>
      <c r="B15" s="9" t="s">
        <v>242</v>
      </c>
      <c r="C15" s="9" t="s">
        <v>282</v>
      </c>
      <c r="D15" s="9"/>
      <c r="E15" s="9"/>
    </row>
    <row r="16" spans="1:8" x14ac:dyDescent="0.3">
      <c r="A16" s="9" t="s">
        <v>19</v>
      </c>
      <c r="B16" s="9" t="s">
        <v>20</v>
      </c>
      <c r="C16" s="9" t="s">
        <v>282</v>
      </c>
      <c r="D16" s="9"/>
      <c r="E16" s="9"/>
    </row>
    <row r="17" spans="1:5" x14ac:dyDescent="0.3">
      <c r="A17" s="9" t="s">
        <v>21</v>
      </c>
      <c r="B17" s="9" t="s">
        <v>6</v>
      </c>
      <c r="C17" s="9" t="s">
        <v>282</v>
      </c>
      <c r="D17" s="9"/>
      <c r="E17" s="9"/>
    </row>
    <row r="18" spans="1:5" x14ac:dyDescent="0.3">
      <c r="A18" s="9" t="s">
        <v>22</v>
      </c>
      <c r="B18" s="9" t="s">
        <v>23</v>
      </c>
      <c r="C18" s="9" t="s">
        <v>282</v>
      </c>
      <c r="D18" s="9"/>
      <c r="E18" s="9"/>
    </row>
    <row r="19" spans="1:5" x14ac:dyDescent="0.3">
      <c r="A19" s="9" t="s">
        <v>24</v>
      </c>
      <c r="B19" s="9" t="s">
        <v>23</v>
      </c>
      <c r="C19" s="9" t="s">
        <v>282</v>
      </c>
      <c r="D19" s="9"/>
      <c r="E19" s="9"/>
    </row>
    <row r="20" spans="1:5" x14ac:dyDescent="0.3">
      <c r="A20" s="9" t="s">
        <v>25</v>
      </c>
      <c r="B20" s="9" t="s">
        <v>25</v>
      </c>
      <c r="C20" s="9" t="s">
        <v>282</v>
      </c>
      <c r="D20" s="9"/>
      <c r="E20" s="9"/>
    </row>
    <row r="21" spans="1:5" x14ac:dyDescent="0.3">
      <c r="A21" s="9" t="s">
        <v>26</v>
      </c>
      <c r="B21" s="9" t="s">
        <v>27</v>
      </c>
      <c r="C21" s="9"/>
      <c r="D21" s="9" t="s">
        <v>286</v>
      </c>
      <c r="E21" s="9"/>
    </row>
    <row r="22" spans="1:5" x14ac:dyDescent="0.3">
      <c r="A22" s="9" t="s">
        <v>28</v>
      </c>
      <c r="B22" s="9" t="s">
        <v>29</v>
      </c>
      <c r="C22" s="9" t="s">
        <v>282</v>
      </c>
      <c r="D22" s="9"/>
      <c r="E22" s="9"/>
    </row>
    <row r="23" spans="1:5" x14ac:dyDescent="0.3">
      <c r="A23" s="9" t="s">
        <v>30</v>
      </c>
      <c r="B23" s="9" t="s">
        <v>6</v>
      </c>
      <c r="C23" s="9" t="s">
        <v>282</v>
      </c>
      <c r="D23" s="9"/>
      <c r="E23" s="9"/>
    </row>
    <row r="24" spans="1:5" x14ac:dyDescent="0.3">
      <c r="A24" s="9" t="s">
        <v>31</v>
      </c>
      <c r="B24" s="9" t="s">
        <v>6</v>
      </c>
      <c r="C24" s="9" t="s">
        <v>282</v>
      </c>
      <c r="D24" s="9"/>
      <c r="E24" s="9"/>
    </row>
    <row r="25" spans="1:5" x14ac:dyDescent="0.3">
      <c r="A25" s="9" t="s">
        <v>32</v>
      </c>
      <c r="B25" s="9" t="s">
        <v>33</v>
      </c>
      <c r="C25" s="9" t="s">
        <v>282</v>
      </c>
      <c r="D25" s="9"/>
      <c r="E25" s="9"/>
    </row>
    <row r="26" spans="1:5" x14ac:dyDescent="0.3">
      <c r="A26" s="9" t="s">
        <v>243</v>
      </c>
      <c r="B26" s="9" t="s">
        <v>35</v>
      </c>
      <c r="C26" s="9" t="s">
        <v>282</v>
      </c>
      <c r="D26" s="9"/>
      <c r="E26" s="9"/>
    </row>
    <row r="27" spans="1:5" x14ac:dyDescent="0.3">
      <c r="A27" s="9" t="s">
        <v>36</v>
      </c>
      <c r="B27" s="9" t="s">
        <v>37</v>
      </c>
      <c r="C27" s="9" t="s">
        <v>283</v>
      </c>
      <c r="D27" s="9" t="s">
        <v>287</v>
      </c>
      <c r="E27" s="9"/>
    </row>
    <row r="28" spans="1:5" x14ac:dyDescent="0.3">
      <c r="A28" s="9" t="s">
        <v>244</v>
      </c>
      <c r="B28" s="9" t="s">
        <v>37</v>
      </c>
      <c r="C28" s="9" t="s">
        <v>282</v>
      </c>
      <c r="D28" s="9"/>
      <c r="E28" s="9"/>
    </row>
    <row r="29" spans="1:5" x14ac:dyDescent="0.3">
      <c r="A29" s="9" t="s">
        <v>245</v>
      </c>
      <c r="B29" s="9" t="s">
        <v>37</v>
      </c>
      <c r="C29" s="9" t="s">
        <v>282</v>
      </c>
      <c r="D29" s="9"/>
      <c r="E29" s="9"/>
    </row>
    <row r="30" spans="1:5" x14ac:dyDescent="0.3">
      <c r="A30" s="9" t="s">
        <v>39</v>
      </c>
      <c r="B30" s="9" t="s">
        <v>37</v>
      </c>
      <c r="C30" s="9" t="s">
        <v>282</v>
      </c>
      <c r="D30" s="9"/>
      <c r="E30" s="9"/>
    </row>
    <row r="31" spans="1:5" x14ac:dyDescent="0.3">
      <c r="A31" s="9" t="s">
        <v>40</v>
      </c>
      <c r="B31" s="9" t="s">
        <v>41</v>
      </c>
      <c r="C31" s="9" t="s">
        <v>282</v>
      </c>
      <c r="D31" s="9"/>
      <c r="E31" s="9"/>
    </row>
    <row r="32" spans="1:5" x14ac:dyDescent="0.3">
      <c r="A32" s="9" t="s">
        <v>42</v>
      </c>
      <c r="B32" s="9" t="s">
        <v>33</v>
      </c>
      <c r="C32" s="9" t="s">
        <v>283</v>
      </c>
      <c r="D32" s="10" t="s">
        <v>288</v>
      </c>
      <c r="E32" s="11">
        <v>16484</v>
      </c>
    </row>
    <row r="33" spans="1:5" x14ac:dyDescent="0.3">
      <c r="A33" s="9" t="s">
        <v>246</v>
      </c>
      <c r="B33" s="9" t="s">
        <v>44</v>
      </c>
      <c r="C33" s="9" t="s">
        <v>282</v>
      </c>
      <c r="D33" s="9"/>
      <c r="E33" s="9"/>
    </row>
    <row r="34" spans="1:5" x14ac:dyDescent="0.3">
      <c r="A34" s="9" t="s">
        <v>247</v>
      </c>
      <c r="B34" s="9" t="s">
        <v>248</v>
      </c>
      <c r="C34" s="9" t="s">
        <v>282</v>
      </c>
      <c r="D34" s="9"/>
      <c r="E34" s="9"/>
    </row>
    <row r="35" spans="1:5" x14ac:dyDescent="0.3">
      <c r="A35" s="9" t="s">
        <v>249</v>
      </c>
      <c r="B35" s="9" t="s">
        <v>250</v>
      </c>
      <c r="C35" s="9" t="s">
        <v>282</v>
      </c>
      <c r="D35" s="9"/>
      <c r="E35" s="9"/>
    </row>
    <row r="36" spans="1:5" x14ac:dyDescent="0.3">
      <c r="A36" s="9" t="s">
        <v>251</v>
      </c>
      <c r="B36" s="9" t="s">
        <v>6</v>
      </c>
      <c r="C36" s="9" t="s">
        <v>283</v>
      </c>
      <c r="D36" s="9" t="s">
        <v>289</v>
      </c>
      <c r="E36" s="12">
        <v>22298</v>
      </c>
    </row>
    <row r="37" spans="1:5" x14ac:dyDescent="0.3">
      <c r="A37" s="9" t="s">
        <v>252</v>
      </c>
      <c r="B37" s="9" t="s">
        <v>253</v>
      </c>
      <c r="C37" s="9" t="s">
        <v>282</v>
      </c>
      <c r="D37" s="9"/>
      <c r="E37" s="9"/>
    </row>
    <row r="38" spans="1:5" x14ac:dyDescent="0.3">
      <c r="A38" s="9" t="s">
        <v>249</v>
      </c>
      <c r="B38" s="9" t="s">
        <v>250</v>
      </c>
      <c r="C38" s="9" t="s">
        <v>282</v>
      </c>
      <c r="D38" s="9"/>
      <c r="E38" s="9"/>
    </row>
    <row r="39" spans="1:5" x14ac:dyDescent="0.3">
      <c r="A39" s="9" t="s">
        <v>251</v>
      </c>
      <c r="B39" s="9" t="s">
        <v>6</v>
      </c>
      <c r="C39" s="9" t="s">
        <v>283</v>
      </c>
      <c r="D39" s="9" t="s">
        <v>289</v>
      </c>
      <c r="E39" s="12">
        <v>22290</v>
      </c>
    </row>
    <row r="40" spans="1:5" x14ac:dyDescent="0.3">
      <c r="A40" s="9" t="s">
        <v>254</v>
      </c>
      <c r="B40" s="9" t="s">
        <v>255</v>
      </c>
      <c r="C40" s="9" t="s">
        <v>282</v>
      </c>
      <c r="D40" s="9"/>
      <c r="E40" s="9"/>
    </row>
    <row r="41" spans="1:5" x14ac:dyDescent="0.3">
      <c r="A41" s="9" t="s">
        <v>249</v>
      </c>
      <c r="B41" s="9" t="s">
        <v>250</v>
      </c>
      <c r="C41" s="9" t="s">
        <v>282</v>
      </c>
      <c r="D41" s="9"/>
      <c r="E41" s="9"/>
    </row>
    <row r="42" spans="1:5" x14ac:dyDescent="0.3">
      <c r="A42" s="9" t="s">
        <v>251</v>
      </c>
      <c r="B42" s="9" t="s">
        <v>6</v>
      </c>
      <c r="C42" s="9" t="s">
        <v>283</v>
      </c>
      <c r="D42" s="9" t="s">
        <v>289</v>
      </c>
      <c r="E42" s="12">
        <v>22302</v>
      </c>
    </row>
    <row r="43" spans="1:5" x14ac:dyDescent="0.3">
      <c r="A43" s="9" t="s">
        <v>45</v>
      </c>
      <c r="B43" s="9" t="s">
        <v>46</v>
      </c>
      <c r="C43" s="9" t="s">
        <v>282</v>
      </c>
      <c r="D43" s="9"/>
      <c r="E43" s="9"/>
    </row>
    <row r="44" spans="1:5" x14ac:dyDescent="0.3">
      <c r="A44" s="9" t="s">
        <v>47</v>
      </c>
      <c r="B44" s="9" t="s">
        <v>48</v>
      </c>
      <c r="C44" s="9" t="s">
        <v>282</v>
      </c>
      <c r="D44" s="9"/>
      <c r="E44" s="9"/>
    </row>
    <row r="45" spans="1:5" x14ac:dyDescent="0.3">
      <c r="A45" s="9" t="s">
        <v>49</v>
      </c>
      <c r="B45" s="9" t="s">
        <v>6</v>
      </c>
      <c r="C45" s="9" t="s">
        <v>282</v>
      </c>
      <c r="D45" s="9"/>
      <c r="E45" s="9"/>
    </row>
    <row r="46" spans="1:5" x14ac:dyDescent="0.3">
      <c r="A46" s="9" t="s">
        <v>50</v>
      </c>
      <c r="B46" s="9" t="s">
        <v>51</v>
      </c>
      <c r="C46" s="9" t="s">
        <v>282</v>
      </c>
      <c r="D46" s="9"/>
      <c r="E46" s="9"/>
    </row>
    <row r="47" spans="1:5" x14ac:dyDescent="0.3">
      <c r="A47" s="9" t="s">
        <v>52</v>
      </c>
      <c r="B47" s="9" t="s">
        <v>53</v>
      </c>
      <c r="C47" s="9" t="s">
        <v>282</v>
      </c>
      <c r="D47" s="9"/>
      <c r="E4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>
      <selection activeCell="D50" sqref="D50:E50"/>
    </sheetView>
  </sheetViews>
  <sheetFormatPr defaultRowHeight="14.4" x14ac:dyDescent="0.3"/>
  <cols>
    <col min="1" max="1" width="71.77734375" bestFit="1" customWidth="1"/>
    <col min="2" max="2" width="43" bestFit="1" customWidth="1"/>
    <col min="3" max="3" width="8.664062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279</v>
      </c>
      <c r="D1" s="2" t="s">
        <v>280</v>
      </c>
      <c r="E1" s="2" t="s">
        <v>281</v>
      </c>
      <c r="G1" s="3" t="s">
        <v>282</v>
      </c>
      <c r="H1" s="4">
        <f>COUNTIF(C:C,G1)</f>
        <v>47</v>
      </c>
    </row>
    <row r="2" spans="1:8" x14ac:dyDescent="0.3">
      <c r="A2" s="9" t="s">
        <v>76</v>
      </c>
      <c r="B2" s="9" t="s">
        <v>6</v>
      </c>
      <c r="C2" s="9" t="s">
        <v>282</v>
      </c>
      <c r="D2" s="9"/>
      <c r="E2" s="9"/>
      <c r="G2" s="5" t="s">
        <v>283</v>
      </c>
      <c r="H2" s="6">
        <f>COUNTIF(C:C,G2)</f>
        <v>6</v>
      </c>
    </row>
    <row r="3" spans="1:8" ht="15" thickBot="1" x14ac:dyDescent="0.35">
      <c r="A3" s="9" t="s">
        <v>77</v>
      </c>
      <c r="B3" s="9" t="s">
        <v>78</v>
      </c>
      <c r="C3" s="9" t="s">
        <v>282</v>
      </c>
      <c r="D3" s="9"/>
      <c r="E3" s="9"/>
      <c r="G3" s="7" t="s">
        <v>284</v>
      </c>
      <c r="H3" s="8">
        <f>H1/SUM(H1:H2)</f>
        <v>0.8867924528301887</v>
      </c>
    </row>
    <row r="4" spans="1:8" x14ac:dyDescent="0.3">
      <c r="A4" s="9" t="s">
        <v>79</v>
      </c>
      <c r="B4" s="9" t="s">
        <v>80</v>
      </c>
      <c r="C4" s="9" t="s">
        <v>282</v>
      </c>
      <c r="D4" s="9"/>
      <c r="E4" s="9"/>
    </row>
    <row r="5" spans="1:8" x14ac:dyDescent="0.3">
      <c r="A5" s="9" t="s">
        <v>81</v>
      </c>
      <c r="B5" s="9" t="s">
        <v>82</v>
      </c>
      <c r="C5" s="9" t="s">
        <v>282</v>
      </c>
      <c r="D5" s="9"/>
      <c r="E5" s="9"/>
    </row>
    <row r="6" spans="1:8" x14ac:dyDescent="0.3">
      <c r="A6" s="9" t="s">
        <v>83</v>
      </c>
      <c r="B6" s="9" t="s">
        <v>83</v>
      </c>
      <c r="C6" s="9" t="s">
        <v>282</v>
      </c>
      <c r="D6" s="9"/>
      <c r="E6" s="9"/>
    </row>
    <row r="7" spans="1:8" x14ac:dyDescent="0.3">
      <c r="A7" s="9" t="s">
        <v>84</v>
      </c>
      <c r="B7" s="9" t="s">
        <v>85</v>
      </c>
      <c r="C7" s="9" t="s">
        <v>282</v>
      </c>
      <c r="D7" s="9"/>
      <c r="E7" s="9"/>
    </row>
    <row r="8" spans="1:8" x14ac:dyDescent="0.3">
      <c r="A8" s="9" t="s">
        <v>86</v>
      </c>
      <c r="B8" s="9" t="s">
        <v>6</v>
      </c>
      <c r="C8" s="9" t="s">
        <v>282</v>
      </c>
      <c r="D8" s="9"/>
      <c r="E8" s="9"/>
    </row>
    <row r="9" spans="1:8" x14ac:dyDescent="0.3">
      <c r="A9" s="9" t="s">
        <v>87</v>
      </c>
      <c r="B9" s="9" t="s">
        <v>88</v>
      </c>
      <c r="C9" s="9" t="s">
        <v>282</v>
      </c>
      <c r="D9" s="9"/>
      <c r="E9" s="9"/>
    </row>
    <row r="10" spans="1:8" x14ac:dyDescent="0.3">
      <c r="A10" s="9" t="s">
        <v>89</v>
      </c>
      <c r="B10" s="9" t="s">
        <v>90</v>
      </c>
      <c r="C10" s="9" t="s">
        <v>283</v>
      </c>
      <c r="D10" s="9" t="s">
        <v>290</v>
      </c>
      <c r="E10" s="12">
        <v>20217</v>
      </c>
    </row>
    <row r="11" spans="1:8" x14ac:dyDescent="0.3">
      <c r="A11" s="9" t="s">
        <v>91</v>
      </c>
      <c r="B11" s="9" t="s">
        <v>92</v>
      </c>
      <c r="C11" s="9" t="s">
        <v>282</v>
      </c>
      <c r="D11" s="9"/>
      <c r="E11" s="9"/>
    </row>
    <row r="12" spans="1:8" x14ac:dyDescent="0.3">
      <c r="A12" s="9" t="s">
        <v>93</v>
      </c>
      <c r="B12" s="9" t="s">
        <v>94</v>
      </c>
      <c r="C12" s="9" t="s">
        <v>282</v>
      </c>
      <c r="D12" s="9"/>
      <c r="E12" s="9"/>
    </row>
    <row r="13" spans="1:8" x14ac:dyDescent="0.3">
      <c r="A13" s="9" t="s">
        <v>95</v>
      </c>
      <c r="B13" s="9" t="s">
        <v>95</v>
      </c>
      <c r="C13" s="9" t="s">
        <v>282</v>
      </c>
      <c r="D13" s="9"/>
      <c r="E13" s="9"/>
    </row>
    <row r="14" spans="1:8" x14ac:dyDescent="0.3">
      <c r="A14" s="9" t="s">
        <v>96</v>
      </c>
      <c r="B14" s="9" t="s">
        <v>96</v>
      </c>
      <c r="C14" s="9" t="s">
        <v>282</v>
      </c>
      <c r="D14" s="9"/>
      <c r="E14" s="9"/>
    </row>
    <row r="15" spans="1:8" x14ac:dyDescent="0.3">
      <c r="A15" s="9" t="s">
        <v>97</v>
      </c>
      <c r="B15" s="9" t="s">
        <v>6</v>
      </c>
      <c r="C15" s="9" t="s">
        <v>282</v>
      </c>
      <c r="D15" s="9"/>
      <c r="E15" s="9"/>
    </row>
    <row r="16" spans="1:8" x14ac:dyDescent="0.3">
      <c r="A16" s="9" t="s">
        <v>98</v>
      </c>
      <c r="B16" s="9" t="s">
        <v>98</v>
      </c>
      <c r="C16" s="9" t="s">
        <v>282</v>
      </c>
      <c r="D16" s="9"/>
      <c r="E16" s="9"/>
    </row>
    <row r="17" spans="1:5" x14ac:dyDescent="0.3">
      <c r="A17" s="9" t="s">
        <v>86</v>
      </c>
      <c r="B17" s="9" t="s">
        <v>6</v>
      </c>
      <c r="C17" s="9" t="s">
        <v>282</v>
      </c>
      <c r="D17" s="9"/>
      <c r="E17" s="9"/>
    </row>
    <row r="18" spans="1:5" x14ac:dyDescent="0.3">
      <c r="A18" s="9" t="s">
        <v>87</v>
      </c>
      <c r="B18" s="9" t="s">
        <v>88</v>
      </c>
      <c r="C18" s="9" t="s">
        <v>283</v>
      </c>
      <c r="D18" s="9" t="s">
        <v>291</v>
      </c>
      <c r="E18" s="12">
        <v>13724</v>
      </c>
    </row>
    <row r="19" spans="1:5" x14ac:dyDescent="0.3">
      <c r="A19" s="9" t="s">
        <v>99</v>
      </c>
      <c r="B19" s="9" t="s">
        <v>99</v>
      </c>
      <c r="C19" s="9" t="s">
        <v>282</v>
      </c>
      <c r="D19" s="9"/>
      <c r="E19" s="9"/>
    </row>
    <row r="20" spans="1:5" x14ac:dyDescent="0.3">
      <c r="A20" s="9" t="s">
        <v>100</v>
      </c>
      <c r="B20" s="9" t="s">
        <v>101</v>
      </c>
      <c r="C20" s="9" t="s">
        <v>282</v>
      </c>
      <c r="D20" s="9"/>
      <c r="E20" s="9"/>
    </row>
    <row r="21" spans="1:5" x14ac:dyDescent="0.3">
      <c r="A21" s="9" t="s">
        <v>102</v>
      </c>
      <c r="B21" s="9" t="s">
        <v>103</v>
      </c>
      <c r="C21" s="9" t="s">
        <v>282</v>
      </c>
      <c r="D21" s="9"/>
      <c r="E21" s="9"/>
    </row>
    <row r="22" spans="1:5" x14ac:dyDescent="0.3">
      <c r="A22" s="9" t="s">
        <v>89</v>
      </c>
      <c r="B22" s="9" t="s">
        <v>90</v>
      </c>
      <c r="C22" s="9" t="s">
        <v>282</v>
      </c>
      <c r="D22" s="9"/>
      <c r="E22" s="9"/>
    </row>
    <row r="23" spans="1:5" x14ac:dyDescent="0.3">
      <c r="A23" s="9" t="s">
        <v>91</v>
      </c>
      <c r="B23" s="9" t="s">
        <v>92</v>
      </c>
      <c r="C23" s="9" t="s">
        <v>283</v>
      </c>
      <c r="D23" s="9" t="s">
        <v>292</v>
      </c>
      <c r="E23" s="12">
        <v>20231</v>
      </c>
    </row>
    <row r="24" spans="1:5" x14ac:dyDescent="0.3">
      <c r="A24" s="9" t="s">
        <v>104</v>
      </c>
      <c r="B24" s="9" t="s">
        <v>104</v>
      </c>
      <c r="C24" s="9" t="s">
        <v>282</v>
      </c>
      <c r="D24" s="9"/>
      <c r="E24" s="9"/>
    </row>
    <row r="25" spans="1:5" x14ac:dyDescent="0.3">
      <c r="A25" s="9" t="s">
        <v>105</v>
      </c>
      <c r="B25" s="9" t="s">
        <v>105</v>
      </c>
      <c r="C25" s="9" t="s">
        <v>282</v>
      </c>
      <c r="D25" s="9"/>
      <c r="E25" s="9"/>
    </row>
    <row r="26" spans="1:5" x14ac:dyDescent="0.3">
      <c r="A26" s="9" t="s">
        <v>106</v>
      </c>
      <c r="B26" s="9" t="s">
        <v>106</v>
      </c>
      <c r="C26" s="9" t="s">
        <v>282</v>
      </c>
      <c r="D26" s="9"/>
      <c r="E26" s="9"/>
    </row>
    <row r="27" spans="1:5" x14ac:dyDescent="0.3">
      <c r="A27" s="9" t="s">
        <v>107</v>
      </c>
      <c r="B27" s="9" t="s">
        <v>107</v>
      </c>
      <c r="C27" s="9" t="s">
        <v>282</v>
      </c>
      <c r="D27" s="9"/>
      <c r="E27" s="9"/>
    </row>
    <row r="28" spans="1:5" x14ac:dyDescent="0.3">
      <c r="A28" s="9" t="s">
        <v>108</v>
      </c>
      <c r="B28" s="9" t="s">
        <v>6</v>
      </c>
      <c r="C28" s="9" t="s">
        <v>282</v>
      </c>
      <c r="D28" s="9"/>
      <c r="E28" s="9"/>
    </row>
    <row r="29" spans="1:5" x14ac:dyDescent="0.3">
      <c r="A29" s="9" t="s">
        <v>109</v>
      </c>
      <c r="B29" s="9" t="s">
        <v>6</v>
      </c>
      <c r="C29" s="9" t="s">
        <v>282</v>
      </c>
      <c r="D29" s="9"/>
      <c r="E29" s="9"/>
    </row>
    <row r="30" spans="1:5" x14ac:dyDescent="0.3">
      <c r="A30" s="9" t="s">
        <v>110</v>
      </c>
      <c r="B30" s="9" t="s">
        <v>111</v>
      </c>
      <c r="C30" s="9" t="s">
        <v>282</v>
      </c>
      <c r="D30" s="9"/>
      <c r="E30" s="9"/>
    </row>
    <row r="31" spans="1:5" x14ac:dyDescent="0.3">
      <c r="A31" s="9" t="s">
        <v>47</v>
      </c>
      <c r="B31" s="9" t="s">
        <v>112</v>
      </c>
      <c r="C31" s="9" t="s">
        <v>282</v>
      </c>
      <c r="D31" s="9"/>
      <c r="E31" s="9"/>
    </row>
    <row r="32" spans="1:5" x14ac:dyDescent="0.3">
      <c r="A32" s="9" t="s">
        <v>113</v>
      </c>
      <c r="B32" s="9" t="s">
        <v>114</v>
      </c>
      <c r="C32" s="9" t="s">
        <v>282</v>
      </c>
      <c r="D32" s="9"/>
      <c r="E32" s="9"/>
    </row>
    <row r="33" spans="1:5" x14ac:dyDescent="0.3">
      <c r="A33" s="9" t="s">
        <v>115</v>
      </c>
      <c r="B33" s="9" t="s">
        <v>6</v>
      </c>
      <c r="C33" s="9" t="s">
        <v>282</v>
      </c>
      <c r="D33" s="9"/>
      <c r="E33" s="9"/>
    </row>
    <row r="34" spans="1:5" x14ac:dyDescent="0.3">
      <c r="A34" s="9" t="s">
        <v>116</v>
      </c>
      <c r="B34" s="9" t="s">
        <v>6</v>
      </c>
      <c r="C34" s="9" t="s">
        <v>282</v>
      </c>
      <c r="D34" s="9"/>
      <c r="E34" s="9"/>
    </row>
    <row r="35" spans="1:5" x14ac:dyDescent="0.3">
      <c r="A35" s="9" t="s">
        <v>117</v>
      </c>
      <c r="B35" s="9" t="s">
        <v>6</v>
      </c>
      <c r="C35" s="9" t="s">
        <v>282</v>
      </c>
      <c r="D35" s="9"/>
      <c r="E35" s="9"/>
    </row>
    <row r="36" spans="1:5" x14ac:dyDescent="0.3">
      <c r="A36" s="9" t="s">
        <v>118</v>
      </c>
      <c r="B36" s="9" t="s">
        <v>118</v>
      </c>
      <c r="C36" s="9" t="s">
        <v>282</v>
      </c>
      <c r="D36" s="9"/>
      <c r="E36" s="9"/>
    </row>
    <row r="37" spans="1:5" x14ac:dyDescent="0.3">
      <c r="A37" s="9" t="s">
        <v>119</v>
      </c>
      <c r="B37" s="9" t="s">
        <v>120</v>
      </c>
      <c r="C37" s="9" t="s">
        <v>282</v>
      </c>
      <c r="D37" s="9"/>
      <c r="E37" s="9"/>
    </row>
    <row r="38" spans="1:5" x14ac:dyDescent="0.3">
      <c r="A38" s="9" t="s">
        <v>121</v>
      </c>
      <c r="B38" s="9" t="s">
        <v>122</v>
      </c>
      <c r="C38" s="9" t="s">
        <v>282</v>
      </c>
      <c r="D38" s="9"/>
      <c r="E38" s="9"/>
    </row>
    <row r="39" spans="1:5" x14ac:dyDescent="0.3">
      <c r="A39" s="9" t="s">
        <v>123</v>
      </c>
      <c r="B39" s="9" t="s">
        <v>124</v>
      </c>
      <c r="C39" s="9" t="s">
        <v>282</v>
      </c>
      <c r="D39" s="9"/>
      <c r="E39" s="9"/>
    </row>
    <row r="40" spans="1:5" x14ac:dyDescent="0.3">
      <c r="A40" s="9" t="s">
        <v>125</v>
      </c>
      <c r="B40" s="9" t="s">
        <v>125</v>
      </c>
      <c r="C40" s="9" t="s">
        <v>282</v>
      </c>
      <c r="D40" s="9"/>
      <c r="E40" s="9"/>
    </row>
    <row r="41" spans="1:5" x14ac:dyDescent="0.3">
      <c r="A41" s="9" t="s">
        <v>126</v>
      </c>
      <c r="B41" s="9" t="s">
        <v>126</v>
      </c>
      <c r="C41" s="9" t="s">
        <v>282</v>
      </c>
      <c r="D41" s="9"/>
      <c r="E41" s="9"/>
    </row>
    <row r="42" spans="1:5" x14ac:dyDescent="0.3">
      <c r="A42" s="9" t="s">
        <v>127</v>
      </c>
      <c r="B42" s="9" t="s">
        <v>6</v>
      </c>
      <c r="C42" s="9" t="s">
        <v>282</v>
      </c>
      <c r="D42" s="9"/>
      <c r="E42" s="9"/>
    </row>
    <row r="43" spans="1:5" x14ac:dyDescent="0.3">
      <c r="A43" s="9" t="s">
        <v>117</v>
      </c>
      <c r="B43" s="9" t="s">
        <v>6</v>
      </c>
      <c r="C43" s="9" t="s">
        <v>282</v>
      </c>
      <c r="D43" s="9"/>
      <c r="E43" s="9"/>
    </row>
    <row r="44" spans="1:5" x14ac:dyDescent="0.3">
      <c r="A44" s="9" t="s">
        <v>128</v>
      </c>
      <c r="B44" s="9" t="s">
        <v>118</v>
      </c>
      <c r="C44" s="9" t="s">
        <v>282</v>
      </c>
      <c r="D44" s="9"/>
      <c r="E44" s="9"/>
    </row>
    <row r="45" spans="1:5" x14ac:dyDescent="0.3">
      <c r="A45" s="9" t="s">
        <v>129</v>
      </c>
      <c r="B45" s="9" t="s">
        <v>129</v>
      </c>
      <c r="C45" s="9" t="s">
        <v>283</v>
      </c>
      <c r="D45" s="9" t="s">
        <v>287</v>
      </c>
      <c r="E45" s="9"/>
    </row>
    <row r="46" spans="1:5" x14ac:dyDescent="0.3">
      <c r="A46" s="9" t="s">
        <v>130</v>
      </c>
      <c r="B46" s="9" t="s">
        <v>129</v>
      </c>
      <c r="C46" s="9" t="s">
        <v>282</v>
      </c>
      <c r="D46" s="9"/>
      <c r="E46" s="9"/>
    </row>
    <row r="47" spans="1:5" x14ac:dyDescent="0.3">
      <c r="A47" s="9" t="s">
        <v>131</v>
      </c>
      <c r="B47" s="9" t="s">
        <v>129</v>
      </c>
      <c r="C47" s="9" t="s">
        <v>282</v>
      </c>
      <c r="D47" s="9"/>
      <c r="E47" s="9"/>
    </row>
    <row r="48" spans="1:5" x14ac:dyDescent="0.3">
      <c r="A48" s="9" t="s">
        <v>119</v>
      </c>
      <c r="B48" s="9" t="s">
        <v>120</v>
      </c>
      <c r="C48" s="9" t="s">
        <v>283</v>
      </c>
      <c r="D48" s="9" t="s">
        <v>294</v>
      </c>
      <c r="E48" s="12">
        <v>20214</v>
      </c>
    </row>
    <row r="49" spans="1:5" x14ac:dyDescent="0.3">
      <c r="A49" s="9" t="s">
        <v>132</v>
      </c>
      <c r="B49" s="9" t="s">
        <v>133</v>
      </c>
      <c r="C49" s="9" t="s">
        <v>282</v>
      </c>
      <c r="D49" s="9"/>
      <c r="E49" s="9"/>
    </row>
    <row r="50" spans="1:5" x14ac:dyDescent="0.3">
      <c r="A50" s="9" t="s">
        <v>121</v>
      </c>
      <c r="B50" s="9" t="s">
        <v>122</v>
      </c>
      <c r="C50" s="9" t="s">
        <v>283</v>
      </c>
      <c r="D50" s="9" t="s">
        <v>295</v>
      </c>
      <c r="E50" s="12">
        <v>13767</v>
      </c>
    </row>
    <row r="51" spans="1:5" x14ac:dyDescent="0.3">
      <c r="A51" s="9" t="s">
        <v>134</v>
      </c>
      <c r="B51" s="9" t="s">
        <v>134</v>
      </c>
      <c r="C51" s="9" t="s">
        <v>282</v>
      </c>
      <c r="D51" s="9"/>
      <c r="E51" s="9"/>
    </row>
    <row r="52" spans="1:5" x14ac:dyDescent="0.3">
      <c r="A52" s="9" t="s">
        <v>135</v>
      </c>
      <c r="B52" s="9" t="s">
        <v>135</v>
      </c>
      <c r="C52" s="9" t="s">
        <v>282</v>
      </c>
      <c r="D52" s="9"/>
      <c r="E52" s="9"/>
    </row>
    <row r="53" spans="1:5" x14ac:dyDescent="0.3">
      <c r="A53" s="9" t="s">
        <v>136</v>
      </c>
      <c r="B53" s="9" t="s">
        <v>27</v>
      </c>
      <c r="C53" s="9" t="s">
        <v>282</v>
      </c>
      <c r="D53" s="9"/>
      <c r="E53" s="9"/>
    </row>
    <row r="54" spans="1:5" x14ac:dyDescent="0.3">
      <c r="A54" s="9" t="s">
        <v>137</v>
      </c>
      <c r="B54" s="9" t="s">
        <v>138</v>
      </c>
      <c r="C54" s="9" t="s">
        <v>282</v>
      </c>
      <c r="D54" s="9"/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9"/>
  <sheetViews>
    <sheetView topLeftCell="A33" workbookViewId="0">
      <selection activeCell="D55" sqref="D55:E55"/>
    </sheetView>
  </sheetViews>
  <sheetFormatPr defaultRowHeight="14.4" x14ac:dyDescent="0.3"/>
  <cols>
    <col min="1" max="1" width="71.77734375" bestFit="1" customWidth="1"/>
    <col min="2" max="2" width="44" bestFit="1" customWidth="1"/>
    <col min="3" max="3" width="8.4414062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279</v>
      </c>
      <c r="D1" s="2" t="s">
        <v>280</v>
      </c>
      <c r="E1" s="2" t="s">
        <v>281</v>
      </c>
      <c r="G1" s="3" t="s">
        <v>282</v>
      </c>
      <c r="H1" s="4">
        <f>COUNTIF(C:C,G1)</f>
        <v>49</v>
      </c>
    </row>
    <row r="2" spans="1:8" x14ac:dyDescent="0.3">
      <c r="A2" s="9" t="s">
        <v>76</v>
      </c>
      <c r="B2" s="9" t="s">
        <v>6</v>
      </c>
      <c r="C2" s="9" t="s">
        <v>282</v>
      </c>
      <c r="D2" s="9"/>
      <c r="E2" s="9"/>
      <c r="G2" s="5" t="s">
        <v>283</v>
      </c>
      <c r="H2" s="6">
        <f>COUNTIF(C:C,G2)</f>
        <v>8</v>
      </c>
    </row>
    <row r="3" spans="1:8" ht="15" thickBot="1" x14ac:dyDescent="0.35">
      <c r="A3" s="9" t="s">
        <v>77</v>
      </c>
      <c r="B3" s="9" t="s">
        <v>78</v>
      </c>
      <c r="C3" s="9" t="s">
        <v>282</v>
      </c>
      <c r="D3" s="9"/>
      <c r="E3" s="9"/>
      <c r="G3" s="7" t="s">
        <v>284</v>
      </c>
      <c r="H3" s="8">
        <f>H1/SUM(H1:H2)</f>
        <v>0.85964912280701755</v>
      </c>
    </row>
    <row r="4" spans="1:8" x14ac:dyDescent="0.3">
      <c r="A4" s="9" t="s">
        <v>79</v>
      </c>
      <c r="B4" s="9" t="s">
        <v>80</v>
      </c>
      <c r="C4" s="9" t="s">
        <v>282</v>
      </c>
      <c r="D4" s="9"/>
      <c r="E4" s="9"/>
    </row>
    <row r="5" spans="1:8" x14ac:dyDescent="0.3">
      <c r="A5" s="9" t="s">
        <v>81</v>
      </c>
      <c r="B5" s="9" t="s">
        <v>82</v>
      </c>
      <c r="C5" s="9" t="s">
        <v>282</v>
      </c>
      <c r="D5" s="9"/>
      <c r="E5" s="9"/>
    </row>
    <row r="6" spans="1:8" x14ac:dyDescent="0.3">
      <c r="A6" s="9" t="s">
        <v>83</v>
      </c>
      <c r="B6" s="9" t="s">
        <v>83</v>
      </c>
      <c r="C6" s="9" t="s">
        <v>282</v>
      </c>
      <c r="D6" s="9"/>
      <c r="E6" s="9"/>
    </row>
    <row r="7" spans="1:8" x14ac:dyDescent="0.3">
      <c r="A7" s="9" t="s">
        <v>84</v>
      </c>
      <c r="B7" s="9" t="s">
        <v>85</v>
      </c>
      <c r="C7" s="9" t="s">
        <v>282</v>
      </c>
      <c r="D7" s="9"/>
      <c r="E7" s="9"/>
    </row>
    <row r="8" spans="1:8" x14ac:dyDescent="0.3">
      <c r="A8" s="9" t="s">
        <v>257</v>
      </c>
      <c r="B8" s="9" t="s">
        <v>258</v>
      </c>
      <c r="C8" s="9" t="s">
        <v>283</v>
      </c>
      <c r="D8" s="9" t="s">
        <v>88</v>
      </c>
      <c r="E8" s="12">
        <v>13748</v>
      </c>
    </row>
    <row r="9" spans="1:8" x14ac:dyDescent="0.3">
      <c r="A9" s="9" t="s">
        <v>86</v>
      </c>
      <c r="B9" s="9" t="s">
        <v>6</v>
      </c>
      <c r="C9" s="9" t="s">
        <v>282</v>
      </c>
      <c r="D9" s="9"/>
      <c r="E9" s="9"/>
    </row>
    <row r="10" spans="1:8" x14ac:dyDescent="0.3">
      <c r="A10" s="9" t="s">
        <v>87</v>
      </c>
      <c r="B10" s="9" t="s">
        <v>88</v>
      </c>
      <c r="C10" s="9" t="s">
        <v>282</v>
      </c>
      <c r="D10" s="9"/>
      <c r="E10" s="9"/>
    </row>
    <row r="11" spans="1:8" x14ac:dyDescent="0.3">
      <c r="A11" s="9" t="s">
        <v>89</v>
      </c>
      <c r="B11" s="9" t="s">
        <v>90</v>
      </c>
      <c r="C11" s="9" t="s">
        <v>283</v>
      </c>
      <c r="D11" s="9" t="s">
        <v>290</v>
      </c>
      <c r="E11" s="12">
        <v>20217</v>
      </c>
    </row>
    <row r="12" spans="1:8" x14ac:dyDescent="0.3">
      <c r="A12" s="9" t="s">
        <v>91</v>
      </c>
      <c r="B12" s="9" t="s">
        <v>92</v>
      </c>
      <c r="C12" s="9" t="s">
        <v>282</v>
      </c>
      <c r="D12" s="9"/>
      <c r="E12" s="9"/>
    </row>
    <row r="13" spans="1:8" x14ac:dyDescent="0.3">
      <c r="A13" s="9" t="s">
        <v>93</v>
      </c>
      <c r="B13" s="9" t="s">
        <v>94</v>
      </c>
      <c r="C13" s="9" t="s">
        <v>282</v>
      </c>
      <c r="D13" s="9"/>
      <c r="E13" s="9"/>
    </row>
    <row r="14" spans="1:8" x14ac:dyDescent="0.3">
      <c r="A14" s="9" t="s">
        <v>95</v>
      </c>
      <c r="B14" s="9" t="s">
        <v>95</v>
      </c>
      <c r="C14" s="9" t="s">
        <v>282</v>
      </c>
      <c r="D14" s="9"/>
      <c r="E14" s="9"/>
    </row>
    <row r="15" spans="1:8" x14ac:dyDescent="0.3">
      <c r="A15" s="9" t="s">
        <v>96</v>
      </c>
      <c r="B15" s="9" t="s">
        <v>96</v>
      </c>
      <c r="C15" s="9" t="s">
        <v>282</v>
      </c>
      <c r="D15" s="9"/>
      <c r="E15" s="9"/>
    </row>
    <row r="16" spans="1:8" x14ac:dyDescent="0.3">
      <c r="A16" s="9" t="s">
        <v>97</v>
      </c>
      <c r="B16" s="9" t="s">
        <v>6</v>
      </c>
      <c r="C16" s="9" t="s">
        <v>282</v>
      </c>
      <c r="D16" s="9"/>
      <c r="E16" s="9"/>
    </row>
    <row r="17" spans="1:5" x14ac:dyDescent="0.3">
      <c r="A17" s="9" t="s">
        <v>98</v>
      </c>
      <c r="B17" s="9" t="s">
        <v>98</v>
      </c>
      <c r="C17" s="9" t="s">
        <v>282</v>
      </c>
      <c r="D17" s="9"/>
      <c r="E17" s="9"/>
    </row>
    <row r="18" spans="1:5" x14ac:dyDescent="0.3">
      <c r="A18" s="9" t="s">
        <v>86</v>
      </c>
      <c r="B18" s="9" t="s">
        <v>6</v>
      </c>
      <c r="C18" s="9" t="s">
        <v>282</v>
      </c>
      <c r="D18" s="9"/>
      <c r="E18" s="9"/>
    </row>
    <row r="19" spans="1:5" x14ac:dyDescent="0.3">
      <c r="A19" s="9" t="s">
        <v>87</v>
      </c>
      <c r="B19" s="9" t="s">
        <v>88</v>
      </c>
      <c r="C19" s="9" t="s">
        <v>283</v>
      </c>
      <c r="D19" s="9" t="s">
        <v>291</v>
      </c>
      <c r="E19" s="12">
        <v>13724</v>
      </c>
    </row>
    <row r="20" spans="1:5" x14ac:dyDescent="0.3">
      <c r="A20" s="9" t="s">
        <v>99</v>
      </c>
      <c r="B20" s="9" t="s">
        <v>99</v>
      </c>
      <c r="C20" s="9" t="s">
        <v>282</v>
      </c>
      <c r="D20" s="9"/>
      <c r="E20" s="9"/>
    </row>
    <row r="21" spans="1:5" x14ac:dyDescent="0.3">
      <c r="A21" s="9" t="s">
        <v>100</v>
      </c>
      <c r="B21" s="9" t="s">
        <v>101</v>
      </c>
      <c r="C21" s="9" t="s">
        <v>282</v>
      </c>
      <c r="D21" s="9"/>
      <c r="E21" s="9"/>
    </row>
    <row r="22" spans="1:5" x14ac:dyDescent="0.3">
      <c r="A22" s="9" t="s">
        <v>102</v>
      </c>
      <c r="B22" s="9" t="s">
        <v>103</v>
      </c>
      <c r="C22" s="9" t="s">
        <v>282</v>
      </c>
      <c r="D22" s="9"/>
      <c r="E22" s="9"/>
    </row>
    <row r="23" spans="1:5" x14ac:dyDescent="0.3">
      <c r="A23" s="9" t="s">
        <v>89</v>
      </c>
      <c r="B23" s="9" t="s">
        <v>90</v>
      </c>
      <c r="C23" s="9" t="s">
        <v>282</v>
      </c>
      <c r="D23" s="9"/>
      <c r="E23" s="9"/>
    </row>
    <row r="24" spans="1:5" x14ac:dyDescent="0.3">
      <c r="A24" s="9" t="s">
        <v>91</v>
      </c>
      <c r="B24" s="9" t="s">
        <v>92</v>
      </c>
      <c r="C24" s="9" t="s">
        <v>283</v>
      </c>
      <c r="D24" s="9" t="s">
        <v>292</v>
      </c>
      <c r="E24" s="12">
        <v>20231</v>
      </c>
    </row>
    <row r="25" spans="1:5" x14ac:dyDescent="0.3">
      <c r="A25" s="9" t="s">
        <v>259</v>
      </c>
      <c r="B25" s="9" t="s">
        <v>259</v>
      </c>
      <c r="C25" s="9" t="s">
        <v>282</v>
      </c>
      <c r="D25" s="9"/>
      <c r="E25" s="9"/>
    </row>
    <row r="26" spans="1:5" x14ac:dyDescent="0.3">
      <c r="A26" s="9" t="s">
        <v>104</v>
      </c>
      <c r="B26" s="9" t="s">
        <v>104</v>
      </c>
      <c r="C26" s="9" t="s">
        <v>282</v>
      </c>
      <c r="D26" s="9"/>
      <c r="E26" s="9"/>
    </row>
    <row r="27" spans="1:5" x14ac:dyDescent="0.3">
      <c r="A27" s="9" t="s">
        <v>105</v>
      </c>
      <c r="B27" s="9" t="s">
        <v>105</v>
      </c>
      <c r="C27" s="9" t="s">
        <v>282</v>
      </c>
      <c r="D27" s="9"/>
      <c r="E27" s="9"/>
    </row>
    <row r="28" spans="1:5" x14ac:dyDescent="0.3">
      <c r="A28" s="9" t="s">
        <v>106</v>
      </c>
      <c r="B28" s="9" t="s">
        <v>106</v>
      </c>
      <c r="C28" s="9" t="s">
        <v>282</v>
      </c>
      <c r="D28" s="9"/>
      <c r="E28" s="9"/>
    </row>
    <row r="29" spans="1:5" x14ac:dyDescent="0.3">
      <c r="A29" s="9" t="s">
        <v>107</v>
      </c>
      <c r="B29" s="9" t="s">
        <v>107</v>
      </c>
      <c r="C29" s="9" t="s">
        <v>282</v>
      </c>
      <c r="D29" s="9"/>
      <c r="E29" s="9"/>
    </row>
    <row r="30" spans="1:5" x14ac:dyDescent="0.3">
      <c r="A30" s="9" t="s">
        <v>108</v>
      </c>
      <c r="B30" s="9" t="s">
        <v>6</v>
      </c>
      <c r="C30" s="9" t="s">
        <v>282</v>
      </c>
      <c r="D30" s="9"/>
      <c r="E30" s="9"/>
    </row>
    <row r="31" spans="1:5" x14ac:dyDescent="0.3">
      <c r="A31" s="9" t="s">
        <v>109</v>
      </c>
      <c r="B31" s="9" t="s">
        <v>6</v>
      </c>
      <c r="C31" s="9" t="s">
        <v>282</v>
      </c>
      <c r="D31" s="9"/>
      <c r="E31" s="9"/>
    </row>
    <row r="32" spans="1:5" x14ac:dyDescent="0.3">
      <c r="A32" s="9" t="s">
        <v>110</v>
      </c>
      <c r="B32" s="9" t="s">
        <v>111</v>
      </c>
      <c r="C32" s="9" t="s">
        <v>282</v>
      </c>
      <c r="D32" s="9"/>
      <c r="E32" s="9"/>
    </row>
    <row r="33" spans="1:5" x14ac:dyDescent="0.3">
      <c r="A33" s="9" t="s">
        <v>47</v>
      </c>
      <c r="B33" s="9" t="s">
        <v>112</v>
      </c>
      <c r="C33" s="9" t="s">
        <v>282</v>
      </c>
      <c r="D33" s="9"/>
      <c r="E33" s="9"/>
    </row>
    <row r="34" spans="1:5" x14ac:dyDescent="0.3">
      <c r="A34" s="9" t="s">
        <v>260</v>
      </c>
      <c r="B34" s="9" t="s">
        <v>114</v>
      </c>
      <c r="C34" s="9" t="s">
        <v>282</v>
      </c>
      <c r="D34" s="9"/>
      <c r="E34" s="9"/>
    </row>
    <row r="35" spans="1:5" x14ac:dyDescent="0.3">
      <c r="A35" s="9" t="s">
        <v>261</v>
      </c>
      <c r="B35" s="9" t="s">
        <v>6</v>
      </c>
      <c r="C35" s="9" t="s">
        <v>283</v>
      </c>
      <c r="D35" s="9" t="s">
        <v>293</v>
      </c>
      <c r="E35" s="12">
        <v>13744</v>
      </c>
    </row>
    <row r="36" spans="1:5" x14ac:dyDescent="0.3">
      <c r="A36" s="9" t="s">
        <v>113</v>
      </c>
      <c r="B36" s="9" t="s">
        <v>114</v>
      </c>
      <c r="C36" s="9"/>
      <c r="D36" s="9" t="s">
        <v>286</v>
      </c>
      <c r="E36" s="9"/>
    </row>
    <row r="37" spans="1:5" x14ac:dyDescent="0.3">
      <c r="A37" s="9" t="s">
        <v>115</v>
      </c>
      <c r="B37" s="9" t="s">
        <v>6</v>
      </c>
      <c r="C37" s="9" t="s">
        <v>282</v>
      </c>
      <c r="D37" s="9"/>
      <c r="E37" s="9"/>
    </row>
    <row r="38" spans="1:5" x14ac:dyDescent="0.3">
      <c r="A38" s="9" t="s">
        <v>116</v>
      </c>
      <c r="B38" s="9" t="s">
        <v>6</v>
      </c>
      <c r="C38" s="9" t="s">
        <v>282</v>
      </c>
      <c r="D38" s="9"/>
      <c r="E38" s="9"/>
    </row>
    <row r="39" spans="1:5" x14ac:dyDescent="0.3">
      <c r="A39" s="9" t="s">
        <v>117</v>
      </c>
      <c r="B39" s="9" t="s">
        <v>6</v>
      </c>
      <c r="C39" s="9" t="s">
        <v>282</v>
      </c>
      <c r="D39" s="9"/>
      <c r="E39" s="9"/>
    </row>
    <row r="40" spans="1:5" x14ac:dyDescent="0.3">
      <c r="A40" s="9" t="s">
        <v>262</v>
      </c>
      <c r="B40" s="9" t="s">
        <v>262</v>
      </c>
      <c r="C40" s="9" t="s">
        <v>282</v>
      </c>
      <c r="D40" s="9"/>
      <c r="E40" s="9"/>
    </row>
    <row r="41" spans="1:5" x14ac:dyDescent="0.3">
      <c r="A41" s="9" t="s">
        <v>118</v>
      </c>
      <c r="B41" s="9" t="s">
        <v>118</v>
      </c>
      <c r="C41" s="9" t="s">
        <v>282</v>
      </c>
      <c r="D41" s="9"/>
      <c r="E41" s="9"/>
    </row>
    <row r="42" spans="1:5" x14ac:dyDescent="0.3">
      <c r="A42" s="9" t="s">
        <v>119</v>
      </c>
      <c r="B42" s="9" t="s">
        <v>120</v>
      </c>
      <c r="C42" s="9" t="s">
        <v>282</v>
      </c>
      <c r="D42" s="9"/>
      <c r="E42" s="9"/>
    </row>
    <row r="43" spans="1:5" x14ac:dyDescent="0.3">
      <c r="A43" s="9" t="s">
        <v>121</v>
      </c>
      <c r="B43" s="9" t="s">
        <v>122</v>
      </c>
      <c r="C43" s="9" t="s">
        <v>282</v>
      </c>
      <c r="D43" s="9"/>
      <c r="E43" s="9"/>
    </row>
    <row r="44" spans="1:5" x14ac:dyDescent="0.3">
      <c r="A44" s="9" t="s">
        <v>123</v>
      </c>
      <c r="B44" s="9" t="s">
        <v>124</v>
      </c>
      <c r="C44" s="9" t="s">
        <v>282</v>
      </c>
      <c r="D44" s="9"/>
      <c r="E44" s="9"/>
    </row>
    <row r="45" spans="1:5" x14ac:dyDescent="0.3">
      <c r="A45" s="9" t="s">
        <v>125</v>
      </c>
      <c r="B45" s="9" t="s">
        <v>125</v>
      </c>
      <c r="C45" s="9" t="s">
        <v>282</v>
      </c>
      <c r="D45" s="9"/>
      <c r="E45" s="9"/>
    </row>
    <row r="46" spans="1:5" x14ac:dyDescent="0.3">
      <c r="A46" s="9" t="s">
        <v>126</v>
      </c>
      <c r="B46" s="9" t="s">
        <v>126</v>
      </c>
      <c r="C46" s="9" t="s">
        <v>282</v>
      </c>
      <c r="D46" s="9"/>
      <c r="E46" s="9"/>
    </row>
    <row r="47" spans="1:5" x14ac:dyDescent="0.3">
      <c r="A47" s="9" t="s">
        <v>127</v>
      </c>
      <c r="B47" s="9" t="s">
        <v>6</v>
      </c>
      <c r="C47" s="9" t="s">
        <v>282</v>
      </c>
      <c r="D47" s="9"/>
      <c r="E47" s="9"/>
    </row>
    <row r="48" spans="1:5" x14ac:dyDescent="0.3">
      <c r="A48" s="9" t="s">
        <v>117</v>
      </c>
      <c r="B48" s="9" t="s">
        <v>6</v>
      </c>
      <c r="C48" s="9" t="s">
        <v>282</v>
      </c>
      <c r="D48" s="9"/>
      <c r="E48" s="9"/>
    </row>
    <row r="49" spans="1:5" x14ac:dyDescent="0.3">
      <c r="A49" s="9" t="s">
        <v>128</v>
      </c>
      <c r="B49" s="9" t="s">
        <v>118</v>
      </c>
      <c r="C49" s="9" t="s">
        <v>282</v>
      </c>
      <c r="D49" s="9"/>
      <c r="E49" s="9"/>
    </row>
    <row r="50" spans="1:5" x14ac:dyDescent="0.3">
      <c r="A50" s="9" t="s">
        <v>129</v>
      </c>
      <c r="B50" s="9" t="s">
        <v>129</v>
      </c>
      <c r="C50" s="9" t="s">
        <v>283</v>
      </c>
      <c r="D50" s="9" t="s">
        <v>287</v>
      </c>
      <c r="E50" s="9"/>
    </row>
    <row r="51" spans="1:5" x14ac:dyDescent="0.3">
      <c r="A51" s="9" t="s">
        <v>130</v>
      </c>
      <c r="B51" s="9" t="s">
        <v>129</v>
      </c>
      <c r="C51" s="9" t="s">
        <v>282</v>
      </c>
      <c r="D51" s="9"/>
      <c r="E51" s="9"/>
    </row>
    <row r="52" spans="1:5" x14ac:dyDescent="0.3">
      <c r="A52" s="9" t="s">
        <v>131</v>
      </c>
      <c r="B52" s="9" t="s">
        <v>129</v>
      </c>
      <c r="C52" s="9" t="s">
        <v>282</v>
      </c>
      <c r="D52" s="9"/>
      <c r="E52" s="9"/>
    </row>
    <row r="53" spans="1:5" x14ac:dyDescent="0.3">
      <c r="A53" s="9" t="s">
        <v>119</v>
      </c>
      <c r="B53" s="9" t="s">
        <v>120</v>
      </c>
      <c r="C53" s="9" t="s">
        <v>283</v>
      </c>
      <c r="D53" s="9" t="s">
        <v>294</v>
      </c>
      <c r="E53" s="12">
        <v>20214</v>
      </c>
    </row>
    <row r="54" spans="1:5" x14ac:dyDescent="0.3">
      <c r="A54" s="9" t="s">
        <v>132</v>
      </c>
      <c r="B54" s="9" t="s">
        <v>133</v>
      </c>
      <c r="C54" s="9" t="s">
        <v>282</v>
      </c>
      <c r="D54" s="9"/>
      <c r="E54" s="9"/>
    </row>
    <row r="55" spans="1:5" x14ac:dyDescent="0.3">
      <c r="A55" s="9" t="s">
        <v>121</v>
      </c>
      <c r="B55" s="9" t="s">
        <v>122</v>
      </c>
      <c r="C55" s="9" t="s">
        <v>283</v>
      </c>
      <c r="D55" s="9" t="s">
        <v>295</v>
      </c>
      <c r="E55" s="12">
        <v>13767</v>
      </c>
    </row>
    <row r="56" spans="1:5" x14ac:dyDescent="0.3">
      <c r="A56" s="9" t="s">
        <v>134</v>
      </c>
      <c r="B56" s="9" t="s">
        <v>134</v>
      </c>
      <c r="C56" s="9" t="s">
        <v>282</v>
      </c>
      <c r="D56" s="9"/>
      <c r="E56" s="9"/>
    </row>
    <row r="57" spans="1:5" x14ac:dyDescent="0.3">
      <c r="A57" s="9" t="s">
        <v>135</v>
      </c>
      <c r="B57" s="9" t="s">
        <v>135</v>
      </c>
      <c r="C57" s="9" t="s">
        <v>282</v>
      </c>
      <c r="D57" s="9"/>
      <c r="E57" s="9"/>
    </row>
    <row r="58" spans="1:5" x14ac:dyDescent="0.3">
      <c r="A58" s="9" t="s">
        <v>136</v>
      </c>
      <c r="B58" s="9" t="s">
        <v>27</v>
      </c>
      <c r="C58" s="9" t="s">
        <v>282</v>
      </c>
      <c r="D58" s="9"/>
      <c r="E58" s="9"/>
    </row>
    <row r="59" spans="1:5" x14ac:dyDescent="0.3">
      <c r="A59" s="9" t="s">
        <v>137</v>
      </c>
      <c r="B59" s="9" t="s">
        <v>138</v>
      </c>
      <c r="C59" s="9" t="s">
        <v>282</v>
      </c>
      <c r="D59" s="9"/>
      <c r="E5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workbookViewId="0">
      <selection activeCell="A51" sqref="A51:XFD51"/>
    </sheetView>
  </sheetViews>
  <sheetFormatPr defaultRowHeight="14.4" x14ac:dyDescent="0.3"/>
  <cols>
    <col min="1" max="1" width="82.109375" customWidth="1"/>
    <col min="2" max="2" width="61" customWidth="1"/>
    <col min="3" max="3" width="8.3320312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279</v>
      </c>
      <c r="D1" s="2" t="s">
        <v>280</v>
      </c>
      <c r="E1" s="2" t="s">
        <v>281</v>
      </c>
      <c r="G1" s="3" t="s">
        <v>282</v>
      </c>
      <c r="H1" s="4">
        <f>COUNTIF(C:C,G1)</f>
        <v>45</v>
      </c>
    </row>
    <row r="2" spans="1:8" x14ac:dyDescent="0.3">
      <c r="A2" s="9" t="s">
        <v>19</v>
      </c>
      <c r="B2" s="9" t="s">
        <v>139</v>
      </c>
      <c r="C2" s="9" t="s">
        <v>282</v>
      </c>
      <c r="D2" s="9"/>
      <c r="E2" s="9"/>
      <c r="G2" s="5" t="s">
        <v>283</v>
      </c>
      <c r="H2" s="6">
        <f>COUNTIF(C:C,G2)</f>
        <v>15</v>
      </c>
    </row>
    <row r="3" spans="1:8" ht="15" thickBot="1" x14ac:dyDescent="0.35">
      <c r="A3" s="9" t="s">
        <v>140</v>
      </c>
      <c r="B3" s="9" t="s">
        <v>6</v>
      </c>
      <c r="C3" s="9" t="s">
        <v>282</v>
      </c>
      <c r="D3" s="9"/>
      <c r="E3" s="9"/>
      <c r="G3" s="7" t="s">
        <v>284</v>
      </c>
      <c r="H3" s="8">
        <f>H1/SUM(H1:H2)</f>
        <v>0.75</v>
      </c>
    </row>
    <row r="4" spans="1:8" x14ac:dyDescent="0.3">
      <c r="A4" s="9" t="s">
        <v>141</v>
      </c>
      <c r="B4" s="9" t="s">
        <v>141</v>
      </c>
      <c r="C4" s="9" t="s">
        <v>282</v>
      </c>
      <c r="D4" s="9"/>
      <c r="E4" s="9"/>
    </row>
    <row r="5" spans="1:8" x14ac:dyDescent="0.3">
      <c r="A5" s="9" t="s">
        <v>142</v>
      </c>
      <c r="B5" s="9" t="s">
        <v>143</v>
      </c>
      <c r="C5" s="9" t="s">
        <v>282</v>
      </c>
      <c r="D5" s="9"/>
      <c r="E5" s="9"/>
    </row>
    <row r="6" spans="1:8" x14ac:dyDescent="0.3">
      <c r="A6" s="9" t="s">
        <v>144</v>
      </c>
      <c r="B6" s="9" t="s">
        <v>145</v>
      </c>
      <c r="C6" s="9" t="s">
        <v>282</v>
      </c>
      <c r="D6" s="9"/>
      <c r="E6" s="9"/>
    </row>
    <row r="7" spans="1:8" x14ac:dyDescent="0.3">
      <c r="A7" s="9" t="s">
        <v>146</v>
      </c>
      <c r="B7" s="9" t="s">
        <v>143</v>
      </c>
      <c r="C7" s="9" t="s">
        <v>283</v>
      </c>
      <c r="D7" s="9" t="s">
        <v>145</v>
      </c>
      <c r="E7" s="12">
        <v>17542</v>
      </c>
    </row>
    <row r="8" spans="1:8" x14ac:dyDescent="0.3">
      <c r="A8" s="9" t="s">
        <v>147</v>
      </c>
      <c r="B8" s="9" t="s">
        <v>143</v>
      </c>
      <c r="C8" s="9" t="s">
        <v>283</v>
      </c>
      <c r="D8" s="9" t="s">
        <v>145</v>
      </c>
      <c r="E8" s="12">
        <v>17542</v>
      </c>
    </row>
    <row r="9" spans="1:8" x14ac:dyDescent="0.3">
      <c r="A9" s="9" t="s">
        <v>148</v>
      </c>
      <c r="B9" s="9" t="s">
        <v>149</v>
      </c>
      <c r="C9" s="9" t="s">
        <v>282</v>
      </c>
      <c r="D9" s="9"/>
      <c r="E9" s="9"/>
    </row>
    <row r="10" spans="1:8" x14ac:dyDescent="0.3">
      <c r="A10" s="9" t="s">
        <v>150</v>
      </c>
      <c r="B10" s="9" t="s">
        <v>149</v>
      </c>
      <c r="C10" s="9" t="s">
        <v>282</v>
      </c>
      <c r="D10" s="9"/>
      <c r="E10" s="9"/>
    </row>
    <row r="11" spans="1:8" x14ac:dyDescent="0.3">
      <c r="A11" s="9" t="s">
        <v>151</v>
      </c>
      <c r="B11" s="9" t="s">
        <v>152</v>
      </c>
      <c r="C11" s="9" t="s">
        <v>283</v>
      </c>
      <c r="D11" s="9" t="s">
        <v>149</v>
      </c>
      <c r="E11" s="12">
        <v>30414</v>
      </c>
    </row>
    <row r="12" spans="1:8" x14ac:dyDescent="0.3">
      <c r="A12" s="9" t="s">
        <v>153</v>
      </c>
      <c r="B12" s="9" t="s">
        <v>154</v>
      </c>
      <c r="C12" s="9" t="s">
        <v>282</v>
      </c>
      <c r="D12" s="9"/>
      <c r="E12" s="9"/>
    </row>
    <row r="13" spans="1:8" x14ac:dyDescent="0.3">
      <c r="A13" s="9" t="s">
        <v>155</v>
      </c>
      <c r="B13" s="9" t="s">
        <v>156</v>
      </c>
      <c r="C13" s="9" t="s">
        <v>282</v>
      </c>
      <c r="D13" s="9"/>
      <c r="E13" s="9"/>
    </row>
    <row r="14" spans="1:8" x14ac:dyDescent="0.3">
      <c r="A14" s="9" t="s">
        <v>157</v>
      </c>
      <c r="B14" s="9" t="s">
        <v>158</v>
      </c>
      <c r="C14" s="9" t="s">
        <v>283</v>
      </c>
      <c r="D14" s="9" t="s">
        <v>164</v>
      </c>
      <c r="E14" s="12">
        <v>30505</v>
      </c>
    </row>
    <row r="15" spans="1:8" x14ac:dyDescent="0.3">
      <c r="A15" s="9" t="s">
        <v>159</v>
      </c>
      <c r="B15" s="9" t="s">
        <v>160</v>
      </c>
      <c r="C15" s="9" t="s">
        <v>283</v>
      </c>
      <c r="D15" s="9" t="s">
        <v>162</v>
      </c>
      <c r="E15" s="12">
        <v>30520</v>
      </c>
    </row>
    <row r="16" spans="1:8" x14ac:dyDescent="0.3">
      <c r="A16" s="9" t="s">
        <v>161</v>
      </c>
      <c r="B16" s="9" t="s">
        <v>162</v>
      </c>
      <c r="C16" s="9" t="s">
        <v>283</v>
      </c>
      <c r="D16" s="9" t="s">
        <v>145</v>
      </c>
      <c r="E16" s="12">
        <v>17542</v>
      </c>
    </row>
    <row r="17" spans="1:5" x14ac:dyDescent="0.3">
      <c r="A17" s="9" t="s">
        <v>163</v>
      </c>
      <c r="B17" s="9" t="s">
        <v>164</v>
      </c>
      <c r="C17" s="9" t="s">
        <v>282</v>
      </c>
      <c r="D17" s="9"/>
      <c r="E17" s="9"/>
    </row>
    <row r="18" spans="1:5" x14ac:dyDescent="0.3">
      <c r="A18" s="9" t="s">
        <v>165</v>
      </c>
      <c r="B18" s="9" t="s">
        <v>166</v>
      </c>
      <c r="C18" s="9" t="s">
        <v>282</v>
      </c>
      <c r="D18" s="9"/>
      <c r="E18" s="9"/>
    </row>
    <row r="19" spans="1:5" x14ac:dyDescent="0.3">
      <c r="A19" s="9" t="s">
        <v>167</v>
      </c>
      <c r="B19" s="9" t="s">
        <v>168</v>
      </c>
      <c r="C19" s="9" t="s">
        <v>282</v>
      </c>
      <c r="D19" s="9"/>
      <c r="E19" s="9"/>
    </row>
    <row r="20" spans="1:5" x14ac:dyDescent="0.3">
      <c r="A20" s="9" t="s">
        <v>169</v>
      </c>
      <c r="B20" s="9" t="s">
        <v>170</v>
      </c>
      <c r="C20" s="9" t="s">
        <v>283</v>
      </c>
      <c r="D20" s="9" t="s">
        <v>174</v>
      </c>
      <c r="E20" s="12">
        <v>30481</v>
      </c>
    </row>
    <row r="21" spans="1:5" x14ac:dyDescent="0.3">
      <c r="A21" s="9" t="s">
        <v>171</v>
      </c>
      <c r="B21" s="9" t="s">
        <v>172</v>
      </c>
      <c r="C21" s="9" t="s">
        <v>283</v>
      </c>
      <c r="D21" s="9" t="s">
        <v>219</v>
      </c>
      <c r="E21" s="12">
        <v>30404</v>
      </c>
    </row>
    <row r="22" spans="1:5" x14ac:dyDescent="0.3">
      <c r="A22" s="9" t="s">
        <v>173</v>
      </c>
      <c r="B22" s="9" t="s">
        <v>174</v>
      </c>
      <c r="C22" s="9" t="s">
        <v>283</v>
      </c>
      <c r="D22" s="9" t="s">
        <v>219</v>
      </c>
      <c r="E22" s="12">
        <v>30404</v>
      </c>
    </row>
    <row r="23" spans="1:5" x14ac:dyDescent="0.3">
      <c r="A23" s="9" t="s">
        <v>175</v>
      </c>
      <c r="B23" s="9" t="s">
        <v>176</v>
      </c>
      <c r="C23" s="9" t="s">
        <v>282</v>
      </c>
      <c r="D23" s="9"/>
      <c r="E23" s="9"/>
    </row>
    <row r="24" spans="1:5" x14ac:dyDescent="0.3">
      <c r="A24" s="9" t="s">
        <v>177</v>
      </c>
      <c r="B24" s="9" t="s">
        <v>6</v>
      </c>
      <c r="C24" s="9" t="s">
        <v>282</v>
      </c>
      <c r="D24" s="9"/>
      <c r="E24" s="9"/>
    </row>
    <row r="25" spans="1:5" x14ac:dyDescent="0.3">
      <c r="A25" s="9" t="s">
        <v>178</v>
      </c>
      <c r="B25" s="9" t="s">
        <v>98</v>
      </c>
      <c r="C25" s="9" t="s">
        <v>282</v>
      </c>
      <c r="D25" s="9"/>
      <c r="E25" s="9"/>
    </row>
    <row r="26" spans="1:5" x14ac:dyDescent="0.3">
      <c r="A26" s="9" t="s">
        <v>179</v>
      </c>
      <c r="B26" s="9" t="s">
        <v>180</v>
      </c>
      <c r="C26" s="9" t="s">
        <v>282</v>
      </c>
      <c r="D26" s="9"/>
      <c r="E26" s="9"/>
    </row>
    <row r="27" spans="1:5" x14ac:dyDescent="0.3">
      <c r="A27" s="9" t="s">
        <v>181</v>
      </c>
      <c r="B27" s="9" t="s">
        <v>182</v>
      </c>
      <c r="C27" s="9" t="s">
        <v>282</v>
      </c>
      <c r="D27" s="9"/>
      <c r="E27" s="9"/>
    </row>
    <row r="28" spans="1:5" x14ac:dyDescent="0.3">
      <c r="A28" s="9" t="s">
        <v>183</v>
      </c>
      <c r="B28" s="9" t="s">
        <v>184</v>
      </c>
      <c r="C28" s="9" t="s">
        <v>282</v>
      </c>
      <c r="D28" s="9"/>
      <c r="E28" s="9"/>
    </row>
    <row r="29" spans="1:5" x14ac:dyDescent="0.3">
      <c r="A29" s="9" t="s">
        <v>185</v>
      </c>
      <c r="B29" s="9" t="s">
        <v>186</v>
      </c>
      <c r="C29" s="9" t="s">
        <v>282</v>
      </c>
      <c r="D29" s="9"/>
      <c r="E29" s="9"/>
    </row>
    <row r="30" spans="1:5" x14ac:dyDescent="0.3">
      <c r="A30" s="9" t="s">
        <v>187</v>
      </c>
      <c r="B30" s="9" t="s">
        <v>186</v>
      </c>
      <c r="C30" s="9" t="s">
        <v>282</v>
      </c>
      <c r="D30" s="9"/>
      <c r="E30" s="9"/>
    </row>
    <row r="31" spans="1:5" x14ac:dyDescent="0.3">
      <c r="A31" s="9" t="s">
        <v>188</v>
      </c>
      <c r="B31" s="9" t="s">
        <v>189</v>
      </c>
      <c r="C31" s="9" t="s">
        <v>282</v>
      </c>
      <c r="D31" s="9"/>
      <c r="E31" s="9"/>
    </row>
    <row r="32" spans="1:5" x14ac:dyDescent="0.3">
      <c r="A32" s="9" t="s">
        <v>190</v>
      </c>
      <c r="B32" s="9" t="s">
        <v>191</v>
      </c>
      <c r="C32" s="9" t="s">
        <v>283</v>
      </c>
      <c r="D32" s="9" t="s">
        <v>194</v>
      </c>
      <c r="E32" s="12">
        <v>30454</v>
      </c>
    </row>
    <row r="33" spans="1:5" x14ac:dyDescent="0.3">
      <c r="A33" s="9" t="s">
        <v>192</v>
      </c>
      <c r="B33" s="9" t="s">
        <v>191</v>
      </c>
      <c r="C33" s="9" t="s">
        <v>282</v>
      </c>
      <c r="D33" s="9"/>
      <c r="E33" s="9"/>
    </row>
    <row r="34" spans="1:5" x14ac:dyDescent="0.3">
      <c r="A34" s="9" t="s">
        <v>193</v>
      </c>
      <c r="B34" s="9" t="s">
        <v>194</v>
      </c>
      <c r="C34" s="9" t="s">
        <v>283</v>
      </c>
      <c r="D34" s="9" t="s">
        <v>196</v>
      </c>
      <c r="E34" s="12">
        <v>30519</v>
      </c>
    </row>
    <row r="35" spans="1:5" x14ac:dyDescent="0.3">
      <c r="A35" s="9" t="s">
        <v>195</v>
      </c>
      <c r="B35" s="9" t="s">
        <v>196</v>
      </c>
      <c r="C35" s="9" t="s">
        <v>282</v>
      </c>
      <c r="D35" s="9"/>
      <c r="E35" s="9"/>
    </row>
    <row r="36" spans="1:5" x14ac:dyDescent="0.3">
      <c r="A36" s="9" t="s">
        <v>197</v>
      </c>
      <c r="B36" s="9" t="s">
        <v>121</v>
      </c>
      <c r="C36" s="9" t="s">
        <v>282</v>
      </c>
      <c r="D36" s="9"/>
      <c r="E36" s="9"/>
    </row>
    <row r="37" spans="1:5" x14ac:dyDescent="0.3">
      <c r="A37" s="9" t="s">
        <v>198</v>
      </c>
      <c r="B37" s="9" t="s">
        <v>121</v>
      </c>
      <c r="C37" s="9" t="s">
        <v>282</v>
      </c>
      <c r="D37" s="9"/>
      <c r="E37" s="9"/>
    </row>
    <row r="38" spans="1:5" x14ac:dyDescent="0.3">
      <c r="A38" s="9" t="s">
        <v>199</v>
      </c>
      <c r="B38" s="9" t="s">
        <v>200</v>
      </c>
      <c r="C38" s="9" t="s">
        <v>282</v>
      </c>
      <c r="D38" s="9"/>
      <c r="E38" s="9"/>
    </row>
    <row r="39" spans="1:5" x14ac:dyDescent="0.3">
      <c r="A39" s="9" t="s">
        <v>201</v>
      </c>
      <c r="B39" s="9" t="s">
        <v>202</v>
      </c>
      <c r="C39" s="9" t="s">
        <v>282</v>
      </c>
      <c r="D39" s="9"/>
      <c r="E39" s="9"/>
    </row>
    <row r="40" spans="1:5" x14ac:dyDescent="0.3">
      <c r="A40" s="9" t="s">
        <v>203</v>
      </c>
      <c r="B40" s="9" t="s">
        <v>204</v>
      </c>
      <c r="C40" s="9" t="s">
        <v>282</v>
      </c>
      <c r="D40" s="9"/>
      <c r="E40" s="9"/>
    </row>
    <row r="41" spans="1:5" x14ac:dyDescent="0.3">
      <c r="A41" s="9" t="s">
        <v>205</v>
      </c>
      <c r="B41" s="9" t="s">
        <v>206</v>
      </c>
      <c r="C41" s="9" t="s">
        <v>283</v>
      </c>
      <c r="D41" s="9" t="s">
        <v>287</v>
      </c>
      <c r="E41" s="9"/>
    </row>
    <row r="42" spans="1:5" x14ac:dyDescent="0.3">
      <c r="A42" s="9" t="s">
        <v>207</v>
      </c>
      <c r="B42" s="9" t="s">
        <v>208</v>
      </c>
      <c r="C42" s="9" t="s">
        <v>282</v>
      </c>
      <c r="D42" s="9"/>
      <c r="E42" s="9"/>
    </row>
    <row r="43" spans="1:5" x14ac:dyDescent="0.3">
      <c r="A43" s="9" t="s">
        <v>209</v>
      </c>
      <c r="B43" s="9" t="s">
        <v>208</v>
      </c>
      <c r="C43" s="9" t="s">
        <v>282</v>
      </c>
      <c r="D43" s="9"/>
      <c r="E43" s="9"/>
    </row>
    <row r="44" spans="1:5" x14ac:dyDescent="0.3">
      <c r="A44" s="9" t="s">
        <v>210</v>
      </c>
      <c r="B44" s="9" t="s">
        <v>211</v>
      </c>
      <c r="C44" s="9" t="s">
        <v>283</v>
      </c>
      <c r="D44" s="9" t="s">
        <v>211</v>
      </c>
      <c r="E44" s="12">
        <v>30473</v>
      </c>
    </row>
    <row r="45" spans="1:5" x14ac:dyDescent="0.3">
      <c r="A45" s="9" t="s">
        <v>212</v>
      </c>
      <c r="B45" s="9" t="s">
        <v>213</v>
      </c>
      <c r="C45" s="9" t="s">
        <v>282</v>
      </c>
      <c r="D45" s="9"/>
      <c r="E45" s="9"/>
    </row>
    <row r="46" spans="1:5" x14ac:dyDescent="0.3">
      <c r="A46" s="9" t="s">
        <v>214</v>
      </c>
      <c r="B46" s="9" t="s">
        <v>215</v>
      </c>
      <c r="C46" s="9" t="s">
        <v>282</v>
      </c>
      <c r="D46" s="9"/>
      <c r="E46" s="9"/>
    </row>
    <row r="47" spans="1:5" x14ac:dyDescent="0.3">
      <c r="A47" s="9" t="s">
        <v>216</v>
      </c>
      <c r="B47" s="9" t="s">
        <v>217</v>
      </c>
      <c r="C47" s="9" t="s">
        <v>282</v>
      </c>
      <c r="D47" s="9"/>
      <c r="E47" s="9"/>
    </row>
    <row r="48" spans="1:5" x14ac:dyDescent="0.3">
      <c r="A48" s="9" t="s">
        <v>218</v>
      </c>
      <c r="B48" s="9" t="s">
        <v>143</v>
      </c>
      <c r="C48" s="9" t="s">
        <v>283</v>
      </c>
      <c r="D48" s="9" t="s">
        <v>217</v>
      </c>
      <c r="E48" s="12">
        <v>17563</v>
      </c>
    </row>
    <row r="49" spans="1:5" x14ac:dyDescent="0.3">
      <c r="A49" s="9" t="s">
        <v>170</v>
      </c>
      <c r="B49" s="9" t="s">
        <v>174</v>
      </c>
      <c r="C49" s="9" t="s">
        <v>283</v>
      </c>
      <c r="D49" s="9" t="s">
        <v>170</v>
      </c>
      <c r="E49" s="12">
        <v>30485</v>
      </c>
    </row>
    <row r="50" spans="1:5" x14ac:dyDescent="0.3">
      <c r="A50" s="9" t="s">
        <v>219</v>
      </c>
      <c r="B50" s="9" t="s">
        <v>219</v>
      </c>
      <c r="C50" s="9" t="s">
        <v>282</v>
      </c>
      <c r="D50" s="9"/>
      <c r="E50" s="9"/>
    </row>
    <row r="51" spans="1:5" x14ac:dyDescent="0.3">
      <c r="A51" s="9" t="s">
        <v>220</v>
      </c>
      <c r="B51" s="9" t="s">
        <v>221</v>
      </c>
      <c r="C51" s="9" t="s">
        <v>282</v>
      </c>
      <c r="D51" s="9"/>
      <c r="E51" s="9"/>
    </row>
    <row r="52" spans="1:5" x14ac:dyDescent="0.3">
      <c r="A52" s="9" t="s">
        <v>222</v>
      </c>
      <c r="B52" s="9" t="s">
        <v>206</v>
      </c>
      <c r="C52" s="9" t="s">
        <v>282</v>
      </c>
      <c r="D52" s="9"/>
      <c r="E52" s="9"/>
    </row>
    <row r="53" spans="1:5" x14ac:dyDescent="0.3">
      <c r="A53" s="9" t="s">
        <v>223</v>
      </c>
      <c r="B53" s="9" t="s">
        <v>6</v>
      </c>
      <c r="C53" s="9" t="s">
        <v>282</v>
      </c>
      <c r="D53" s="9"/>
      <c r="E53" s="9"/>
    </row>
    <row r="54" spans="1:5" x14ac:dyDescent="0.3">
      <c r="A54" s="9" t="s">
        <v>224</v>
      </c>
      <c r="B54" s="9" t="s">
        <v>225</v>
      </c>
      <c r="C54" s="9" t="s">
        <v>282</v>
      </c>
      <c r="D54" s="9"/>
      <c r="E54" s="9"/>
    </row>
    <row r="55" spans="1:5" x14ac:dyDescent="0.3">
      <c r="A55" s="9" t="s">
        <v>226</v>
      </c>
      <c r="B55" s="9" t="s">
        <v>227</v>
      </c>
      <c r="C55" s="9" t="s">
        <v>282</v>
      </c>
      <c r="D55" s="9"/>
      <c r="E55" s="9"/>
    </row>
    <row r="56" spans="1:5" x14ac:dyDescent="0.3">
      <c r="A56" s="9" t="s">
        <v>228</v>
      </c>
      <c r="B56" s="9" t="s">
        <v>229</v>
      </c>
      <c r="C56" s="9" t="s">
        <v>282</v>
      </c>
      <c r="D56" s="9"/>
      <c r="E56" s="9"/>
    </row>
    <row r="57" spans="1:5" x14ac:dyDescent="0.3">
      <c r="A57" s="9" t="s">
        <v>230</v>
      </c>
      <c r="B57" s="9" t="s">
        <v>230</v>
      </c>
      <c r="C57" s="9" t="s">
        <v>282</v>
      </c>
      <c r="D57" s="9"/>
      <c r="E57" s="9"/>
    </row>
    <row r="58" spans="1:5" x14ac:dyDescent="0.3">
      <c r="A58" s="9" t="s">
        <v>231</v>
      </c>
      <c r="B58" s="9" t="s">
        <v>232</v>
      </c>
      <c r="C58" s="9" t="s">
        <v>282</v>
      </c>
      <c r="D58" s="9"/>
      <c r="E58" s="9"/>
    </row>
    <row r="59" spans="1:5" x14ac:dyDescent="0.3">
      <c r="A59" s="9" t="s">
        <v>233</v>
      </c>
      <c r="B59" s="9" t="s">
        <v>234</v>
      </c>
      <c r="C59" s="9" t="s">
        <v>282</v>
      </c>
      <c r="D59" s="9"/>
      <c r="E59" s="9"/>
    </row>
    <row r="60" spans="1:5" x14ac:dyDescent="0.3">
      <c r="A60" s="9" t="s">
        <v>235</v>
      </c>
      <c r="B60" s="9" t="s">
        <v>236</v>
      </c>
      <c r="C60" s="9" t="s">
        <v>282</v>
      </c>
      <c r="D60" s="9"/>
      <c r="E60" s="9"/>
    </row>
    <row r="61" spans="1:5" x14ac:dyDescent="0.3">
      <c r="A61" s="9" t="s">
        <v>237</v>
      </c>
      <c r="B61" s="9" t="s">
        <v>238</v>
      </c>
      <c r="C61" s="9" t="s">
        <v>282</v>
      </c>
      <c r="D61" s="9"/>
      <c r="E6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D51" sqref="D51:E51"/>
    </sheetView>
  </sheetViews>
  <sheetFormatPr defaultRowHeight="14.4" x14ac:dyDescent="0.3"/>
  <cols>
    <col min="1" max="1" width="92.33203125" customWidth="1"/>
    <col min="2" max="2" width="60.5546875" customWidth="1"/>
    <col min="3" max="3" width="9.10937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279</v>
      </c>
      <c r="D1" s="2" t="s">
        <v>280</v>
      </c>
      <c r="E1" s="2" t="s">
        <v>281</v>
      </c>
      <c r="G1" s="3" t="s">
        <v>282</v>
      </c>
      <c r="H1" s="4">
        <f>COUNTIF(C:C,G1)</f>
        <v>47</v>
      </c>
    </row>
    <row r="2" spans="1:8" x14ac:dyDescent="0.3">
      <c r="A2" s="9" t="s">
        <v>19</v>
      </c>
      <c r="B2" s="9" t="s">
        <v>139</v>
      </c>
      <c r="C2" s="9" t="s">
        <v>282</v>
      </c>
      <c r="D2" s="9"/>
      <c r="E2" s="9"/>
      <c r="G2" s="5" t="s">
        <v>283</v>
      </c>
      <c r="H2" s="6">
        <f>COUNTIF(C:C,G2)</f>
        <v>15</v>
      </c>
    </row>
    <row r="3" spans="1:8" ht="15" thickBot="1" x14ac:dyDescent="0.35">
      <c r="A3" s="9" t="s">
        <v>140</v>
      </c>
      <c r="B3" s="9" t="s">
        <v>6</v>
      </c>
      <c r="C3" s="9" t="s">
        <v>282</v>
      </c>
      <c r="D3" s="9"/>
      <c r="E3" s="9"/>
      <c r="G3" s="7" t="s">
        <v>284</v>
      </c>
      <c r="H3" s="8">
        <f>H1/SUM(H1:H2)</f>
        <v>0.75806451612903225</v>
      </c>
    </row>
    <row r="4" spans="1:8" x14ac:dyDescent="0.3">
      <c r="A4" s="9" t="s">
        <v>141</v>
      </c>
      <c r="B4" s="9" t="s">
        <v>141</v>
      </c>
      <c r="C4" s="9" t="s">
        <v>282</v>
      </c>
      <c r="D4" s="9"/>
      <c r="E4" s="9"/>
    </row>
    <row r="5" spans="1:8" x14ac:dyDescent="0.3">
      <c r="A5" s="9" t="s">
        <v>142</v>
      </c>
      <c r="B5" s="9" t="s">
        <v>143</v>
      </c>
      <c r="C5" s="9" t="s">
        <v>282</v>
      </c>
      <c r="D5" s="9"/>
      <c r="E5" s="9"/>
    </row>
    <row r="6" spans="1:8" x14ac:dyDescent="0.3">
      <c r="A6" s="9" t="s">
        <v>144</v>
      </c>
      <c r="B6" s="9" t="s">
        <v>145</v>
      </c>
      <c r="C6" s="9" t="s">
        <v>282</v>
      </c>
      <c r="D6" s="9"/>
      <c r="E6" s="9"/>
    </row>
    <row r="7" spans="1:8" x14ac:dyDescent="0.3">
      <c r="A7" s="9" t="s">
        <v>263</v>
      </c>
      <c r="B7" s="9" t="s">
        <v>143</v>
      </c>
      <c r="C7" s="9" t="s">
        <v>283</v>
      </c>
      <c r="D7" s="9" t="s">
        <v>145</v>
      </c>
      <c r="E7" s="12">
        <v>17542</v>
      </c>
    </row>
    <row r="8" spans="1:8" x14ac:dyDescent="0.3">
      <c r="A8" s="9" t="s">
        <v>147</v>
      </c>
      <c r="B8" s="9" t="s">
        <v>143</v>
      </c>
      <c r="C8" s="9" t="s">
        <v>283</v>
      </c>
      <c r="D8" s="9" t="s">
        <v>145</v>
      </c>
      <c r="E8" s="12">
        <v>17542</v>
      </c>
    </row>
    <row r="9" spans="1:8" x14ac:dyDescent="0.3">
      <c r="A9" s="9" t="s">
        <v>264</v>
      </c>
      <c r="B9" s="9" t="s">
        <v>149</v>
      </c>
      <c r="C9" s="9" t="s">
        <v>282</v>
      </c>
      <c r="D9" s="9"/>
      <c r="E9" s="9"/>
    </row>
    <row r="10" spans="1:8" x14ac:dyDescent="0.3">
      <c r="A10" s="9" t="s">
        <v>150</v>
      </c>
      <c r="B10" s="9" t="s">
        <v>149</v>
      </c>
      <c r="C10" s="9" t="s">
        <v>282</v>
      </c>
      <c r="D10" s="9"/>
      <c r="E10" s="9"/>
    </row>
    <row r="11" spans="1:8" x14ac:dyDescent="0.3">
      <c r="A11" s="9" t="s">
        <v>151</v>
      </c>
      <c r="B11" s="9" t="s">
        <v>152</v>
      </c>
      <c r="C11" s="9" t="s">
        <v>283</v>
      </c>
      <c r="D11" s="9" t="s">
        <v>149</v>
      </c>
      <c r="E11" s="12">
        <v>30414</v>
      </c>
    </row>
    <row r="12" spans="1:8" x14ac:dyDescent="0.3">
      <c r="A12" s="9" t="s">
        <v>265</v>
      </c>
      <c r="B12" s="9" t="s">
        <v>154</v>
      </c>
      <c r="C12" s="9" t="s">
        <v>282</v>
      </c>
      <c r="D12" s="9"/>
      <c r="E12" s="9"/>
    </row>
    <row r="13" spans="1:8" x14ac:dyDescent="0.3">
      <c r="A13" s="9" t="s">
        <v>155</v>
      </c>
      <c r="B13" s="9" t="s">
        <v>156</v>
      </c>
      <c r="C13" s="9" t="s">
        <v>282</v>
      </c>
      <c r="D13" s="9"/>
      <c r="E13" s="9"/>
    </row>
    <row r="14" spans="1:8" x14ac:dyDescent="0.3">
      <c r="A14" s="9" t="s">
        <v>159</v>
      </c>
      <c r="B14" s="9" t="s">
        <v>160</v>
      </c>
      <c r="C14" s="9" t="s">
        <v>283</v>
      </c>
      <c r="D14" s="9" t="s">
        <v>162</v>
      </c>
      <c r="E14" s="12">
        <v>30520</v>
      </c>
    </row>
    <row r="15" spans="1:8" x14ac:dyDescent="0.3">
      <c r="A15" s="9" t="s">
        <v>157</v>
      </c>
      <c r="B15" s="9" t="s">
        <v>158</v>
      </c>
      <c r="C15" s="9" t="s">
        <v>283</v>
      </c>
      <c r="D15" s="9" t="s">
        <v>164</v>
      </c>
      <c r="E15" s="12">
        <v>30505</v>
      </c>
    </row>
    <row r="16" spans="1:8" x14ac:dyDescent="0.3">
      <c r="A16" s="9" t="s">
        <v>266</v>
      </c>
      <c r="B16" s="9" t="s">
        <v>162</v>
      </c>
      <c r="C16" s="9" t="s">
        <v>283</v>
      </c>
      <c r="D16" s="9" t="s">
        <v>145</v>
      </c>
      <c r="E16" s="12">
        <v>17542</v>
      </c>
    </row>
    <row r="17" spans="1:5" x14ac:dyDescent="0.3">
      <c r="A17" s="9" t="s">
        <v>163</v>
      </c>
      <c r="B17" s="9" t="s">
        <v>164</v>
      </c>
      <c r="C17" s="9" t="s">
        <v>282</v>
      </c>
      <c r="D17" s="9"/>
      <c r="E17" s="9"/>
    </row>
    <row r="18" spans="1:5" x14ac:dyDescent="0.3">
      <c r="A18" s="9" t="s">
        <v>165</v>
      </c>
      <c r="B18" s="9" t="s">
        <v>166</v>
      </c>
      <c r="C18" s="9" t="s">
        <v>282</v>
      </c>
      <c r="D18" s="9"/>
      <c r="E18" s="9"/>
    </row>
    <row r="19" spans="1:5" x14ac:dyDescent="0.3">
      <c r="A19" s="9" t="s">
        <v>167</v>
      </c>
      <c r="B19" s="9" t="s">
        <v>168</v>
      </c>
      <c r="C19" s="9" t="s">
        <v>282</v>
      </c>
      <c r="D19" s="9"/>
      <c r="E19" s="9"/>
    </row>
    <row r="20" spans="1:5" x14ac:dyDescent="0.3">
      <c r="A20" s="9" t="s">
        <v>169</v>
      </c>
      <c r="B20" s="9" t="s">
        <v>170</v>
      </c>
      <c r="C20" s="9" t="s">
        <v>283</v>
      </c>
      <c r="D20" s="9" t="s">
        <v>174</v>
      </c>
      <c r="E20" s="12">
        <v>30481</v>
      </c>
    </row>
    <row r="21" spans="1:5" x14ac:dyDescent="0.3">
      <c r="A21" s="9" t="s">
        <v>173</v>
      </c>
      <c r="B21" s="9" t="s">
        <v>174</v>
      </c>
      <c r="C21" s="9" t="s">
        <v>283</v>
      </c>
      <c r="D21" s="9" t="s">
        <v>219</v>
      </c>
      <c r="E21" s="12">
        <v>30404</v>
      </c>
    </row>
    <row r="22" spans="1:5" x14ac:dyDescent="0.3">
      <c r="A22" s="9" t="s">
        <v>267</v>
      </c>
      <c r="B22" s="9" t="s">
        <v>172</v>
      </c>
      <c r="C22" s="9" t="s">
        <v>282</v>
      </c>
      <c r="D22" s="9"/>
      <c r="E22" s="9"/>
    </row>
    <row r="23" spans="1:5" x14ac:dyDescent="0.3">
      <c r="A23" s="9" t="s">
        <v>175</v>
      </c>
      <c r="B23" s="9" t="s">
        <v>176</v>
      </c>
      <c r="C23" s="9" t="s">
        <v>282</v>
      </c>
      <c r="D23" s="9"/>
      <c r="E23" s="9"/>
    </row>
    <row r="24" spans="1:5" x14ac:dyDescent="0.3">
      <c r="A24" s="9" t="s">
        <v>177</v>
      </c>
      <c r="B24" s="9" t="s">
        <v>6</v>
      </c>
      <c r="C24" s="9" t="s">
        <v>282</v>
      </c>
      <c r="D24" s="9"/>
      <c r="E24" s="9"/>
    </row>
    <row r="25" spans="1:5" x14ac:dyDescent="0.3">
      <c r="A25" s="9" t="s">
        <v>268</v>
      </c>
      <c r="B25" s="9" t="s">
        <v>98</v>
      </c>
      <c r="C25" s="9" t="s">
        <v>282</v>
      </c>
      <c r="D25" s="9"/>
      <c r="E25" s="9"/>
    </row>
    <row r="26" spans="1:5" x14ac:dyDescent="0.3">
      <c r="A26" s="9" t="s">
        <v>269</v>
      </c>
      <c r="B26" s="9" t="s">
        <v>180</v>
      </c>
      <c r="C26" s="9" t="s">
        <v>282</v>
      </c>
      <c r="D26" s="9"/>
      <c r="E26" s="9"/>
    </row>
    <row r="27" spans="1:5" x14ac:dyDescent="0.3">
      <c r="A27" s="9" t="s">
        <v>270</v>
      </c>
      <c r="B27" s="9" t="s">
        <v>182</v>
      </c>
      <c r="C27" s="9" t="s">
        <v>282</v>
      </c>
      <c r="D27" s="9"/>
      <c r="E27" s="9"/>
    </row>
    <row r="28" spans="1:5" x14ac:dyDescent="0.3">
      <c r="A28" s="9" t="s">
        <v>183</v>
      </c>
      <c r="B28" s="9" t="s">
        <v>184</v>
      </c>
      <c r="C28" s="9" t="s">
        <v>282</v>
      </c>
      <c r="D28" s="9"/>
      <c r="E28" s="9"/>
    </row>
    <row r="29" spans="1:5" x14ac:dyDescent="0.3">
      <c r="A29" s="9" t="s">
        <v>271</v>
      </c>
      <c r="B29" s="9" t="s">
        <v>186</v>
      </c>
      <c r="C29" s="9" t="s">
        <v>282</v>
      </c>
      <c r="D29" s="9"/>
      <c r="E29" s="9"/>
    </row>
    <row r="30" spans="1:5" x14ac:dyDescent="0.3">
      <c r="A30" s="9" t="s">
        <v>187</v>
      </c>
      <c r="B30" s="9" t="s">
        <v>186</v>
      </c>
      <c r="C30" s="9" t="s">
        <v>282</v>
      </c>
      <c r="D30" s="9"/>
      <c r="E30" s="9"/>
    </row>
    <row r="31" spans="1:5" x14ac:dyDescent="0.3">
      <c r="A31" s="9" t="s">
        <v>188</v>
      </c>
      <c r="B31" s="9" t="s">
        <v>189</v>
      </c>
      <c r="C31" s="9" t="s">
        <v>282</v>
      </c>
      <c r="D31" s="9"/>
      <c r="E31" s="9"/>
    </row>
    <row r="32" spans="1:5" x14ac:dyDescent="0.3">
      <c r="A32" s="9" t="s">
        <v>272</v>
      </c>
      <c r="B32" s="9" t="s">
        <v>191</v>
      </c>
      <c r="C32" s="9" t="s">
        <v>283</v>
      </c>
      <c r="D32" s="9" t="s">
        <v>194</v>
      </c>
      <c r="E32" s="12">
        <v>30454</v>
      </c>
    </row>
    <row r="33" spans="1:5" x14ac:dyDescent="0.3">
      <c r="A33" s="9" t="s">
        <v>192</v>
      </c>
      <c r="B33" s="9" t="s">
        <v>191</v>
      </c>
      <c r="C33" s="9" t="s">
        <v>282</v>
      </c>
      <c r="D33" s="9"/>
      <c r="E33" s="9"/>
    </row>
    <row r="34" spans="1:5" x14ac:dyDescent="0.3">
      <c r="A34" s="9" t="s">
        <v>193</v>
      </c>
      <c r="B34" s="9" t="s">
        <v>194</v>
      </c>
      <c r="C34" s="9" t="s">
        <v>283</v>
      </c>
      <c r="D34" s="9" t="s">
        <v>196</v>
      </c>
      <c r="E34" s="12">
        <v>30519</v>
      </c>
    </row>
    <row r="35" spans="1:5" x14ac:dyDescent="0.3">
      <c r="A35" s="9" t="s">
        <v>195</v>
      </c>
      <c r="B35" s="9" t="s">
        <v>196</v>
      </c>
      <c r="C35" s="9" t="s">
        <v>282</v>
      </c>
      <c r="D35" s="9"/>
      <c r="E35" s="9"/>
    </row>
    <row r="36" spans="1:5" x14ac:dyDescent="0.3">
      <c r="A36" s="9" t="s">
        <v>197</v>
      </c>
      <c r="B36" s="9" t="s">
        <v>121</v>
      </c>
      <c r="C36" s="9" t="s">
        <v>282</v>
      </c>
      <c r="D36" s="9"/>
      <c r="E36" s="9"/>
    </row>
    <row r="37" spans="1:5" x14ac:dyDescent="0.3">
      <c r="A37" s="9" t="s">
        <v>198</v>
      </c>
      <c r="B37" s="9" t="s">
        <v>121</v>
      </c>
      <c r="C37" s="9" t="s">
        <v>282</v>
      </c>
      <c r="D37" s="9"/>
      <c r="E37" s="9"/>
    </row>
    <row r="38" spans="1:5" x14ac:dyDescent="0.3">
      <c r="A38" s="9" t="s">
        <v>199</v>
      </c>
      <c r="B38" s="9" t="s">
        <v>200</v>
      </c>
      <c r="C38" s="9" t="s">
        <v>282</v>
      </c>
      <c r="D38" s="9"/>
      <c r="E38" s="9"/>
    </row>
    <row r="39" spans="1:5" x14ac:dyDescent="0.3">
      <c r="A39" s="9" t="s">
        <v>201</v>
      </c>
      <c r="B39" s="9" t="s">
        <v>202</v>
      </c>
      <c r="C39" s="9" t="s">
        <v>282</v>
      </c>
      <c r="D39" s="9"/>
      <c r="E39" s="9"/>
    </row>
    <row r="40" spans="1:5" x14ac:dyDescent="0.3">
      <c r="A40" s="9" t="s">
        <v>203</v>
      </c>
      <c r="B40" s="9" t="s">
        <v>204</v>
      </c>
      <c r="C40" s="9" t="s">
        <v>282</v>
      </c>
      <c r="D40" s="9"/>
      <c r="E40" s="9"/>
    </row>
    <row r="41" spans="1:5" x14ac:dyDescent="0.3">
      <c r="A41" s="9" t="s">
        <v>205</v>
      </c>
      <c r="B41" s="9" t="s">
        <v>206</v>
      </c>
      <c r="C41" s="9" t="s">
        <v>283</v>
      </c>
      <c r="D41" s="9" t="s">
        <v>287</v>
      </c>
      <c r="E41" s="9"/>
    </row>
    <row r="42" spans="1:5" x14ac:dyDescent="0.3">
      <c r="A42" s="9" t="s">
        <v>273</v>
      </c>
      <c r="B42" s="9" t="s">
        <v>208</v>
      </c>
      <c r="C42" s="9" t="s">
        <v>282</v>
      </c>
      <c r="D42" s="9"/>
      <c r="E42" s="9"/>
    </row>
    <row r="43" spans="1:5" x14ac:dyDescent="0.3">
      <c r="A43" s="9" t="s">
        <v>209</v>
      </c>
      <c r="B43" s="9" t="s">
        <v>208</v>
      </c>
      <c r="C43" s="9" t="s">
        <v>282</v>
      </c>
      <c r="D43" s="9"/>
      <c r="E43" s="9"/>
    </row>
    <row r="44" spans="1:5" x14ac:dyDescent="0.3">
      <c r="A44" s="9" t="s">
        <v>210</v>
      </c>
      <c r="B44" s="9" t="s">
        <v>211</v>
      </c>
      <c r="C44" s="9" t="s">
        <v>283</v>
      </c>
      <c r="D44" s="9" t="s">
        <v>211</v>
      </c>
      <c r="E44" s="12">
        <v>30473</v>
      </c>
    </row>
    <row r="45" spans="1:5" x14ac:dyDescent="0.3">
      <c r="A45" s="9" t="s">
        <v>212</v>
      </c>
      <c r="B45" s="9" t="s">
        <v>213</v>
      </c>
      <c r="C45" s="9" t="s">
        <v>282</v>
      </c>
      <c r="D45" s="9"/>
      <c r="E45" s="9"/>
    </row>
    <row r="46" spans="1:5" x14ac:dyDescent="0.3">
      <c r="A46" s="9" t="s">
        <v>214</v>
      </c>
      <c r="B46" s="9" t="s">
        <v>215</v>
      </c>
      <c r="C46" s="9" t="s">
        <v>282</v>
      </c>
      <c r="D46" s="9"/>
      <c r="E46" s="9"/>
    </row>
    <row r="47" spans="1:5" x14ac:dyDescent="0.3">
      <c r="A47" s="9" t="s">
        <v>216</v>
      </c>
      <c r="B47" s="9" t="s">
        <v>217</v>
      </c>
      <c r="C47" s="9" t="s">
        <v>282</v>
      </c>
      <c r="D47" s="9"/>
      <c r="E47" s="9"/>
    </row>
    <row r="48" spans="1:5" x14ac:dyDescent="0.3">
      <c r="A48" s="9" t="s">
        <v>218</v>
      </c>
      <c r="B48" s="9" t="s">
        <v>143</v>
      </c>
      <c r="C48" s="9" t="s">
        <v>283</v>
      </c>
      <c r="D48" s="9" t="s">
        <v>217</v>
      </c>
      <c r="E48" s="12">
        <v>17563</v>
      </c>
    </row>
    <row r="49" spans="1:5" x14ac:dyDescent="0.3">
      <c r="A49" s="9" t="s">
        <v>170</v>
      </c>
      <c r="B49" s="9" t="s">
        <v>174</v>
      </c>
      <c r="C49" s="9" t="s">
        <v>283</v>
      </c>
      <c r="D49" s="9" t="s">
        <v>170</v>
      </c>
      <c r="E49" s="12">
        <v>30485</v>
      </c>
    </row>
    <row r="50" spans="1:5" x14ac:dyDescent="0.3">
      <c r="A50" s="9" t="s">
        <v>219</v>
      </c>
      <c r="B50" s="9" t="s">
        <v>219</v>
      </c>
      <c r="C50" s="9" t="s">
        <v>282</v>
      </c>
      <c r="D50" s="9"/>
      <c r="E50" s="9"/>
    </row>
    <row r="51" spans="1:5" x14ac:dyDescent="0.3">
      <c r="A51" s="9" t="s">
        <v>274</v>
      </c>
      <c r="B51" s="9" t="s">
        <v>219</v>
      </c>
      <c r="C51" s="9" t="s">
        <v>283</v>
      </c>
      <c r="D51" s="9" t="s">
        <v>297</v>
      </c>
      <c r="E51" s="12">
        <v>30457</v>
      </c>
    </row>
    <row r="52" spans="1:5" x14ac:dyDescent="0.3">
      <c r="A52" s="9" t="s">
        <v>220</v>
      </c>
      <c r="B52" s="9" t="s">
        <v>221</v>
      </c>
      <c r="C52" s="9" t="s">
        <v>282</v>
      </c>
      <c r="D52" s="9"/>
      <c r="E52" s="9"/>
    </row>
    <row r="53" spans="1:5" x14ac:dyDescent="0.3">
      <c r="A53" s="9" t="s">
        <v>222</v>
      </c>
      <c r="B53" s="9" t="s">
        <v>206</v>
      </c>
      <c r="C53" s="9" t="s">
        <v>282</v>
      </c>
      <c r="D53" s="9"/>
      <c r="E53" s="9"/>
    </row>
    <row r="54" spans="1:5" x14ac:dyDescent="0.3">
      <c r="A54" s="9" t="s">
        <v>223</v>
      </c>
      <c r="B54" s="9" t="s">
        <v>6</v>
      </c>
      <c r="C54" s="9" t="s">
        <v>282</v>
      </c>
      <c r="D54" s="9"/>
      <c r="E54" s="9"/>
    </row>
    <row r="55" spans="1:5" x14ac:dyDescent="0.3">
      <c r="A55" s="9" t="s">
        <v>224</v>
      </c>
      <c r="B55" s="9" t="s">
        <v>225</v>
      </c>
      <c r="C55" s="9" t="s">
        <v>282</v>
      </c>
      <c r="D55" s="9"/>
      <c r="E55" s="9"/>
    </row>
    <row r="56" spans="1:5" x14ac:dyDescent="0.3">
      <c r="A56" s="9" t="s">
        <v>226</v>
      </c>
      <c r="B56" s="9" t="s">
        <v>227</v>
      </c>
      <c r="C56" s="9" t="s">
        <v>282</v>
      </c>
      <c r="D56" s="9"/>
      <c r="E56" s="9"/>
    </row>
    <row r="57" spans="1:5" x14ac:dyDescent="0.3">
      <c r="A57" s="9" t="s">
        <v>228</v>
      </c>
      <c r="B57" s="9" t="s">
        <v>229</v>
      </c>
      <c r="C57" s="9" t="s">
        <v>282</v>
      </c>
      <c r="D57" s="9"/>
      <c r="E57" s="9"/>
    </row>
    <row r="58" spans="1:5" x14ac:dyDescent="0.3">
      <c r="A58" s="9" t="s">
        <v>230</v>
      </c>
      <c r="B58" s="9" t="s">
        <v>230</v>
      </c>
      <c r="C58" s="16" t="s">
        <v>282</v>
      </c>
      <c r="D58" s="9"/>
      <c r="E58" s="9"/>
    </row>
    <row r="59" spans="1:5" x14ac:dyDescent="0.3">
      <c r="A59" s="9" t="s">
        <v>231</v>
      </c>
      <c r="B59" s="9" t="s">
        <v>232</v>
      </c>
      <c r="C59" s="9" t="s">
        <v>282</v>
      </c>
      <c r="D59" s="9"/>
      <c r="E59" s="9"/>
    </row>
    <row r="60" spans="1:5" x14ac:dyDescent="0.3">
      <c r="A60" s="9" t="s">
        <v>275</v>
      </c>
      <c r="B60" s="9" t="s">
        <v>234</v>
      </c>
      <c r="C60" s="9" t="s">
        <v>282</v>
      </c>
      <c r="D60" s="9"/>
      <c r="E60" s="9"/>
    </row>
    <row r="61" spans="1:5" x14ac:dyDescent="0.3">
      <c r="A61" s="9" t="s">
        <v>276</v>
      </c>
      <c r="B61" s="9" t="s">
        <v>149</v>
      </c>
      <c r="C61" s="9" t="s">
        <v>282</v>
      </c>
      <c r="D61" s="9"/>
      <c r="E61" s="9"/>
    </row>
    <row r="62" spans="1:5" x14ac:dyDescent="0.3">
      <c r="A62" s="9" t="s">
        <v>277</v>
      </c>
      <c r="B62" s="9" t="s">
        <v>236</v>
      </c>
      <c r="C62" s="9" t="s">
        <v>282</v>
      </c>
      <c r="D62" s="9"/>
      <c r="E62" s="9"/>
    </row>
    <row r="63" spans="1:5" x14ac:dyDescent="0.3">
      <c r="A63" s="9" t="s">
        <v>278</v>
      </c>
      <c r="B63" s="9" t="s">
        <v>238</v>
      </c>
      <c r="C63" s="9" t="s">
        <v>282</v>
      </c>
      <c r="D63" s="9"/>
      <c r="E6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workbookViewId="0">
      <selection activeCell="G5" sqref="G5:I5"/>
    </sheetView>
  </sheetViews>
  <sheetFormatPr defaultRowHeight="14.4" x14ac:dyDescent="0.3"/>
  <cols>
    <col min="1" max="1" width="65.88671875" bestFit="1" customWidth="1"/>
    <col min="2" max="2" width="72.21875" bestFit="1" customWidth="1"/>
    <col min="3" max="3" width="6.21875" bestFit="1" customWidth="1"/>
    <col min="4" max="4" width="20" bestFit="1" customWidth="1"/>
    <col min="5" max="5" width="7.109375" bestFit="1" customWidth="1"/>
  </cols>
  <sheetData>
    <row r="1" spans="1:9" x14ac:dyDescent="0.3">
      <c r="A1" s="1" t="s">
        <v>0</v>
      </c>
      <c r="B1" s="1" t="s">
        <v>1</v>
      </c>
      <c r="C1" s="2" t="s">
        <v>279</v>
      </c>
      <c r="D1" s="2" t="s">
        <v>280</v>
      </c>
      <c r="E1" s="2" t="s">
        <v>281</v>
      </c>
      <c r="G1" s="3" t="s">
        <v>282</v>
      </c>
      <c r="H1" s="4">
        <f>COUNTIF(C:C,G1)</f>
        <v>0</v>
      </c>
    </row>
    <row r="2" spans="1:9" x14ac:dyDescent="0.3">
      <c r="A2" s="9" t="s">
        <v>54</v>
      </c>
      <c r="B2" s="9" t="s">
        <v>55</v>
      </c>
      <c r="C2" s="9"/>
      <c r="D2" s="9"/>
      <c r="E2" s="9"/>
      <c r="G2" s="5" t="s">
        <v>283</v>
      </c>
      <c r="H2" s="6">
        <f>COUNTIF(C:C,G2)</f>
        <v>0</v>
      </c>
    </row>
    <row r="3" spans="1:9" ht="15" thickBot="1" x14ac:dyDescent="0.35">
      <c r="A3" s="9" t="s">
        <v>56</v>
      </c>
      <c r="B3" s="9" t="s">
        <v>33</v>
      </c>
      <c r="C3" s="9"/>
      <c r="D3" s="9"/>
      <c r="E3" s="9"/>
      <c r="G3" s="7" t="s">
        <v>284</v>
      </c>
      <c r="H3" s="8" t="e">
        <f>H1/SUM(H1:H2)</f>
        <v>#DIV/0!</v>
      </c>
    </row>
    <row r="4" spans="1:9" x14ac:dyDescent="0.3">
      <c r="A4" s="9" t="s">
        <v>57</v>
      </c>
      <c r="B4" s="9" t="s">
        <v>58</v>
      </c>
      <c r="C4" s="9"/>
      <c r="D4" s="9"/>
      <c r="E4" s="9"/>
    </row>
    <row r="5" spans="1:9" x14ac:dyDescent="0.3">
      <c r="A5" s="9" t="s">
        <v>59</v>
      </c>
      <c r="B5" s="9" t="s">
        <v>60</v>
      </c>
      <c r="C5" s="9"/>
      <c r="D5" s="9"/>
      <c r="E5" s="9"/>
      <c r="G5" s="14" t="s">
        <v>296</v>
      </c>
      <c r="H5" s="13"/>
      <c r="I5" s="13"/>
    </row>
    <row r="6" spans="1:9" x14ac:dyDescent="0.3">
      <c r="A6" s="9" t="s">
        <v>61</v>
      </c>
      <c r="B6" s="9" t="s">
        <v>6</v>
      </c>
      <c r="C6" s="9"/>
      <c r="D6" s="9"/>
      <c r="E6" s="9"/>
    </row>
    <row r="7" spans="1:9" x14ac:dyDescent="0.3">
      <c r="A7" s="9" t="s">
        <v>62</v>
      </c>
      <c r="B7" s="9" t="s">
        <v>51</v>
      </c>
      <c r="C7" s="9"/>
      <c r="D7" s="9"/>
      <c r="E7" s="9"/>
    </row>
    <row r="8" spans="1:9" x14ac:dyDescent="0.3">
      <c r="A8" s="9" t="s">
        <v>63</v>
      </c>
      <c r="B8" s="9" t="s">
        <v>60</v>
      </c>
      <c r="C8" s="9"/>
      <c r="D8" s="9"/>
      <c r="E8" s="9"/>
    </row>
    <row r="9" spans="1:9" x14ac:dyDescent="0.3">
      <c r="A9" s="9" t="s">
        <v>64</v>
      </c>
      <c r="B9" s="9" t="s">
        <v>6</v>
      </c>
      <c r="C9" s="9"/>
      <c r="D9" s="9"/>
      <c r="E9" s="9"/>
    </row>
    <row r="10" spans="1:9" x14ac:dyDescent="0.3">
      <c r="A10" s="9" t="s">
        <v>65</v>
      </c>
      <c r="B10" s="9" t="s">
        <v>66</v>
      </c>
      <c r="C10" s="9"/>
      <c r="D10" s="9"/>
      <c r="E10" s="9"/>
    </row>
    <row r="11" spans="1:9" x14ac:dyDescent="0.3">
      <c r="A11" s="9" t="s">
        <v>54</v>
      </c>
      <c r="B11" s="9" t="s">
        <v>55</v>
      </c>
      <c r="C11" s="9"/>
      <c r="D11" s="9"/>
      <c r="E11" s="9"/>
    </row>
    <row r="12" spans="1:9" x14ac:dyDescent="0.3">
      <c r="A12" s="9" t="s">
        <v>56</v>
      </c>
      <c r="B12" s="9" t="s">
        <v>33</v>
      </c>
      <c r="C12" s="9"/>
      <c r="D12" s="9"/>
      <c r="E12" s="9"/>
    </row>
    <row r="13" spans="1:9" x14ac:dyDescent="0.3">
      <c r="A13" s="9" t="s">
        <v>57</v>
      </c>
      <c r="B13" s="9" t="s">
        <v>58</v>
      </c>
      <c r="C13" s="9"/>
      <c r="D13" s="9"/>
      <c r="E13" s="9"/>
    </row>
    <row r="14" spans="1:9" x14ac:dyDescent="0.3">
      <c r="A14" s="9" t="s">
        <v>59</v>
      </c>
      <c r="B14" s="9" t="s">
        <v>60</v>
      </c>
      <c r="C14" s="9"/>
      <c r="D14" s="9"/>
      <c r="E14" s="9"/>
    </row>
    <row r="15" spans="1:9" x14ac:dyDescent="0.3">
      <c r="A15" s="9" t="s">
        <v>61</v>
      </c>
      <c r="B15" s="9" t="s">
        <v>6</v>
      </c>
      <c r="C15" s="9"/>
      <c r="D15" s="9"/>
      <c r="E15" s="9"/>
    </row>
    <row r="16" spans="1:9" x14ac:dyDescent="0.3">
      <c r="A16" s="9" t="s">
        <v>67</v>
      </c>
      <c r="B16" s="9" t="s">
        <v>6</v>
      </c>
      <c r="C16" s="9"/>
      <c r="D16" s="9"/>
      <c r="E16" s="9"/>
    </row>
    <row r="17" spans="1:5" x14ac:dyDescent="0.3">
      <c r="A17" s="9" t="s">
        <v>68</v>
      </c>
      <c r="B17" s="9" t="s">
        <v>6</v>
      </c>
      <c r="C17" s="9"/>
      <c r="D17" s="9"/>
      <c r="E17" s="9"/>
    </row>
    <row r="18" spans="1:5" x14ac:dyDescent="0.3">
      <c r="A18" s="9" t="s">
        <v>69</v>
      </c>
      <c r="B18" s="9" t="s">
        <v>20</v>
      </c>
      <c r="C18" s="9"/>
      <c r="D18" s="9"/>
      <c r="E18" s="9"/>
    </row>
    <row r="19" spans="1:5" x14ac:dyDescent="0.3">
      <c r="A19" s="9" t="s">
        <v>70</v>
      </c>
      <c r="B19" s="9" t="s">
        <v>6</v>
      </c>
      <c r="C19" s="9"/>
      <c r="D19" s="9"/>
      <c r="E19" s="9"/>
    </row>
    <row r="20" spans="1:5" x14ac:dyDescent="0.3">
      <c r="A20" s="9" t="s">
        <v>54</v>
      </c>
      <c r="B20" s="9" t="s">
        <v>55</v>
      </c>
      <c r="C20" s="9"/>
      <c r="D20" s="9"/>
      <c r="E20" s="9"/>
    </row>
    <row r="21" spans="1:5" x14ac:dyDescent="0.3">
      <c r="A21" s="9" t="s">
        <v>56</v>
      </c>
      <c r="B21" s="9" t="s">
        <v>33</v>
      </c>
      <c r="C21" s="9"/>
      <c r="D21" s="9"/>
      <c r="E21" s="9"/>
    </row>
    <row r="22" spans="1:5" x14ac:dyDescent="0.3">
      <c r="A22" s="9" t="s">
        <v>57</v>
      </c>
      <c r="B22" s="9" t="s">
        <v>58</v>
      </c>
      <c r="C22" s="9"/>
      <c r="D22" s="9"/>
      <c r="E22" s="9"/>
    </row>
    <row r="23" spans="1:5" x14ac:dyDescent="0.3">
      <c r="A23" s="9" t="s">
        <v>59</v>
      </c>
      <c r="B23" s="9" t="s">
        <v>60</v>
      </c>
      <c r="C23" s="9"/>
      <c r="D23" s="9"/>
      <c r="E23" s="9"/>
    </row>
    <row r="24" spans="1:5" x14ac:dyDescent="0.3">
      <c r="A24" s="9" t="s">
        <v>71</v>
      </c>
      <c r="B24" s="9" t="s">
        <v>6</v>
      </c>
      <c r="C24" s="9"/>
      <c r="D24" s="9"/>
      <c r="E24" s="9"/>
    </row>
    <row r="25" spans="1:5" x14ac:dyDescent="0.3">
      <c r="A25" s="9" t="s">
        <v>72</v>
      </c>
      <c r="B25" s="9" t="s">
        <v>44</v>
      </c>
      <c r="C25" s="9"/>
      <c r="D25" s="9"/>
      <c r="E25" s="9"/>
    </row>
    <row r="26" spans="1:5" x14ac:dyDescent="0.3">
      <c r="A26" s="9" t="s">
        <v>73</v>
      </c>
      <c r="B26" s="9" t="s">
        <v>6</v>
      </c>
      <c r="C26" s="9"/>
      <c r="D26" s="9"/>
      <c r="E26" s="9"/>
    </row>
    <row r="27" spans="1:5" x14ac:dyDescent="0.3">
      <c r="A27" s="9" t="s">
        <v>54</v>
      </c>
      <c r="B27" s="9" t="s">
        <v>55</v>
      </c>
      <c r="C27" s="9"/>
      <c r="D27" s="9"/>
      <c r="E27" s="9"/>
    </row>
    <row r="28" spans="1:5" x14ac:dyDescent="0.3">
      <c r="A28" s="9" t="s">
        <v>56</v>
      </c>
      <c r="B28" s="9" t="s">
        <v>33</v>
      </c>
      <c r="C28" s="9"/>
      <c r="D28" s="9"/>
      <c r="E28" s="9"/>
    </row>
    <row r="29" spans="1:5" x14ac:dyDescent="0.3">
      <c r="A29" s="9" t="s">
        <v>57</v>
      </c>
      <c r="B29" s="9" t="s">
        <v>58</v>
      </c>
      <c r="C29" s="9"/>
      <c r="D29" s="9"/>
      <c r="E29" s="9"/>
    </row>
    <row r="30" spans="1:5" x14ac:dyDescent="0.3">
      <c r="A30" s="9" t="s">
        <v>59</v>
      </c>
      <c r="B30" s="9" t="s">
        <v>60</v>
      </c>
      <c r="C30" s="9"/>
      <c r="D30" s="9"/>
      <c r="E30" s="9"/>
    </row>
    <row r="31" spans="1:5" x14ac:dyDescent="0.3">
      <c r="A31" s="9" t="s">
        <v>74</v>
      </c>
      <c r="B31" s="9" t="s">
        <v>25</v>
      </c>
      <c r="C31" s="9"/>
      <c r="D31" s="9"/>
      <c r="E31" s="9"/>
    </row>
    <row r="32" spans="1:5" x14ac:dyDescent="0.3">
      <c r="A32" s="9" t="s">
        <v>75</v>
      </c>
      <c r="B32" s="9" t="s">
        <v>6</v>
      </c>
      <c r="C32" s="9"/>
      <c r="D32" s="9"/>
      <c r="E3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workbookViewId="0">
      <selection activeCell="G5" sqref="G5"/>
    </sheetView>
  </sheetViews>
  <sheetFormatPr defaultRowHeight="14.4" x14ac:dyDescent="0.3"/>
  <cols>
    <col min="1" max="1" width="68.77734375" bestFit="1" customWidth="1"/>
    <col min="2" max="2" width="72.21875" bestFit="1" customWidth="1"/>
    <col min="3" max="3" width="6.21875" bestFit="1" customWidth="1"/>
    <col min="4" max="4" width="20" bestFit="1" customWidth="1"/>
    <col min="5" max="5" width="7.109375" bestFit="1" customWidth="1"/>
  </cols>
  <sheetData>
    <row r="1" spans="1:9" x14ac:dyDescent="0.3">
      <c r="A1" s="1" t="s">
        <v>0</v>
      </c>
      <c r="B1" s="1" t="s">
        <v>1</v>
      </c>
      <c r="C1" s="2" t="s">
        <v>279</v>
      </c>
      <c r="D1" s="2" t="s">
        <v>280</v>
      </c>
      <c r="E1" s="2" t="s">
        <v>281</v>
      </c>
      <c r="G1" s="3" t="s">
        <v>282</v>
      </c>
      <c r="H1" s="4">
        <f>COUNTIF(C:C,G1)</f>
        <v>0</v>
      </c>
    </row>
    <row r="2" spans="1:9" x14ac:dyDescent="0.3">
      <c r="A2" s="9" t="s">
        <v>54</v>
      </c>
      <c r="B2" s="9" t="s">
        <v>55</v>
      </c>
      <c r="C2" s="9"/>
      <c r="D2" s="9"/>
      <c r="E2" s="9"/>
      <c r="G2" s="5" t="s">
        <v>283</v>
      </c>
      <c r="H2" s="6">
        <f>COUNTIF(C:C,G2)</f>
        <v>0</v>
      </c>
    </row>
    <row r="3" spans="1:9" ht="15" thickBot="1" x14ac:dyDescent="0.35">
      <c r="A3" s="9" t="s">
        <v>56</v>
      </c>
      <c r="B3" s="9" t="s">
        <v>33</v>
      </c>
      <c r="C3" s="9"/>
      <c r="D3" s="9"/>
      <c r="E3" s="9"/>
      <c r="G3" s="7" t="s">
        <v>284</v>
      </c>
      <c r="H3" s="8" t="e">
        <f>H1/SUM(H1:H2)</f>
        <v>#DIV/0!</v>
      </c>
    </row>
    <row r="4" spans="1:9" x14ac:dyDescent="0.3">
      <c r="A4" s="9" t="s">
        <v>57</v>
      </c>
      <c r="B4" s="9" t="s">
        <v>58</v>
      </c>
      <c r="C4" s="9"/>
      <c r="D4" s="9"/>
      <c r="E4" s="9"/>
    </row>
    <row r="5" spans="1:9" x14ac:dyDescent="0.3">
      <c r="A5" s="9" t="s">
        <v>59</v>
      </c>
      <c r="B5" s="9" t="s">
        <v>60</v>
      </c>
      <c r="C5" s="9"/>
      <c r="D5" s="9"/>
      <c r="E5" s="9"/>
      <c r="G5" s="14" t="s">
        <v>296</v>
      </c>
      <c r="H5" s="15"/>
      <c r="I5" s="15"/>
    </row>
    <row r="6" spans="1:9" x14ac:dyDescent="0.3">
      <c r="A6" s="9" t="s">
        <v>61</v>
      </c>
      <c r="B6" s="9" t="s">
        <v>6</v>
      </c>
      <c r="C6" s="9"/>
      <c r="D6" s="9"/>
      <c r="E6" s="9"/>
    </row>
    <row r="7" spans="1:9" x14ac:dyDescent="0.3">
      <c r="A7" s="9" t="s">
        <v>62</v>
      </c>
      <c r="B7" s="9" t="s">
        <v>51</v>
      </c>
      <c r="C7" s="9"/>
      <c r="D7" s="9"/>
      <c r="E7" s="9"/>
    </row>
    <row r="8" spans="1:9" x14ac:dyDescent="0.3">
      <c r="A8" s="9" t="s">
        <v>63</v>
      </c>
      <c r="B8" s="9" t="s">
        <v>60</v>
      </c>
      <c r="C8" s="9"/>
      <c r="D8" s="9"/>
      <c r="E8" s="9"/>
    </row>
    <row r="9" spans="1:9" x14ac:dyDescent="0.3">
      <c r="A9" s="9" t="s">
        <v>64</v>
      </c>
      <c r="B9" s="9" t="s">
        <v>6</v>
      </c>
      <c r="C9" s="9"/>
      <c r="D9" s="9"/>
      <c r="E9" s="9"/>
    </row>
    <row r="10" spans="1:9" x14ac:dyDescent="0.3">
      <c r="A10" s="9" t="s">
        <v>65</v>
      </c>
      <c r="B10" s="9" t="s">
        <v>66</v>
      </c>
      <c r="C10" s="9"/>
      <c r="D10" s="9"/>
      <c r="E10" s="9"/>
    </row>
    <row r="11" spans="1:9" x14ac:dyDescent="0.3">
      <c r="A11" s="9" t="s">
        <v>54</v>
      </c>
      <c r="B11" s="9" t="s">
        <v>55</v>
      </c>
      <c r="C11" s="9"/>
      <c r="D11" s="9"/>
      <c r="E11" s="9"/>
    </row>
    <row r="12" spans="1:9" x14ac:dyDescent="0.3">
      <c r="A12" s="9" t="s">
        <v>56</v>
      </c>
      <c r="B12" s="9" t="s">
        <v>33</v>
      </c>
      <c r="C12" s="9"/>
      <c r="D12" s="9"/>
      <c r="E12" s="9"/>
    </row>
    <row r="13" spans="1:9" x14ac:dyDescent="0.3">
      <c r="A13" s="9" t="s">
        <v>57</v>
      </c>
      <c r="B13" s="9" t="s">
        <v>58</v>
      </c>
      <c r="C13" s="9"/>
      <c r="D13" s="9"/>
      <c r="E13" s="9"/>
    </row>
    <row r="14" spans="1:9" x14ac:dyDescent="0.3">
      <c r="A14" s="9" t="s">
        <v>59</v>
      </c>
      <c r="B14" s="9" t="s">
        <v>60</v>
      </c>
      <c r="C14" s="9"/>
      <c r="D14" s="9"/>
      <c r="E14" s="9"/>
    </row>
    <row r="15" spans="1:9" x14ac:dyDescent="0.3">
      <c r="A15" s="9" t="s">
        <v>61</v>
      </c>
      <c r="B15" s="9" t="s">
        <v>6</v>
      </c>
      <c r="C15" s="9"/>
      <c r="D15" s="9"/>
      <c r="E15" s="9"/>
    </row>
    <row r="16" spans="1:9" x14ac:dyDescent="0.3">
      <c r="A16" s="9" t="s">
        <v>67</v>
      </c>
      <c r="B16" s="9" t="s">
        <v>6</v>
      </c>
      <c r="C16" s="9"/>
      <c r="D16" s="9"/>
      <c r="E16" s="9"/>
    </row>
    <row r="17" spans="1:5" x14ac:dyDescent="0.3">
      <c r="A17" s="9" t="s">
        <v>68</v>
      </c>
      <c r="B17" s="9" t="s">
        <v>6</v>
      </c>
      <c r="C17" s="9"/>
      <c r="D17" s="9"/>
      <c r="E17" s="9"/>
    </row>
    <row r="18" spans="1:5" x14ac:dyDescent="0.3">
      <c r="A18" s="9" t="s">
        <v>256</v>
      </c>
      <c r="B18" s="9" t="s">
        <v>242</v>
      </c>
      <c r="C18" s="9"/>
      <c r="D18" s="9"/>
      <c r="E18" s="9"/>
    </row>
    <row r="19" spans="1:5" x14ac:dyDescent="0.3">
      <c r="A19" s="9" t="s">
        <v>69</v>
      </c>
      <c r="B19" s="9" t="s">
        <v>20</v>
      </c>
      <c r="C19" s="9"/>
      <c r="D19" s="9"/>
      <c r="E19" s="9"/>
    </row>
    <row r="20" spans="1:5" x14ac:dyDescent="0.3">
      <c r="A20" s="9" t="s">
        <v>70</v>
      </c>
      <c r="B20" s="9" t="s">
        <v>6</v>
      </c>
      <c r="C20" s="9"/>
      <c r="D20" s="9"/>
      <c r="E20" s="9"/>
    </row>
    <row r="21" spans="1:5" x14ac:dyDescent="0.3">
      <c r="A21" s="9" t="s">
        <v>54</v>
      </c>
      <c r="B21" s="9" t="s">
        <v>55</v>
      </c>
      <c r="C21" s="9"/>
      <c r="D21" s="9"/>
      <c r="E21" s="9"/>
    </row>
    <row r="22" spans="1:5" x14ac:dyDescent="0.3">
      <c r="A22" s="9" t="s">
        <v>56</v>
      </c>
      <c r="B22" s="9" t="s">
        <v>33</v>
      </c>
      <c r="C22" s="9"/>
      <c r="D22" s="9"/>
      <c r="E22" s="9"/>
    </row>
    <row r="23" spans="1:5" x14ac:dyDescent="0.3">
      <c r="A23" s="9" t="s">
        <v>57</v>
      </c>
      <c r="B23" s="9" t="s">
        <v>58</v>
      </c>
      <c r="C23" s="9"/>
      <c r="D23" s="9"/>
      <c r="E23" s="9"/>
    </row>
    <row r="24" spans="1:5" x14ac:dyDescent="0.3">
      <c r="A24" s="9" t="s">
        <v>59</v>
      </c>
      <c r="B24" s="9" t="s">
        <v>60</v>
      </c>
      <c r="C24" s="9"/>
      <c r="D24" s="9"/>
      <c r="E24" s="9"/>
    </row>
    <row r="25" spans="1:5" x14ac:dyDescent="0.3">
      <c r="A25" s="9" t="s">
        <v>71</v>
      </c>
      <c r="B25" s="9" t="s">
        <v>6</v>
      </c>
      <c r="C25" s="9"/>
      <c r="D25" s="9"/>
      <c r="E25" s="9"/>
    </row>
    <row r="26" spans="1:5" x14ac:dyDescent="0.3">
      <c r="A26" s="9" t="s">
        <v>72</v>
      </c>
      <c r="B26" s="9" t="s">
        <v>44</v>
      </c>
      <c r="C26" s="9"/>
      <c r="D26" s="9"/>
      <c r="E26" s="9"/>
    </row>
    <row r="27" spans="1:5" x14ac:dyDescent="0.3">
      <c r="A27" s="9" t="s">
        <v>73</v>
      </c>
      <c r="B27" s="9" t="s">
        <v>6</v>
      </c>
      <c r="C27" s="9"/>
      <c r="D27" s="9"/>
      <c r="E27" s="9"/>
    </row>
    <row r="28" spans="1:5" x14ac:dyDescent="0.3">
      <c r="A28" s="9" t="s">
        <v>54</v>
      </c>
      <c r="B28" s="9" t="s">
        <v>55</v>
      </c>
      <c r="C28" s="9"/>
      <c r="D28" s="9"/>
      <c r="E28" s="9"/>
    </row>
    <row r="29" spans="1:5" x14ac:dyDescent="0.3">
      <c r="A29" s="9" t="s">
        <v>56</v>
      </c>
      <c r="B29" s="9" t="s">
        <v>33</v>
      </c>
      <c r="C29" s="9"/>
      <c r="D29" s="9"/>
      <c r="E29" s="9"/>
    </row>
    <row r="30" spans="1:5" x14ac:dyDescent="0.3">
      <c r="A30" s="9" t="s">
        <v>57</v>
      </c>
      <c r="B30" s="9" t="s">
        <v>58</v>
      </c>
      <c r="C30" s="9"/>
      <c r="D30" s="9"/>
      <c r="E30" s="9"/>
    </row>
    <row r="31" spans="1:5" x14ac:dyDescent="0.3">
      <c r="A31" s="9" t="s">
        <v>59</v>
      </c>
      <c r="B31" s="9" t="s">
        <v>60</v>
      </c>
      <c r="C31" s="9"/>
      <c r="D31" s="9"/>
      <c r="E31" s="9"/>
    </row>
    <row r="32" spans="1:5" x14ac:dyDescent="0.3">
      <c r="A32" s="9" t="s">
        <v>74</v>
      </c>
      <c r="B32" s="9" t="s">
        <v>25</v>
      </c>
      <c r="C32" s="9"/>
      <c r="D32" s="9"/>
      <c r="E32" s="9"/>
    </row>
    <row r="33" spans="1:5" x14ac:dyDescent="0.3">
      <c r="A33" s="9" t="s">
        <v>75</v>
      </c>
      <c r="B33" s="9" t="s">
        <v>6</v>
      </c>
      <c r="C33" s="9"/>
      <c r="D33" s="9"/>
      <c r="E3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Standalone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Anjarkar</cp:lastModifiedBy>
  <dcterms:created xsi:type="dcterms:W3CDTF">2026-03-23T05:47:57Z</dcterms:created>
  <dcterms:modified xsi:type="dcterms:W3CDTF">2026-03-24T06:54:51Z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2026-03-24T05:33:30Z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75dfa4cd-e0cf-481d-bf14-8e3439db3afd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