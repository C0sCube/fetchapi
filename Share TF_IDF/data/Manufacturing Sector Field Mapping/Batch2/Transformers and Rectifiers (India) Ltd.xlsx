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AEFD25E8-A633-4772-9080-B54DD584EBE0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Sheet'!$A$1:$H$55</definedName>
    <definedName name="_xlnm._FilterDatabase" localSheetId="5" hidden="1">'Consolidated Cash Flow'!$A$1:$H$1</definedName>
    <definedName name="_xlnm._FilterDatabase" localSheetId="1" hidden="1">'Consolidated Profit &amp; Loss'!$A$1:$H$43</definedName>
    <definedName name="_xlnm._FilterDatabase" localSheetId="0" hidden="1">'Standalone Profit &amp; Loss'!$A$1:$H$33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2" i="5"/>
  <c r="H2" i="2"/>
  <c r="H1" i="2"/>
  <c r="H2" i="3"/>
  <c r="H1" i="3"/>
  <c r="H3" i="3" s="1"/>
  <c r="H2" i="1"/>
  <c r="H1" i="1"/>
  <c r="H2" i="6" l="1"/>
  <c r="H3" i="6" s="1"/>
  <c r="H1" i="5"/>
  <c r="H3" i="5" s="1"/>
  <c r="H3" i="2"/>
  <c r="H2" i="4"/>
  <c r="H1" i="4"/>
  <c r="H3" i="4" s="1"/>
  <c r="H3" i="1"/>
</calcChain>
</file>

<file path=xl/sharedStrings.xml><?xml version="1.0" encoding="utf-8"?>
<sst xmlns="http://schemas.openxmlformats.org/spreadsheetml/2006/main" count="942" uniqueCount="283">
  <si>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</si>
  <si>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</si>
  <si>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</si>
  <si>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</si>
  <si>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</si>
  <si>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</si>
  <si>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</si>
  <si>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</si>
  <si>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</si>
  <si>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</si>
  <si>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Purchases of Stock - in - trade</t>
  </si>
  <si>
    <t>Purchase of Stock-in-Trade</t>
  </si>
  <si>
    <t>Changes in Inventories of Finished Goods &amp; Work - In - Progress</t>
  </si>
  <si>
    <t>Changes in Inventories of Finished Goods, Work-In-Progress and Stock-In-Trade</t>
  </si>
  <si>
    <t>Employee Benefits Expenses</t>
  </si>
  <si>
    <t>Employee Benefit Expense</t>
  </si>
  <si>
    <t>Finance Cost</t>
  </si>
  <si>
    <t>Finance Costs</t>
  </si>
  <si>
    <t>Depreciation &amp; Amortization Expenses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</si>
  <si>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</si>
  <si>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</si>
  <si>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</si>
  <si>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</si>
  <si>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</si>
  <si>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</si>
  <si>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</si>
  <si>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Reversal of impairment on Investments</t>
  </si>
  <si>
    <t>Provision/Written Off/for Contingencies</t>
  </si>
  <si>
    <t>Profit Before Tax</t>
  </si>
  <si>
    <t>Profit/(Loss) From Ordinary Activities before Tax</t>
  </si>
  <si>
    <t>Tax Expense</t>
  </si>
  <si>
    <t>Current Tax</t>
  </si>
  <si>
    <t>Deferred Tax</t>
  </si>
  <si>
    <t>Tax Adjustment of Earlier Years</t>
  </si>
  <si>
    <t>Total Tax Expense</t>
  </si>
  <si>
    <t>Total Field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</si>
  <si>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</si>
  <si>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</si>
  <si>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</si>
  <si>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</si>
  <si>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</si>
  <si>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Defined Benefit Obligation</t>
  </si>
  <si>
    <t>Income tax liability of items that will not be reclassified to profit or loss</t>
  </si>
  <si>
    <t>Income Tax related to items that will not be reclassified to Profit or Loss</t>
  </si>
  <si>
    <t>Total Comprehensive Income</t>
  </si>
  <si>
    <t>Total Comprehensive Income Attributable To</t>
  </si>
  <si>
    <t>Paid - up Equity Share Capital of Face Value of Re . 1/- each</t>
  </si>
  <si>
    <t>Paid-Up Equity Share Capital</t>
  </si>
  <si>
    <t>Other Equity</t>
  </si>
  <si>
    <t>Reserve excluding Revaluation Reserves (as per Balance Sheet of Previous Accounting Year)</t>
  </si>
  <si>
    <t>Earning Per Share ( EPS ) *</t>
  </si>
  <si>
    <t>Basic EPS ( in Rs . )</t>
  </si>
  <si>
    <t>Basic EPS</t>
  </si>
  <si>
    <t>Diluted EPS ( in Rs . 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</si>
  <si>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</si>
  <si>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</si>
  <si>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</si>
  <si>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</si>
  <si>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</si>
  <si>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</si>
  <si>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</si>
  <si>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</si>
  <si>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Intangible Assets</t>
  </si>
  <si>
    <t>Other Intangible Assets</t>
  </si>
  <si>
    <t>Intangible Assets under Development</t>
  </si>
  <si>
    <t>Intangible assets under development</t>
  </si>
  <si>
    <t>Financial Assets</t>
  </si>
  <si>
    <t>Investments</t>
  </si>
  <si>
    <t>Non-Current Investments</t>
  </si>
  <si>
    <t>Trade Receivables</t>
  </si>
  <si>
    <t>Loans</t>
  </si>
  <si>
    <t>Loans, Current</t>
  </si>
  <si>
    <t>Others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</si>
  <si>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</si>
  <si>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</si>
  <si>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</si>
  <si>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</si>
  <si>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</si>
  <si>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</si>
  <si>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</si>
  <si>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</si>
  <si>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</si>
  <si>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</si>
  <si>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</si>
  <si>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</si>
  <si>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 other than above</t>
  </si>
  <si>
    <t>Bank balance other than cash and cash equivalents</t>
  </si>
  <si>
    <t>Other Financial assets</t>
  </si>
  <si>
    <t>Other Current Assets</t>
  </si>
  <si>
    <t>Total current assets</t>
  </si>
  <si>
    <t>Total Current Assets</t>
  </si>
  <si>
    <t>Total Assets</t>
  </si>
  <si>
    <t>EQUITY &amp;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</si>
  <si>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</si>
  <si>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</si>
  <si>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</si>
  <si>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</si>
  <si>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</si>
  <si>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</si>
  <si>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</si>
  <si>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</si>
  <si>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</si>
  <si>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</si>
  <si>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</si>
  <si>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</si>
  <si>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</si>
  <si>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</si>
  <si>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</si>
  <si>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</si>
  <si>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</si>
  <si>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</si>
  <si>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</si>
  <si>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</si>
  <si>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</si>
  <si>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</si>
  <si>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Total outstanding due of Micro and Small Enterprises</t>
  </si>
  <si>
    <t>Total outstanding dues of Creditors other than Micro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</si>
  <si>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</si>
  <si>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</si>
  <si>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</si>
  <si>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</si>
  <si>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</si>
  <si>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</si>
  <si>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</si>
  <si>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</si>
  <si>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&amp; Liabilities</t>
  </si>
  <si>
    <t>Total Equity And Liabilities</t>
  </si>
  <si>
    <t>Net Profit Before Tax</t>
  </si>
  <si>
    <t>Net Profit Before Tax And Exceptional Item</t>
  </si>
  <si>
    <t>Adjustments for :</t>
  </si>
  <si>
    <t>Depreciation and Amortization</t>
  </si>
  <si>
    <t>Depreciation and Amortisation Expense</t>
  </si>
  <si>
    <t>Interest Expense</t>
  </si>
  <si>
    <t>Provision for impairment of inventory</t>
  </si>
  <si>
    <t>Impairment loss / (Reversal of Impairment Loss)</t>
  </si>
  <si>
    <t>Interest Income</t>
  </si>
  <si>
    <t>Interest Received</t>
  </si>
  <si>
    <t>Fair value ( gain)/loss on Investment in Mutual Funds</t>
  </si>
  <si>
    <t>Profit On Sale Of Investments</t>
  </si>
  <si>
    <t>Unrealized foreign exchange losses/(gain )</t>
  </si>
  <si>
    <t>Foreign Exchange Gain / Loss</t>
  </si>
  <si>
    <t>Provision of Impairment in Investment</t>
  </si>
  <si>
    <t>Provision For Dimunition In Investments</t>
  </si>
  <si>
    <t>Excess Provision written back</t>
  </si>
  <si>
    <t>Other Provisions Written Off</t>
  </si>
  <si>
    <t>Provision for doubtful debts and bad debts written off</t>
  </si>
  <si>
    <t>Provision For Doubtful Debts</t>
  </si>
  <si>
    <t>Share Based Payment expense ( ESOP )</t>
  </si>
  <si>
    <t>Employees Stock Options Grants</t>
  </si>
  <si>
    <t>Loss/(gain ) on Sales of Property plant and Equipment</t>
  </si>
  <si>
    <t>Profit On Sale Of Fixed Assets</t>
  </si>
  <si>
    <t>Operating Profit Before Working Capital Changes</t>
  </si>
  <si>
    <t>Adjustments for Working Capital Changes :</t>
  </si>
  <si>
    <t>(Increase)/ Decrease in Operating Assets</t>
  </si>
  <si>
    <t>Other Current and Non Current Assets</t>
  </si>
  <si>
    <t>Trade And Other Receivables</t>
  </si>
  <si>
    <t>Loans &amp; Advances</t>
  </si>
  <si>
    <t>Cash Receipts from Repayment of Advances and Loans Made to Other Parties</t>
  </si>
  <si>
    <t>Other assets</t>
  </si>
  <si>
    <t>Adjustments for other financial assets, non-current</t>
  </si>
  <si>
    <t>Increase/(Decrease ) in Operating Liabilities</t>
  </si>
  <si>
    <t>Trade Payables And Others</t>
  </si>
  <si>
    <t>Other Financial Liabilities</t>
  </si>
  <si>
    <t>Other Liabilities</t>
  </si>
  <si>
    <t>Other Current and Non Current Liabilities</t>
  </si>
  <si>
    <t>(Increase)/ Decrease in Inventories</t>
  </si>
  <si>
    <t>Cash generated from operations</t>
  </si>
  <si>
    <t>Cash Generated From Operations</t>
  </si>
  <si>
    <t>Less : Direct Taxes Paid ( Net Refund including Interest 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</si>
  <si>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</si>
  <si>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</si>
  <si>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</si>
  <si>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</si>
  <si>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</si>
  <si>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Equipment, Intangible Assets, Capital Work in progress and Capital Advances (including  recognition of Right of Use Assets)</t>
  </si>
  <si>
    <t>Purchase Of Fixed Assets (Tangible / Intangible)</t>
  </si>
  <si>
    <t>Sale of Property, Plant and Equipment</t>
  </si>
  <si>
    <t>Sale Of Fixed Assets (Tangible / Intangible)</t>
  </si>
  <si>
    <t>Earmarked deposits / balances with bank (Placed) /  Realized</t>
  </si>
  <si>
    <t>Others-Investing Activities</t>
  </si>
  <si>
    <t>Interest received</t>
  </si>
  <si>
    <t>Loans given</t>
  </si>
  <si>
    <t>Cash Advances and Loans Made to Other Parties</t>
  </si>
  <si>
    <t>(Purchase)/ Sale of Mutual funds</t>
  </si>
  <si>
    <t>Investments in Mutual Funds</t>
  </si>
  <si>
    <t>Net cash from investing Activities</t>
  </si>
  <si>
    <t>Cash flow from Financing Activities</t>
  </si>
  <si>
    <t>Repayment of Long Term Borrowings</t>
  </si>
  <si>
    <t>Repayment Of Long Term Borrowings</t>
  </si>
  <si>
    <t>Net Increase/ (Decrease) in Working capital Borrowings</t>
  </si>
  <si>
    <t>Others-Financing Activities</t>
  </si>
  <si>
    <t>Proceed from preferential Equity share/ QIP (Net)</t>
  </si>
  <si>
    <t>Sale Of Investments</t>
  </si>
  <si>
    <t>Dividend paid</t>
  </si>
  <si>
    <t>Dividend Paid</t>
  </si>
  <si>
    <t>Payment of Lease Obligations</t>
  </si>
  <si>
    <t>Payments of lease liabilities</t>
  </si>
  <si>
    <t>Net cash from Financing Activities</t>
  </si>
  <si>
    <t>Net Cash Flow From Financing Activities</t>
  </si>
  <si>
    <t>Net Increase/ (Decrease) in Cash &amp; Cash Equivalents</t>
  </si>
  <si>
    <t>Net increase (decrease) in cash and cash equivalents before effect of exchange rate changes</t>
  </si>
  <si>
    <t>Cash &amp; Cash Equivalents-Opening Balance</t>
  </si>
  <si>
    <t>Cash and Cash Equivalents at the Beginning of the Year</t>
  </si>
  <si>
    <t>Cash  &amp; Cash Equivalents-Closing Balance</t>
  </si>
  <si>
    <t>Cash and Cash Equivalents at the End of the Year</t>
  </si>
  <si>
    <t>Items that will be reclassified to profit or loss</t>
  </si>
  <si>
    <t>Items that will be reclassified to Profit or Loss</t>
  </si>
  <si>
    <t>Profit for the year attributable to:</t>
  </si>
  <si>
    <t>Profit (Loss) Attributable To [Total]</t>
  </si>
  <si>
    <t>Owners of the company</t>
  </si>
  <si>
    <t>Non- controlling interests</t>
  </si>
  <si>
    <t>Non-Controlling Interests</t>
  </si>
  <si>
    <t>Other comprehensive income for the year</t>
  </si>
  <si>
    <t>Total comprehensive income for the year</t>
  </si>
  <si>
    <t>Total Comprehensive Gain (Loss) For the Year</t>
  </si>
  <si>
    <t>Right of use Assets</t>
  </si>
  <si>
    <t>Goodwill on Consolidation</t>
  </si>
  <si>
    <t>Consolidated Field. Please Ignore</t>
  </si>
  <si>
    <t>Other Non - Current assets</t>
  </si>
  <si>
    <t>Total Non - Current Assets</t>
  </si>
  <si>
    <t>Investment</t>
  </si>
  <si>
    <t>Cash and Cash equivalents</t>
  </si>
  <si>
    <t>Current Tax Assets ( Net )</t>
  </si>
  <si>
    <t>Current Tax Assets (Net)</t>
  </si>
  <si>
    <t>Non Controlling Interest</t>
  </si>
  <si>
    <t>Minority Interest</t>
  </si>
  <si>
    <t>Total Equity</t>
  </si>
  <si>
    <t>Total Non - Current Liabilities</t>
  </si>
  <si>
    <t>Trade payables</t>
  </si>
  <si>
    <t>Dues to micro and small enterprise</t>
  </si>
  <si>
    <t>Dues to other than micro and small enterprise</t>
  </si>
  <si>
    <t>Other Current Liabilities</t>
  </si>
  <si>
    <t>Current Tax Liabilities ( Net )</t>
  </si>
  <si>
    <t>Depreciation and Amortisation</t>
  </si>
  <si>
    <t>Finance Charges on Lease Liability</t>
  </si>
  <si>
    <t>Fin Lease &amp; Rental Charges</t>
  </si>
  <si>
    <t>Sundry balance written back</t>
  </si>
  <si>
    <t>Others-Before Working Capital Changes</t>
  </si>
  <si>
    <t>Provision for doubtful debts and Impairment / Bad debts written off</t>
  </si>
  <si>
    <t>Loss/(Gain ) on Sales of Property, Plant and Equipment</t>
  </si>
  <si>
    <t>Re- measurement of defined benefit obligation</t>
  </si>
  <si>
    <t>Share based payment expense ( ESOP )</t>
  </si>
  <si>
    <t>Less : Direct Taxes Paid ( Net Refund )</t>
  </si>
  <si>
    <t>Sale of Property, Plant &amp; Equipment</t>
  </si>
  <si>
    <t>Earmarked deposits / balances with bank ( Placed ) / Realised</t>
  </si>
  <si>
    <t>Other Extra-Ordinary Income/Expense</t>
  </si>
  <si>
    <t>Purchase of goodwill</t>
  </si>
  <si>
    <t>Investment in NCD and ULP</t>
  </si>
  <si>
    <t>(Purchase)/ Sale of Mutual Funds</t>
  </si>
  <si>
    <t>Net Cash from Investing Activities</t>
  </si>
  <si>
    <t>Cash flow From Financing Activities</t>
  </si>
  <si>
    <t>Repayment from Long term Borrowings</t>
  </si>
  <si>
    <t>Repayment Of Short Term Borrowings</t>
  </si>
  <si>
    <t>Net Increase/(Decrease ) in Working Capital Borrowings</t>
  </si>
  <si>
    <t>Dividend paid by holding company</t>
  </si>
  <si>
    <t>Dividend declared by subsidiary (Non-controlling interests)</t>
  </si>
  <si>
    <t>Recognition of Lease Obligations</t>
  </si>
  <si>
    <t>Non Controlling interest</t>
  </si>
  <si>
    <t>Net Cash From Financing Activities</t>
  </si>
  <si>
    <t>Net Increase/(Decrease ) in Cash &amp; Cash Equivalents</t>
  </si>
  <si>
    <t>Cash &amp; Cash Equivalents - Opening Balance</t>
  </si>
  <si>
    <t>Cash &amp; Cash Equivalents - Closing Balance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</si>
  <si>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</si>
  <si>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</si>
  <si>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</si>
  <si>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</si>
  <si>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</si>
  <si>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</si>
  <si>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</si>
  <si>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</si>
  <si>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</si>
  <si>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</si>
  <si>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</si>
  <si>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</si>
  <si>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Loans Non-Current</t>
  </si>
  <si>
    <t>Loans And Advances</t>
  </si>
  <si>
    <t>Adjustments for other financial liabilities, non-current</t>
  </si>
  <si>
    <t>Proceeds From Issue Of Equity Shares (Inclu Share Premium)</t>
  </si>
  <si>
    <t>Interest Paid</t>
  </si>
  <si>
    <t>Purchase Of Investments</t>
  </si>
  <si>
    <t>Total Income from Operations (net)</t>
  </si>
  <si>
    <t>Ignore this field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</si>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</sst>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2" applyFont="1" applyBorder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43" fontId="0" fillId="0" borderId="1" xfId="1" applyFont="1" applyBorder="1"/>
    <xf numFmtId="0" fontId="0" fillId="2" borderId="1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3"/>
  <sheetViews>
    <sheetView workbookViewId="0">
      <selection activeCell="B38" sqref="B38"/>
    </sheetView>
  </sheetViews>
  <sheetFormatPr defaultRowHeight="15" x14ac:dyDescent="0.25"/>
  <cols>
    <col min="1" max="1" width="44.7109375" customWidth="1"/>
    <col min="2" max="2" width="55.28515625" customWidth="1"/>
    <col min="3" max="3" width="12.28515625" customWidth="1"/>
    <col min="4" max="4" width="35.42578125" customWidth="1"/>
  </cols>
  <sheetData>
    <row r="1" spans="1:8" x14ac:dyDescent="0.25">
      <c r="A1" s="1" t="s">
        <v>0</v>
      </c>
      <c r="B1" s="1" t="s">
        <v>1</v>
      </c>
      <c r="C1" s="2" t="s">
        <v>262</v>
      </c>
      <c r="D1" s="2" t="s">
        <v>263</v>
      </c>
      <c r="E1" s="3" t="s">
        <v>264</v>
      </c>
      <c r="G1" s="4" t="s">
        <v>265</v>
      </c>
      <c r="H1" s="5">
        <f>COUNTIF(C:C,G1)</f>
        <v>27</v>
      </c>
    </row>
    <row r="2" spans="1:8" hidden="1" x14ac:dyDescent="0.25">
      <c r="A2" s="12" t="s">
        <v>2</v>
      </c>
      <c r="B2" s="12" t="s">
        <v>3</v>
      </c>
      <c r="C2" s="12" t="s">
        <v>265</v>
      </c>
      <c r="D2" s="12"/>
      <c r="E2" s="12"/>
      <c r="G2" s="6" t="s">
        <v>266</v>
      </c>
      <c r="H2" s="7">
        <f>COUNTIF(C:C,G2)</f>
        <v>4</v>
      </c>
    </row>
    <row r="3" spans="1:8" ht="15.75" hidden="1" thickBot="1" x14ac:dyDescent="0.3">
      <c r="A3" s="12" t="s">
        <v>4</v>
      </c>
      <c r="B3" s="12" t="s">
        <v>5</v>
      </c>
      <c r="C3" s="12" t="s">
        <v>265</v>
      </c>
      <c r="D3" s="12"/>
      <c r="E3" s="12"/>
      <c r="G3" s="8" t="s">
        <v>267</v>
      </c>
      <c r="H3" s="9">
        <f>H1/SUM(H1:H2)</f>
        <v>0.87096774193548387</v>
      </c>
    </row>
    <row r="4" spans="1:8" hidden="1" x14ac:dyDescent="0.25">
      <c r="A4" s="12" t="s">
        <v>6</v>
      </c>
      <c r="B4" s="12" t="s">
        <v>6</v>
      </c>
      <c r="C4" s="12" t="s">
        <v>265</v>
      </c>
      <c r="D4" s="13" t="s">
        <v>280</v>
      </c>
      <c r="E4" s="14">
        <v>266</v>
      </c>
    </row>
    <row r="5" spans="1:8" hidden="1" x14ac:dyDescent="0.25">
      <c r="A5" s="12" t="s">
        <v>7</v>
      </c>
      <c r="B5" s="12" t="s">
        <v>8</v>
      </c>
      <c r="C5" s="12" t="s">
        <v>265</v>
      </c>
      <c r="D5" s="12"/>
      <c r="E5" s="12"/>
    </row>
    <row r="6" spans="1:8" hidden="1" x14ac:dyDescent="0.25">
      <c r="A6" s="12" t="s">
        <v>9</v>
      </c>
      <c r="B6" s="12" t="s">
        <v>9</v>
      </c>
      <c r="C6" s="12" t="s">
        <v>265</v>
      </c>
      <c r="D6" s="12"/>
      <c r="E6" s="12"/>
    </row>
    <row r="7" spans="1:8" hidden="1" x14ac:dyDescent="0.25">
      <c r="A7" s="12" t="s">
        <v>10</v>
      </c>
      <c r="B7" s="12" t="s">
        <v>11</v>
      </c>
      <c r="C7" s="12" t="s">
        <v>265</v>
      </c>
      <c r="D7" s="12"/>
      <c r="E7" s="12"/>
    </row>
    <row r="8" spans="1:8" hidden="1" x14ac:dyDescent="0.25">
      <c r="A8" s="12" t="s">
        <v>12</v>
      </c>
      <c r="B8" s="12" t="s">
        <v>13</v>
      </c>
      <c r="C8" s="12" t="s">
        <v>265</v>
      </c>
      <c r="D8" s="12"/>
      <c r="E8" s="12"/>
    </row>
    <row r="9" spans="1:8" hidden="1" x14ac:dyDescent="0.25">
      <c r="A9" s="12" t="s">
        <v>14</v>
      </c>
      <c r="B9" s="12" t="s">
        <v>15</v>
      </c>
      <c r="C9" s="12" t="s">
        <v>265</v>
      </c>
      <c r="D9" s="12"/>
      <c r="E9" s="12"/>
    </row>
    <row r="10" spans="1:8" hidden="1" x14ac:dyDescent="0.25">
      <c r="A10" s="12" t="s">
        <v>16</v>
      </c>
      <c r="B10" s="12" t="s">
        <v>17</v>
      </c>
      <c r="C10" s="12" t="s">
        <v>265</v>
      </c>
      <c r="D10" s="12"/>
      <c r="E10" s="12"/>
    </row>
    <row r="11" spans="1:8" hidden="1" x14ac:dyDescent="0.25">
      <c r="A11" s="12" t="s">
        <v>18</v>
      </c>
      <c r="B11" s="12" t="s">
        <v>19</v>
      </c>
      <c r="C11" s="12" t="s">
        <v>265</v>
      </c>
      <c r="D11" s="12"/>
      <c r="E11" s="12"/>
    </row>
    <row r="12" spans="1:8" hidden="1" x14ac:dyDescent="0.25">
      <c r="A12" s="12" t="s">
        <v>20</v>
      </c>
      <c r="B12" s="12" t="s">
        <v>20</v>
      </c>
      <c r="C12" s="12" t="s">
        <v>265</v>
      </c>
      <c r="D12" s="12"/>
      <c r="E12" s="12"/>
    </row>
    <row r="13" spans="1:8" hidden="1" x14ac:dyDescent="0.25">
      <c r="A13" s="12" t="s">
        <v>21</v>
      </c>
      <c r="B13" s="12" t="s">
        <v>21</v>
      </c>
      <c r="C13" s="12" t="s">
        <v>265</v>
      </c>
      <c r="D13" s="12"/>
      <c r="E13" s="12"/>
    </row>
    <row r="14" spans="1:8" hidden="1" x14ac:dyDescent="0.25">
      <c r="A14" s="12" t="s">
        <v>22</v>
      </c>
      <c r="B14" s="12" t="s">
        <v>23</v>
      </c>
      <c r="C14" s="12" t="s">
        <v>265</v>
      </c>
      <c r="D14" s="12"/>
      <c r="E14" s="12"/>
    </row>
    <row r="15" spans="1:8" x14ac:dyDescent="0.25">
      <c r="A15" s="12" t="s">
        <v>24</v>
      </c>
      <c r="B15" s="12" t="s">
        <v>25</v>
      </c>
      <c r="C15" s="12" t="s">
        <v>266</v>
      </c>
      <c r="D15" s="12" t="s">
        <v>268</v>
      </c>
      <c r="E15" s="12"/>
    </row>
    <row r="16" spans="1:8" x14ac:dyDescent="0.25">
      <c r="A16" s="12" t="s">
        <v>26</v>
      </c>
      <c r="B16" s="12" t="s">
        <v>27</v>
      </c>
      <c r="C16" s="12" t="s">
        <v>266</v>
      </c>
      <c r="D16" s="12" t="s">
        <v>25</v>
      </c>
      <c r="E16" s="12">
        <v>278</v>
      </c>
    </row>
    <row r="17" spans="1:5" hidden="1" x14ac:dyDescent="0.25">
      <c r="A17" s="12" t="s">
        <v>28</v>
      </c>
      <c r="B17" s="12" t="s">
        <v>29</v>
      </c>
      <c r="C17" s="12" t="s">
        <v>265</v>
      </c>
      <c r="D17" s="12"/>
      <c r="E17" s="12"/>
    </row>
    <row r="18" spans="1:5" hidden="1" x14ac:dyDescent="0.25">
      <c r="A18" s="12" t="s">
        <v>30</v>
      </c>
      <c r="B18" s="12" t="s">
        <v>8</v>
      </c>
      <c r="C18" s="12" t="s">
        <v>265</v>
      </c>
      <c r="D18" s="12"/>
      <c r="E18" s="12"/>
    </row>
    <row r="19" spans="1:5" hidden="1" x14ac:dyDescent="0.25">
      <c r="A19" s="12" t="s">
        <v>31</v>
      </c>
      <c r="B19" s="12" t="s">
        <v>30</v>
      </c>
      <c r="C19" s="12" t="s">
        <v>265</v>
      </c>
      <c r="D19" s="12"/>
      <c r="E19" s="12"/>
    </row>
    <row r="20" spans="1:5" hidden="1" x14ac:dyDescent="0.25">
      <c r="A20" s="12" t="s">
        <v>32</v>
      </c>
      <c r="B20" s="12" t="s">
        <v>32</v>
      </c>
      <c r="C20" s="12" t="s">
        <v>265</v>
      </c>
      <c r="D20" s="12"/>
      <c r="E20" s="12"/>
    </row>
    <row r="21" spans="1:5" hidden="1" x14ac:dyDescent="0.25">
      <c r="A21" s="12" t="s">
        <v>33</v>
      </c>
      <c r="B21" s="12" t="s">
        <v>30</v>
      </c>
      <c r="C21" s="12" t="s">
        <v>265</v>
      </c>
      <c r="D21" s="12"/>
      <c r="E21" s="12"/>
    </row>
    <row r="22" spans="1:5" hidden="1" x14ac:dyDescent="0.25">
      <c r="A22" s="12" t="s">
        <v>34</v>
      </c>
      <c r="B22" s="12" t="s">
        <v>35</v>
      </c>
      <c r="C22" s="12"/>
      <c r="D22" s="12" t="s">
        <v>281</v>
      </c>
      <c r="E22" s="12"/>
    </row>
    <row r="23" spans="1:5" hidden="1" x14ac:dyDescent="0.25">
      <c r="A23" s="12" t="s">
        <v>36</v>
      </c>
      <c r="B23" s="12" t="s">
        <v>37</v>
      </c>
      <c r="C23" s="12" t="s">
        <v>265</v>
      </c>
      <c r="D23" s="12"/>
      <c r="E23" s="12"/>
    </row>
    <row r="24" spans="1:5" hidden="1" x14ac:dyDescent="0.25">
      <c r="A24" s="12" t="s">
        <v>38</v>
      </c>
      <c r="B24" s="12" t="s">
        <v>8</v>
      </c>
      <c r="C24" s="12" t="s">
        <v>265</v>
      </c>
      <c r="D24" s="12"/>
      <c r="E24" s="12"/>
    </row>
    <row r="25" spans="1:5" x14ac:dyDescent="0.25">
      <c r="A25" s="12" t="s">
        <v>39</v>
      </c>
      <c r="B25" s="12" t="s">
        <v>40</v>
      </c>
      <c r="C25" s="12" t="s">
        <v>266</v>
      </c>
      <c r="D25" s="12" t="s">
        <v>268</v>
      </c>
      <c r="E25" s="12"/>
    </row>
    <row r="26" spans="1:5" hidden="1" x14ac:dyDescent="0.25">
      <c r="A26" s="12" t="s">
        <v>41</v>
      </c>
      <c r="B26" s="12" t="s">
        <v>40</v>
      </c>
      <c r="C26" s="12" t="s">
        <v>265</v>
      </c>
      <c r="D26" s="12"/>
      <c r="E26" s="12"/>
    </row>
    <row r="27" spans="1:5" hidden="1" x14ac:dyDescent="0.25">
      <c r="A27" s="12" t="s">
        <v>42</v>
      </c>
      <c r="B27" s="12" t="s">
        <v>43</v>
      </c>
      <c r="C27" s="12" t="s">
        <v>265</v>
      </c>
      <c r="D27" s="12"/>
      <c r="E27" s="12"/>
    </row>
    <row r="28" spans="1:5" x14ac:dyDescent="0.25">
      <c r="A28" s="12" t="s">
        <v>44</v>
      </c>
      <c r="B28" s="12" t="s">
        <v>45</v>
      </c>
      <c r="C28" s="12" t="s">
        <v>266</v>
      </c>
      <c r="D28" s="12" t="s">
        <v>214</v>
      </c>
      <c r="E28" s="12">
        <v>20019</v>
      </c>
    </row>
    <row r="29" spans="1:5" hidden="1" x14ac:dyDescent="0.25">
      <c r="A29" s="12" t="s">
        <v>46</v>
      </c>
      <c r="B29" s="12" t="s">
        <v>47</v>
      </c>
      <c r="C29" s="12" t="s">
        <v>265</v>
      </c>
      <c r="D29" s="12"/>
      <c r="E29" s="12"/>
    </row>
    <row r="30" spans="1:5" hidden="1" x14ac:dyDescent="0.25">
      <c r="A30" s="12" t="s">
        <v>48</v>
      </c>
      <c r="B30" s="12" t="s">
        <v>49</v>
      </c>
      <c r="C30" s="12" t="s">
        <v>265</v>
      </c>
      <c r="D30" s="12"/>
      <c r="E30" s="12"/>
    </row>
    <row r="31" spans="1:5" hidden="1" x14ac:dyDescent="0.25">
      <c r="A31" s="12" t="s">
        <v>50</v>
      </c>
      <c r="B31" s="12" t="s">
        <v>8</v>
      </c>
      <c r="C31" s="12" t="s">
        <v>265</v>
      </c>
      <c r="D31" s="12"/>
      <c r="E31" s="12"/>
    </row>
    <row r="32" spans="1:5" hidden="1" x14ac:dyDescent="0.25">
      <c r="A32" s="12" t="s">
        <v>51</v>
      </c>
      <c r="B32" s="12" t="s">
        <v>52</v>
      </c>
      <c r="C32" s="12" t="s">
        <v>265</v>
      </c>
      <c r="D32" s="12"/>
      <c r="E32" s="12"/>
    </row>
    <row r="33" spans="1:5" hidden="1" x14ac:dyDescent="0.25">
      <c r="A33" s="12" t="s">
        <v>53</v>
      </c>
      <c r="B33" s="12" t="s">
        <v>54</v>
      </c>
      <c r="C33" s="12" t="s">
        <v>265</v>
      </c>
      <c r="D33" s="12"/>
      <c r="E33" s="12"/>
    </row>
  </sheetData>
  <autoFilter ref="A1:H33" xr:uid="{00000000-0001-0000-0000-000000000000}">
    <filterColumn colId="2">
      <filters>
        <filter val="Incorrect"/>
      </filters>
    </filterColumn>
  </autoFilter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>
      <selection activeCell="B4" sqref="B4"/>
    </sheetView>
  </sheetViews>
  <sheetFormatPr defaultRowHeight="15" x14ac:dyDescent="0.25"/>
  <cols>
    <col min="1" max="1" width="65.7109375" bestFit="1" customWidth="1"/>
    <col min="2" max="2" width="52" customWidth="1"/>
    <col min="4" max="4" width="41.85546875" bestFit="1" customWidth="1"/>
  </cols>
  <sheetData>
    <row r="1" spans="1:8" x14ac:dyDescent="0.25">
      <c r="A1" s="1" t="s">
        <v>0</v>
      </c>
      <c r="B1" s="1" t="s">
        <v>1</v>
      </c>
      <c r="C1" s="2" t="s">
        <v>262</v>
      </c>
      <c r="D1" s="2" t="s">
        <v>263</v>
      </c>
      <c r="E1" s="3" t="s">
        <v>264</v>
      </c>
      <c r="G1" s="4" t="s">
        <v>265</v>
      </c>
      <c r="H1" s="5">
        <f>COUNTIF(C:C,G1)</f>
        <v>34</v>
      </c>
    </row>
    <row r="2" spans="1:8" x14ac:dyDescent="0.25">
      <c r="A2" s="12" t="s">
        <v>2</v>
      </c>
      <c r="B2" s="12" t="s">
        <v>3</v>
      </c>
      <c r="C2" s="12" t="s">
        <v>265</v>
      </c>
      <c r="D2" s="12"/>
      <c r="E2" s="12"/>
      <c r="G2" s="6" t="s">
        <v>266</v>
      </c>
      <c r="H2" s="7">
        <f>COUNTIF(C:C,G2)</f>
        <v>7</v>
      </c>
    </row>
    <row r="3" spans="1:8" ht="15.75" thickBot="1" x14ac:dyDescent="0.3">
      <c r="A3" s="12" t="s">
        <v>4</v>
      </c>
      <c r="B3" s="12" t="s">
        <v>5</v>
      </c>
      <c r="C3" s="12" t="s">
        <v>265</v>
      </c>
      <c r="D3" s="12"/>
      <c r="E3" s="12"/>
      <c r="G3" s="8" t="s">
        <v>267</v>
      </c>
      <c r="H3" s="9">
        <f>H1/SUM(H1:H2)</f>
        <v>0.82926829268292679</v>
      </c>
    </row>
    <row r="4" spans="1:8" x14ac:dyDescent="0.25">
      <c r="A4" s="12" t="s">
        <v>6</v>
      </c>
      <c r="B4" s="12" t="s">
        <v>6</v>
      </c>
      <c r="C4" s="12" t="s">
        <v>265</v>
      </c>
      <c r="D4" s="13" t="s">
        <v>280</v>
      </c>
      <c r="E4" s="14">
        <v>266</v>
      </c>
    </row>
    <row r="5" spans="1:8" x14ac:dyDescent="0.25">
      <c r="A5" s="12" t="s">
        <v>7</v>
      </c>
      <c r="B5" s="12" t="s">
        <v>8</v>
      </c>
      <c r="C5" s="12" t="s">
        <v>265</v>
      </c>
      <c r="D5" s="12"/>
      <c r="E5" s="12"/>
    </row>
    <row r="6" spans="1:8" x14ac:dyDescent="0.25">
      <c r="A6" s="12" t="s">
        <v>9</v>
      </c>
      <c r="B6" s="12" t="s">
        <v>9</v>
      </c>
      <c r="C6" s="12" t="s">
        <v>265</v>
      </c>
      <c r="D6" s="12"/>
      <c r="E6" s="12"/>
    </row>
    <row r="7" spans="1:8" x14ac:dyDescent="0.25">
      <c r="A7" s="12" t="s">
        <v>10</v>
      </c>
      <c r="B7" s="12" t="s">
        <v>11</v>
      </c>
      <c r="C7" s="12" t="s">
        <v>265</v>
      </c>
      <c r="D7" s="12"/>
      <c r="E7" s="12"/>
    </row>
    <row r="8" spans="1:8" x14ac:dyDescent="0.25">
      <c r="A8" s="12" t="s">
        <v>12</v>
      </c>
      <c r="B8" s="12" t="s">
        <v>13</v>
      </c>
      <c r="C8" s="12" t="s">
        <v>265</v>
      </c>
      <c r="D8" s="12"/>
      <c r="E8" s="12"/>
    </row>
    <row r="9" spans="1:8" x14ac:dyDescent="0.25">
      <c r="A9" s="12" t="s">
        <v>14</v>
      </c>
      <c r="B9" s="12" t="s">
        <v>15</v>
      </c>
      <c r="C9" s="12" t="s">
        <v>265</v>
      </c>
      <c r="D9" s="12"/>
      <c r="E9" s="12"/>
    </row>
    <row r="10" spans="1:8" x14ac:dyDescent="0.25">
      <c r="A10" s="12" t="s">
        <v>16</v>
      </c>
      <c r="B10" s="12" t="s">
        <v>17</v>
      </c>
      <c r="C10" s="12" t="s">
        <v>265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265</v>
      </c>
      <c r="D11" s="12"/>
      <c r="E11" s="12"/>
    </row>
    <row r="12" spans="1:8" x14ac:dyDescent="0.25">
      <c r="A12" s="12" t="s">
        <v>20</v>
      </c>
      <c r="B12" s="12" t="s">
        <v>20</v>
      </c>
      <c r="C12" s="12" t="s">
        <v>265</v>
      </c>
      <c r="D12" s="12"/>
      <c r="E12" s="12"/>
    </row>
    <row r="13" spans="1:8" x14ac:dyDescent="0.25">
      <c r="A13" s="12" t="s">
        <v>21</v>
      </c>
      <c r="B13" s="12" t="s">
        <v>21</v>
      </c>
      <c r="C13" s="12" t="s">
        <v>265</v>
      </c>
      <c r="D13" s="12"/>
      <c r="E13" s="12"/>
    </row>
    <row r="14" spans="1:8" x14ac:dyDescent="0.25">
      <c r="A14" s="12" t="s">
        <v>22</v>
      </c>
      <c r="B14" s="12" t="s">
        <v>23</v>
      </c>
      <c r="C14" s="12" t="s">
        <v>265</v>
      </c>
      <c r="D14" s="12"/>
      <c r="E14" s="12"/>
    </row>
    <row r="15" spans="1:8" x14ac:dyDescent="0.25">
      <c r="A15" s="12" t="s">
        <v>24</v>
      </c>
      <c r="B15" s="12" t="s">
        <v>25</v>
      </c>
      <c r="C15" s="12" t="s">
        <v>266</v>
      </c>
      <c r="D15" s="12" t="s">
        <v>268</v>
      </c>
      <c r="E15" s="12"/>
    </row>
    <row r="16" spans="1:8" x14ac:dyDescent="0.25">
      <c r="A16" s="12" t="s">
        <v>26</v>
      </c>
      <c r="B16" s="12" t="s">
        <v>27</v>
      </c>
      <c r="C16" s="12" t="s">
        <v>266</v>
      </c>
      <c r="D16" s="12" t="s">
        <v>25</v>
      </c>
      <c r="E16" s="12">
        <v>278</v>
      </c>
    </row>
    <row r="17" spans="1:5" x14ac:dyDescent="0.25">
      <c r="A17" s="12" t="s">
        <v>28</v>
      </c>
      <c r="B17" s="12" t="s">
        <v>29</v>
      </c>
      <c r="C17" s="12" t="s">
        <v>265</v>
      </c>
      <c r="D17" s="12"/>
      <c r="E17" s="12"/>
    </row>
    <row r="18" spans="1:5" x14ac:dyDescent="0.25">
      <c r="A18" s="12" t="s">
        <v>30</v>
      </c>
      <c r="B18" s="12" t="s">
        <v>8</v>
      </c>
      <c r="C18" s="12" t="s">
        <v>265</v>
      </c>
      <c r="D18" s="12"/>
      <c r="E18" s="12"/>
    </row>
    <row r="19" spans="1:5" x14ac:dyDescent="0.25">
      <c r="A19" s="12" t="s">
        <v>31</v>
      </c>
      <c r="B19" s="12" t="s">
        <v>30</v>
      </c>
      <c r="C19" s="12" t="s">
        <v>265</v>
      </c>
      <c r="D19" s="12"/>
      <c r="E19" s="12"/>
    </row>
    <row r="20" spans="1:5" x14ac:dyDescent="0.25">
      <c r="A20" s="12" t="s">
        <v>32</v>
      </c>
      <c r="B20" s="12" t="s">
        <v>32</v>
      </c>
      <c r="C20" s="12" t="s">
        <v>265</v>
      </c>
      <c r="D20" s="12"/>
      <c r="E20" s="12"/>
    </row>
    <row r="21" spans="1:5" x14ac:dyDescent="0.25">
      <c r="A21" s="12" t="s">
        <v>33</v>
      </c>
      <c r="B21" s="12" t="s">
        <v>30</v>
      </c>
      <c r="C21" s="12" t="s">
        <v>265</v>
      </c>
      <c r="D21" s="12"/>
      <c r="E21" s="12"/>
    </row>
    <row r="22" spans="1:5" x14ac:dyDescent="0.25">
      <c r="A22" s="12" t="s">
        <v>34</v>
      </c>
      <c r="B22" s="12" t="s">
        <v>35</v>
      </c>
      <c r="C22" s="12"/>
      <c r="D22" s="12" t="s">
        <v>281</v>
      </c>
      <c r="E22" s="12"/>
    </row>
    <row r="23" spans="1:5" x14ac:dyDescent="0.25">
      <c r="A23" s="12" t="s">
        <v>36</v>
      </c>
      <c r="B23" s="12" t="s">
        <v>37</v>
      </c>
      <c r="C23" s="12" t="s">
        <v>265</v>
      </c>
      <c r="D23" s="12"/>
      <c r="E23" s="12"/>
    </row>
    <row r="24" spans="1:5" x14ac:dyDescent="0.25">
      <c r="A24" s="12" t="s">
        <v>38</v>
      </c>
      <c r="B24" s="12" t="s">
        <v>8</v>
      </c>
      <c r="C24" s="12" t="s">
        <v>265</v>
      </c>
      <c r="D24" s="12"/>
      <c r="E24" s="12"/>
    </row>
    <row r="25" spans="1:5" x14ac:dyDescent="0.25">
      <c r="A25" s="12" t="s">
        <v>39</v>
      </c>
      <c r="B25" s="12" t="s">
        <v>40</v>
      </c>
      <c r="C25" s="12" t="s">
        <v>266</v>
      </c>
      <c r="D25" s="12" t="s">
        <v>268</v>
      </c>
      <c r="E25" s="12"/>
    </row>
    <row r="26" spans="1:5" x14ac:dyDescent="0.25">
      <c r="A26" s="12" t="s">
        <v>41</v>
      </c>
      <c r="B26" s="12" t="s">
        <v>40</v>
      </c>
      <c r="C26" s="12" t="s">
        <v>265</v>
      </c>
      <c r="D26" s="12"/>
      <c r="E26" s="12"/>
    </row>
    <row r="27" spans="1:5" x14ac:dyDescent="0.25">
      <c r="A27" s="12" t="s">
        <v>42</v>
      </c>
      <c r="B27" s="12" t="s">
        <v>43</v>
      </c>
      <c r="C27" s="12" t="s">
        <v>265</v>
      </c>
      <c r="D27" s="12"/>
      <c r="E27" s="12"/>
    </row>
    <row r="28" spans="1:5" x14ac:dyDescent="0.25">
      <c r="A28" s="12" t="s">
        <v>205</v>
      </c>
      <c r="B28" s="12" t="s">
        <v>206</v>
      </c>
      <c r="C28" s="12" t="s">
        <v>265</v>
      </c>
      <c r="D28" s="12"/>
      <c r="E28" s="12"/>
    </row>
    <row r="29" spans="1:5" x14ac:dyDescent="0.25">
      <c r="A29" s="12" t="s">
        <v>44</v>
      </c>
      <c r="B29" s="12" t="s">
        <v>45</v>
      </c>
      <c r="C29" s="12" t="s">
        <v>266</v>
      </c>
      <c r="D29" s="12" t="s">
        <v>214</v>
      </c>
      <c r="E29" s="12">
        <v>20019</v>
      </c>
    </row>
    <row r="30" spans="1:5" x14ac:dyDescent="0.25">
      <c r="A30" s="12" t="s">
        <v>207</v>
      </c>
      <c r="B30" s="12" t="s">
        <v>208</v>
      </c>
      <c r="C30" s="12" t="s">
        <v>266</v>
      </c>
      <c r="D30" s="12" t="s">
        <v>268</v>
      </c>
      <c r="E30" s="12"/>
    </row>
    <row r="31" spans="1:5" x14ac:dyDescent="0.25">
      <c r="A31" s="12" t="s">
        <v>209</v>
      </c>
      <c r="B31" s="12" t="s">
        <v>209</v>
      </c>
      <c r="C31" s="12" t="s">
        <v>265</v>
      </c>
      <c r="D31" s="12"/>
      <c r="E31" s="12"/>
    </row>
    <row r="32" spans="1:5" x14ac:dyDescent="0.25">
      <c r="A32" s="12" t="s">
        <v>210</v>
      </c>
      <c r="B32" s="12" t="s">
        <v>211</v>
      </c>
      <c r="C32" s="12" t="s">
        <v>265</v>
      </c>
      <c r="D32" s="12"/>
      <c r="E32" s="12"/>
    </row>
    <row r="33" spans="1:5" x14ac:dyDescent="0.25">
      <c r="A33" s="12" t="s">
        <v>212</v>
      </c>
      <c r="B33" s="12" t="s">
        <v>38</v>
      </c>
      <c r="C33" s="12" t="s">
        <v>266</v>
      </c>
      <c r="D33" s="12" t="s">
        <v>268</v>
      </c>
      <c r="E33" s="12"/>
    </row>
    <row r="34" spans="1:5" x14ac:dyDescent="0.25">
      <c r="A34" s="12" t="s">
        <v>209</v>
      </c>
      <c r="B34" s="12" t="s">
        <v>209</v>
      </c>
      <c r="C34" s="12" t="s">
        <v>265</v>
      </c>
      <c r="D34" s="12"/>
      <c r="E34" s="12"/>
    </row>
    <row r="35" spans="1:5" x14ac:dyDescent="0.25">
      <c r="A35" s="12" t="s">
        <v>210</v>
      </c>
      <c r="B35" s="12" t="s">
        <v>211</v>
      </c>
      <c r="C35" s="12" t="s">
        <v>265</v>
      </c>
      <c r="D35" s="12"/>
      <c r="E35" s="12"/>
    </row>
    <row r="36" spans="1:5" x14ac:dyDescent="0.25">
      <c r="A36" s="12" t="s">
        <v>213</v>
      </c>
      <c r="B36" s="12" t="s">
        <v>214</v>
      </c>
      <c r="C36" s="12" t="s">
        <v>266</v>
      </c>
      <c r="D36" s="12" t="s">
        <v>268</v>
      </c>
      <c r="E36" s="12"/>
    </row>
    <row r="37" spans="1:5" x14ac:dyDescent="0.25">
      <c r="A37" s="12" t="s">
        <v>209</v>
      </c>
      <c r="B37" s="12" t="s">
        <v>209</v>
      </c>
      <c r="C37" s="12" t="s">
        <v>265</v>
      </c>
      <c r="D37" s="12"/>
      <c r="E37" s="12"/>
    </row>
    <row r="38" spans="1:5" x14ac:dyDescent="0.25">
      <c r="A38" s="12" t="s">
        <v>210</v>
      </c>
      <c r="B38" s="12" t="s">
        <v>211</v>
      </c>
      <c r="C38" s="12" t="s">
        <v>265</v>
      </c>
      <c r="D38" s="12"/>
      <c r="E38" s="12"/>
    </row>
    <row r="39" spans="1:5" x14ac:dyDescent="0.25">
      <c r="A39" s="12" t="s">
        <v>46</v>
      </c>
      <c r="B39" s="12" t="s">
        <v>47</v>
      </c>
      <c r="C39" s="12" t="s">
        <v>265</v>
      </c>
      <c r="D39" s="12"/>
      <c r="E39" s="12"/>
    </row>
    <row r="40" spans="1:5" x14ac:dyDescent="0.25">
      <c r="A40" s="12" t="s">
        <v>48</v>
      </c>
      <c r="B40" s="12" t="s">
        <v>49</v>
      </c>
      <c r="C40" s="12" t="s">
        <v>265</v>
      </c>
      <c r="D40" s="12"/>
      <c r="E40" s="12"/>
    </row>
    <row r="41" spans="1:5" x14ac:dyDescent="0.25">
      <c r="A41" s="12" t="s">
        <v>50</v>
      </c>
      <c r="B41" s="12" t="s">
        <v>8</v>
      </c>
      <c r="C41" s="12" t="s">
        <v>265</v>
      </c>
      <c r="D41" s="12"/>
      <c r="E41" s="12"/>
    </row>
    <row r="42" spans="1:5" x14ac:dyDescent="0.25">
      <c r="A42" s="12" t="s">
        <v>51</v>
      </c>
      <c r="B42" s="12" t="s">
        <v>52</v>
      </c>
      <c r="C42" s="12" t="s">
        <v>265</v>
      </c>
      <c r="D42" s="12"/>
      <c r="E42" s="12"/>
    </row>
    <row r="43" spans="1:5" x14ac:dyDescent="0.25">
      <c r="A43" s="12" t="s">
        <v>53</v>
      </c>
      <c r="B43" s="12" t="s">
        <v>54</v>
      </c>
      <c r="C43" s="12" t="s">
        <v>265</v>
      </c>
      <c r="D43" s="12"/>
      <c r="E43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topLeftCell="A45" workbookViewId="0">
      <selection activeCell="B43" sqref="B43"/>
    </sheetView>
  </sheetViews>
  <sheetFormatPr defaultRowHeight="15" x14ac:dyDescent="0.25"/>
  <cols>
    <col min="1" max="1" width="68.5703125" bestFit="1" customWidth="1"/>
    <col min="2" max="2" width="46.7109375" bestFit="1" customWidth="1"/>
    <col min="3" max="3" width="8.85546875" bestFit="1" customWidth="1"/>
    <col min="4" max="4" width="31.28515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262</v>
      </c>
      <c r="D1" s="2" t="s">
        <v>263</v>
      </c>
      <c r="E1" s="3" t="s">
        <v>264</v>
      </c>
      <c r="G1" s="4" t="s">
        <v>265</v>
      </c>
      <c r="H1" s="5">
        <f>COUNTIF(C:C,G1)</f>
        <v>47</v>
      </c>
    </row>
    <row r="2" spans="1:8" x14ac:dyDescent="0.25">
      <c r="A2" s="12" t="s">
        <v>55</v>
      </c>
      <c r="B2" s="12" t="s">
        <v>8</v>
      </c>
      <c r="C2" s="12" t="s">
        <v>265</v>
      </c>
      <c r="D2" s="12"/>
      <c r="E2" s="12"/>
      <c r="G2" s="6" t="s">
        <v>266</v>
      </c>
      <c r="H2" s="7">
        <f>COUNTIF(C:C,G2)</f>
        <v>6</v>
      </c>
    </row>
    <row r="3" spans="1:8" ht="15.75" thickBot="1" x14ac:dyDescent="0.3">
      <c r="A3" s="12" t="s">
        <v>56</v>
      </c>
      <c r="B3" s="12" t="s">
        <v>57</v>
      </c>
      <c r="C3" s="12" t="s">
        <v>265</v>
      </c>
      <c r="D3" s="12"/>
      <c r="E3" s="12"/>
      <c r="G3" s="8" t="s">
        <v>267</v>
      </c>
      <c r="H3" s="9">
        <f>H1/SUM(H1:H2)</f>
        <v>0.8867924528301887</v>
      </c>
    </row>
    <row r="4" spans="1:8" x14ac:dyDescent="0.25">
      <c r="A4" s="12" t="s">
        <v>58</v>
      </c>
      <c r="B4" s="12" t="s">
        <v>59</v>
      </c>
      <c r="C4" s="12" t="s">
        <v>265</v>
      </c>
      <c r="D4" s="12"/>
      <c r="E4" s="12"/>
    </row>
    <row r="5" spans="1:8" x14ac:dyDescent="0.25">
      <c r="A5" s="12" t="s">
        <v>60</v>
      </c>
      <c r="B5" s="12" t="s">
        <v>61</v>
      </c>
      <c r="C5" s="12" t="s">
        <v>265</v>
      </c>
      <c r="D5" s="12"/>
      <c r="E5" s="12"/>
    </row>
    <row r="6" spans="1:8" x14ac:dyDescent="0.25">
      <c r="A6" s="12" t="s">
        <v>62</v>
      </c>
      <c r="B6" s="12" t="s">
        <v>63</v>
      </c>
      <c r="C6" s="12" t="s">
        <v>265</v>
      </c>
      <c r="D6" s="12"/>
      <c r="E6" s="12"/>
    </row>
    <row r="7" spans="1:8" x14ac:dyDescent="0.25">
      <c r="A7" s="12" t="s">
        <v>64</v>
      </c>
      <c r="B7" s="12" t="s">
        <v>65</v>
      </c>
      <c r="C7" s="12" t="s">
        <v>265</v>
      </c>
      <c r="D7" s="12"/>
      <c r="E7" s="12"/>
    </row>
    <row r="8" spans="1:8" x14ac:dyDescent="0.25">
      <c r="A8" s="12" t="s">
        <v>66</v>
      </c>
      <c r="B8" s="12" t="s">
        <v>8</v>
      </c>
      <c r="C8" s="12" t="s">
        <v>265</v>
      </c>
      <c r="D8" s="12"/>
      <c r="E8" s="12"/>
    </row>
    <row r="9" spans="1:8" x14ac:dyDescent="0.25">
      <c r="A9" s="12" t="s">
        <v>67</v>
      </c>
      <c r="B9" s="12" t="s">
        <v>68</v>
      </c>
      <c r="C9" s="12" t="s">
        <v>265</v>
      </c>
      <c r="D9" s="12"/>
      <c r="E9" s="12"/>
    </row>
    <row r="10" spans="1:8" x14ac:dyDescent="0.25">
      <c r="A10" s="12" t="s">
        <v>69</v>
      </c>
      <c r="B10" s="12" t="s">
        <v>69</v>
      </c>
      <c r="C10" s="12" t="s">
        <v>265</v>
      </c>
      <c r="D10" s="12"/>
      <c r="E10" s="12"/>
    </row>
    <row r="11" spans="1:8" x14ac:dyDescent="0.25">
      <c r="A11" s="12" t="s">
        <v>70</v>
      </c>
      <c r="B11" s="12" t="s">
        <v>71</v>
      </c>
      <c r="C11" s="12" t="s">
        <v>266</v>
      </c>
      <c r="D11" s="12" t="s">
        <v>274</v>
      </c>
      <c r="E11" s="12">
        <v>20217</v>
      </c>
    </row>
    <row r="12" spans="1:8" x14ac:dyDescent="0.25">
      <c r="A12" s="12" t="s">
        <v>72</v>
      </c>
      <c r="B12" s="12" t="s">
        <v>73</v>
      </c>
      <c r="C12" s="12" t="s">
        <v>265</v>
      </c>
      <c r="D12" s="12"/>
      <c r="E12" s="12"/>
    </row>
    <row r="13" spans="1:8" x14ac:dyDescent="0.25">
      <c r="A13" s="12" t="s">
        <v>74</v>
      </c>
      <c r="B13" s="12" t="s">
        <v>75</v>
      </c>
      <c r="C13" s="12" t="s">
        <v>265</v>
      </c>
      <c r="D13" s="12"/>
      <c r="E13" s="12"/>
    </row>
    <row r="14" spans="1:8" x14ac:dyDescent="0.25">
      <c r="A14" s="12" t="s">
        <v>76</v>
      </c>
      <c r="B14" s="12" t="s">
        <v>77</v>
      </c>
      <c r="C14" s="12" t="s">
        <v>265</v>
      </c>
      <c r="D14" s="12"/>
      <c r="E14" s="12"/>
    </row>
    <row r="15" spans="1:8" x14ac:dyDescent="0.25">
      <c r="A15" s="12" t="s">
        <v>78</v>
      </c>
      <c r="B15" s="12" t="s">
        <v>79</v>
      </c>
      <c r="C15" s="12" t="s">
        <v>265</v>
      </c>
      <c r="D15" s="12"/>
      <c r="E15" s="12"/>
    </row>
    <row r="16" spans="1:8" x14ac:dyDescent="0.25">
      <c r="A16" s="12" t="s">
        <v>80</v>
      </c>
      <c r="B16" s="12" t="s">
        <v>8</v>
      </c>
      <c r="C16" s="12" t="s">
        <v>265</v>
      </c>
      <c r="D16" s="12"/>
      <c r="E16" s="12"/>
    </row>
    <row r="17" spans="1:5" x14ac:dyDescent="0.25">
      <c r="A17" s="12" t="s">
        <v>81</v>
      </c>
      <c r="B17" s="12" t="s">
        <v>81</v>
      </c>
      <c r="C17" s="12" t="s">
        <v>265</v>
      </c>
      <c r="D17" s="12"/>
      <c r="E17" s="12"/>
    </row>
    <row r="18" spans="1:5" x14ac:dyDescent="0.25">
      <c r="A18" s="12" t="s">
        <v>66</v>
      </c>
      <c r="B18" s="12" t="s">
        <v>8</v>
      </c>
      <c r="C18" s="12" t="s">
        <v>265</v>
      </c>
      <c r="D18" s="12"/>
      <c r="E18" s="12"/>
    </row>
    <row r="19" spans="1:5" x14ac:dyDescent="0.25">
      <c r="A19" s="12" t="s">
        <v>67</v>
      </c>
      <c r="B19" s="12" t="s">
        <v>68</v>
      </c>
      <c r="C19" s="12" t="s">
        <v>266</v>
      </c>
      <c r="D19" s="12" t="s">
        <v>269</v>
      </c>
      <c r="E19" s="12">
        <v>13724</v>
      </c>
    </row>
    <row r="20" spans="1:5" x14ac:dyDescent="0.25">
      <c r="A20" s="12" t="s">
        <v>82</v>
      </c>
      <c r="B20" s="12" t="s">
        <v>69</v>
      </c>
      <c r="C20" s="12" t="s">
        <v>265</v>
      </c>
      <c r="D20" s="12"/>
      <c r="E20" s="12"/>
    </row>
    <row r="21" spans="1:5" x14ac:dyDescent="0.25">
      <c r="A21" s="12" t="s">
        <v>83</v>
      </c>
      <c r="B21" s="12" t="s">
        <v>84</v>
      </c>
      <c r="C21" s="12" t="s">
        <v>265</v>
      </c>
      <c r="D21" s="12"/>
      <c r="E21" s="12"/>
    </row>
    <row r="22" spans="1:5" x14ac:dyDescent="0.25">
      <c r="A22" s="12" t="s">
        <v>85</v>
      </c>
      <c r="B22" s="12" t="s">
        <v>86</v>
      </c>
      <c r="C22" s="12" t="s">
        <v>265</v>
      </c>
      <c r="D22" s="12"/>
      <c r="E22" s="12"/>
    </row>
    <row r="23" spans="1:5" x14ac:dyDescent="0.25">
      <c r="A23" s="12" t="s">
        <v>70</v>
      </c>
      <c r="B23" s="12" t="s">
        <v>71</v>
      </c>
      <c r="C23" s="12" t="s">
        <v>265</v>
      </c>
      <c r="D23" s="12"/>
      <c r="E23" s="12"/>
    </row>
    <row r="24" spans="1:5" x14ac:dyDescent="0.25">
      <c r="A24" s="12" t="s">
        <v>87</v>
      </c>
      <c r="B24" s="12" t="s">
        <v>73</v>
      </c>
      <c r="C24" s="12" t="s">
        <v>266</v>
      </c>
      <c r="D24" s="12" t="s">
        <v>270</v>
      </c>
      <c r="E24" s="12">
        <v>20231</v>
      </c>
    </row>
    <row r="25" spans="1:5" x14ac:dyDescent="0.25">
      <c r="A25" s="12" t="s">
        <v>88</v>
      </c>
      <c r="B25" s="12" t="s">
        <v>88</v>
      </c>
      <c r="C25" s="12" t="s">
        <v>265</v>
      </c>
      <c r="D25" s="12"/>
      <c r="E25" s="12"/>
    </row>
    <row r="26" spans="1:5" x14ac:dyDescent="0.25">
      <c r="A26" s="12" t="s">
        <v>89</v>
      </c>
      <c r="B26" s="12" t="s">
        <v>90</v>
      </c>
      <c r="C26" s="12" t="s">
        <v>265</v>
      </c>
      <c r="D26" s="12"/>
      <c r="E26" s="12"/>
    </row>
    <row r="27" spans="1:5" x14ac:dyDescent="0.25">
      <c r="A27" s="12" t="s">
        <v>91</v>
      </c>
      <c r="B27" s="12" t="s">
        <v>91</v>
      </c>
      <c r="C27" s="12" t="s">
        <v>265</v>
      </c>
      <c r="D27" s="12"/>
      <c r="E27" s="12"/>
    </row>
    <row r="28" spans="1:5" x14ac:dyDescent="0.25">
      <c r="A28" s="12" t="s">
        <v>92</v>
      </c>
      <c r="B28" s="12" t="s">
        <v>8</v>
      </c>
      <c r="C28" s="12" t="s">
        <v>265</v>
      </c>
      <c r="D28" s="12"/>
      <c r="E28" s="12"/>
    </row>
    <row r="29" spans="1:5" x14ac:dyDescent="0.25">
      <c r="A29" s="12" t="s">
        <v>93</v>
      </c>
      <c r="B29" s="12" t="s">
        <v>8</v>
      </c>
      <c r="C29" s="12" t="s">
        <v>265</v>
      </c>
      <c r="D29" s="12"/>
      <c r="E29" s="12"/>
    </row>
    <row r="30" spans="1:5" x14ac:dyDescent="0.25">
      <c r="A30" s="12" t="s">
        <v>94</v>
      </c>
      <c r="B30" s="12" t="s">
        <v>95</v>
      </c>
      <c r="C30" s="12" t="s">
        <v>265</v>
      </c>
      <c r="D30" s="12"/>
      <c r="E30" s="12"/>
    </row>
    <row r="31" spans="1:5" x14ac:dyDescent="0.25">
      <c r="A31" s="12" t="s">
        <v>48</v>
      </c>
      <c r="B31" s="12" t="s">
        <v>96</v>
      </c>
      <c r="C31" s="12" t="s">
        <v>265</v>
      </c>
      <c r="D31" s="12"/>
      <c r="E31" s="12"/>
    </row>
    <row r="32" spans="1:5" x14ac:dyDescent="0.25">
      <c r="A32" s="12" t="s">
        <v>97</v>
      </c>
      <c r="B32" s="12" t="s">
        <v>98</v>
      </c>
      <c r="C32" s="12" t="s">
        <v>265</v>
      </c>
      <c r="D32" s="12"/>
      <c r="E32" s="12"/>
    </row>
    <row r="33" spans="1:5" x14ac:dyDescent="0.25">
      <c r="A33" s="12" t="s">
        <v>99</v>
      </c>
      <c r="B33" s="12" t="s">
        <v>8</v>
      </c>
      <c r="C33" s="12" t="s">
        <v>265</v>
      </c>
      <c r="D33" s="12"/>
      <c r="E33" s="12"/>
    </row>
    <row r="34" spans="1:5" x14ac:dyDescent="0.25">
      <c r="A34" s="12" t="s">
        <v>100</v>
      </c>
      <c r="B34" s="12" t="s">
        <v>8</v>
      </c>
      <c r="C34" s="12" t="s">
        <v>265</v>
      </c>
      <c r="D34" s="12"/>
      <c r="E34" s="12"/>
    </row>
    <row r="35" spans="1:5" x14ac:dyDescent="0.25">
      <c r="A35" s="12" t="s">
        <v>101</v>
      </c>
      <c r="B35" s="12" t="s">
        <v>8</v>
      </c>
      <c r="C35" s="12" t="s">
        <v>265</v>
      </c>
      <c r="D35" s="12"/>
      <c r="E35" s="12"/>
    </row>
    <row r="36" spans="1:5" x14ac:dyDescent="0.25">
      <c r="A36" s="12" t="s">
        <v>102</v>
      </c>
      <c r="B36" s="12" t="s">
        <v>102</v>
      </c>
      <c r="C36" s="12" t="s">
        <v>265</v>
      </c>
      <c r="D36" s="12"/>
      <c r="E36" s="12"/>
    </row>
    <row r="37" spans="1:5" x14ac:dyDescent="0.25">
      <c r="A37" s="12" t="s">
        <v>103</v>
      </c>
      <c r="B37" s="12" t="s">
        <v>104</v>
      </c>
      <c r="C37" s="12" t="s">
        <v>265</v>
      </c>
      <c r="D37" s="12"/>
      <c r="E37" s="12"/>
    </row>
    <row r="38" spans="1:5" x14ac:dyDescent="0.25">
      <c r="A38" s="12" t="s">
        <v>105</v>
      </c>
      <c r="B38" s="12" t="s">
        <v>106</v>
      </c>
      <c r="C38" s="12" t="s">
        <v>265</v>
      </c>
      <c r="D38" s="12"/>
      <c r="E38" s="12"/>
    </row>
    <row r="39" spans="1:5" x14ac:dyDescent="0.25">
      <c r="A39" s="12" t="s">
        <v>107</v>
      </c>
      <c r="B39" s="12" t="s">
        <v>108</v>
      </c>
      <c r="C39" s="12" t="s">
        <v>265</v>
      </c>
      <c r="D39" s="12"/>
      <c r="E39" s="12"/>
    </row>
    <row r="40" spans="1:5" x14ac:dyDescent="0.25">
      <c r="A40" s="12" t="s">
        <v>109</v>
      </c>
      <c r="B40" s="12" t="s">
        <v>110</v>
      </c>
      <c r="C40" s="12" t="s">
        <v>265</v>
      </c>
      <c r="D40" s="12"/>
      <c r="E40" s="12"/>
    </row>
    <row r="41" spans="1:5" x14ac:dyDescent="0.25">
      <c r="A41" s="12" t="s">
        <v>111</v>
      </c>
      <c r="B41" s="12" t="s">
        <v>112</v>
      </c>
      <c r="C41" s="12" t="s">
        <v>265</v>
      </c>
      <c r="D41" s="12"/>
      <c r="E41" s="12"/>
    </row>
    <row r="42" spans="1:5" x14ac:dyDescent="0.25">
      <c r="A42" s="12" t="s">
        <v>113</v>
      </c>
      <c r="B42" s="12" t="s">
        <v>8</v>
      </c>
      <c r="C42" s="12" t="s">
        <v>265</v>
      </c>
      <c r="D42" s="12"/>
      <c r="E42" s="12"/>
    </row>
    <row r="43" spans="1:5" x14ac:dyDescent="0.25">
      <c r="A43" s="12" t="s">
        <v>101</v>
      </c>
      <c r="B43" s="12" t="s">
        <v>8</v>
      </c>
      <c r="C43" s="12" t="s">
        <v>265</v>
      </c>
      <c r="D43" s="12"/>
      <c r="E43" s="12"/>
    </row>
    <row r="44" spans="1:5" x14ac:dyDescent="0.25">
      <c r="A44" s="12" t="s">
        <v>102</v>
      </c>
      <c r="B44" s="12" t="s">
        <v>102</v>
      </c>
      <c r="C44" s="12" t="s">
        <v>265</v>
      </c>
      <c r="D44" s="12"/>
      <c r="E44" s="12"/>
    </row>
    <row r="45" spans="1:5" x14ac:dyDescent="0.25">
      <c r="A45" s="12" t="s">
        <v>103</v>
      </c>
      <c r="B45" s="12" t="s">
        <v>104</v>
      </c>
      <c r="C45" s="12" t="s">
        <v>265</v>
      </c>
      <c r="D45" s="12"/>
      <c r="E45" s="12"/>
    </row>
    <row r="46" spans="1:5" x14ac:dyDescent="0.25">
      <c r="A46" s="12" t="s">
        <v>114</v>
      </c>
      <c r="B46" s="12" t="s">
        <v>114</v>
      </c>
      <c r="C46" s="12" t="s">
        <v>266</v>
      </c>
      <c r="D46" s="12" t="s">
        <v>268</v>
      </c>
      <c r="E46" s="12"/>
    </row>
    <row r="47" spans="1:5" x14ac:dyDescent="0.25">
      <c r="A47" s="12" t="s">
        <v>115</v>
      </c>
      <c r="B47" s="12" t="s">
        <v>114</v>
      </c>
      <c r="C47" s="12" t="s">
        <v>265</v>
      </c>
      <c r="D47" s="12"/>
      <c r="E47" s="12"/>
    </row>
    <row r="48" spans="1:5" x14ac:dyDescent="0.25">
      <c r="A48" s="12" t="s">
        <v>116</v>
      </c>
      <c r="B48" s="12" t="s">
        <v>114</v>
      </c>
      <c r="C48" s="12" t="s">
        <v>265</v>
      </c>
      <c r="D48" s="12"/>
      <c r="E48" s="12"/>
    </row>
    <row r="49" spans="1:5" x14ac:dyDescent="0.25">
      <c r="A49" s="12" t="s">
        <v>117</v>
      </c>
      <c r="B49" s="12" t="s">
        <v>118</v>
      </c>
      <c r="C49" s="12" t="s">
        <v>266</v>
      </c>
      <c r="D49" s="12" t="s">
        <v>271</v>
      </c>
      <c r="E49" s="12">
        <v>20214</v>
      </c>
    </row>
    <row r="50" spans="1:5" x14ac:dyDescent="0.25">
      <c r="A50" s="12" t="s">
        <v>119</v>
      </c>
      <c r="B50" s="12" t="s">
        <v>120</v>
      </c>
      <c r="C50" s="12" t="s">
        <v>265</v>
      </c>
      <c r="D50" s="12"/>
      <c r="E50" s="12"/>
    </row>
    <row r="51" spans="1:5" x14ac:dyDescent="0.25">
      <c r="A51" s="12" t="s">
        <v>105</v>
      </c>
      <c r="B51" s="12" t="s">
        <v>106</v>
      </c>
      <c r="C51" s="12" t="s">
        <v>266</v>
      </c>
      <c r="D51" s="12" t="s">
        <v>272</v>
      </c>
      <c r="E51" s="12">
        <v>13767</v>
      </c>
    </row>
    <row r="52" spans="1:5" x14ac:dyDescent="0.25">
      <c r="A52" s="12" t="s">
        <v>121</v>
      </c>
      <c r="B52" s="12" t="s">
        <v>122</v>
      </c>
      <c r="C52" s="12" t="s">
        <v>265</v>
      </c>
      <c r="D52" s="12"/>
      <c r="E52" s="12"/>
    </row>
    <row r="53" spans="1:5" x14ac:dyDescent="0.25">
      <c r="A53" s="12" t="s">
        <v>123</v>
      </c>
      <c r="B53" s="12" t="s">
        <v>124</v>
      </c>
      <c r="C53" s="12" t="s">
        <v>265</v>
      </c>
      <c r="D53" s="12"/>
      <c r="E53" s="12"/>
    </row>
    <row r="54" spans="1:5" x14ac:dyDescent="0.25">
      <c r="A54" s="12" t="s">
        <v>125</v>
      </c>
      <c r="B54" s="12" t="s">
        <v>126</v>
      </c>
      <c r="C54" s="12" t="s">
        <v>265</v>
      </c>
      <c r="D54" s="12"/>
      <c r="E54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selection activeCell="B1" sqref="A1:XFD1"/>
    </sheetView>
  </sheetViews>
  <sheetFormatPr defaultRowHeight="15" x14ac:dyDescent="0.25"/>
  <cols>
    <col min="1" max="1" width="42.5703125" bestFit="1" customWidth="1"/>
    <col min="2" max="2" width="36.5703125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262</v>
      </c>
      <c r="D1" s="2" t="s">
        <v>263</v>
      </c>
      <c r="E1" s="3" t="s">
        <v>264</v>
      </c>
      <c r="G1" s="4" t="s">
        <v>265</v>
      </c>
      <c r="H1" s="5">
        <f>COUNTIF(C:C,G1)</f>
        <v>47</v>
      </c>
    </row>
    <row r="2" spans="1:8" x14ac:dyDescent="0.25">
      <c r="A2" s="12" t="s">
        <v>55</v>
      </c>
      <c r="B2" s="12" t="s">
        <v>8</v>
      </c>
      <c r="C2" s="12" t="s">
        <v>265</v>
      </c>
      <c r="D2" s="12"/>
      <c r="E2" s="12"/>
      <c r="G2" s="6" t="s">
        <v>266</v>
      </c>
      <c r="H2" s="7">
        <f>COUNTIF(C:C,G2)</f>
        <v>7</v>
      </c>
    </row>
    <row r="3" spans="1:8" ht="15.75" thickBot="1" x14ac:dyDescent="0.3">
      <c r="A3" s="12" t="s">
        <v>56</v>
      </c>
      <c r="B3" s="12" t="s">
        <v>57</v>
      </c>
      <c r="C3" s="12" t="s">
        <v>265</v>
      </c>
      <c r="D3" s="12"/>
      <c r="E3" s="12"/>
      <c r="G3" s="8" t="s">
        <v>267</v>
      </c>
      <c r="H3" s="9">
        <f>H1/SUM(H1:H2)</f>
        <v>0.87037037037037035</v>
      </c>
    </row>
    <row r="4" spans="1:8" x14ac:dyDescent="0.25">
      <c r="A4" s="12" t="s">
        <v>58</v>
      </c>
      <c r="B4" s="12" t="s">
        <v>59</v>
      </c>
      <c r="C4" s="12" t="s">
        <v>265</v>
      </c>
      <c r="D4" s="12"/>
      <c r="E4" s="12"/>
    </row>
    <row r="5" spans="1:8" x14ac:dyDescent="0.25">
      <c r="A5" s="12" t="s">
        <v>215</v>
      </c>
      <c r="B5" s="12" t="s">
        <v>61</v>
      </c>
      <c r="C5" s="12" t="s">
        <v>265</v>
      </c>
      <c r="D5" s="12"/>
      <c r="E5" s="12"/>
    </row>
    <row r="6" spans="1:8" x14ac:dyDescent="0.25">
      <c r="A6" s="12" t="s">
        <v>216</v>
      </c>
      <c r="B6" s="12" t="s">
        <v>217</v>
      </c>
      <c r="C6" s="12" t="s">
        <v>266</v>
      </c>
      <c r="D6" s="12" t="s">
        <v>273</v>
      </c>
      <c r="E6" s="12">
        <v>13734</v>
      </c>
    </row>
    <row r="7" spans="1:8" x14ac:dyDescent="0.25">
      <c r="A7" s="12" t="s">
        <v>62</v>
      </c>
      <c r="B7" s="12" t="s">
        <v>63</v>
      </c>
      <c r="C7" s="12" t="s">
        <v>265</v>
      </c>
      <c r="D7" s="12"/>
      <c r="E7" s="12"/>
    </row>
    <row r="8" spans="1:8" x14ac:dyDescent="0.25">
      <c r="A8" s="12" t="s">
        <v>66</v>
      </c>
      <c r="B8" s="12" t="s">
        <v>8</v>
      </c>
      <c r="C8" s="12" t="s">
        <v>265</v>
      </c>
      <c r="D8" s="12"/>
      <c r="E8" s="12"/>
    </row>
    <row r="9" spans="1:8" x14ac:dyDescent="0.25">
      <c r="A9" s="12" t="s">
        <v>67</v>
      </c>
      <c r="B9" s="12" t="s">
        <v>68</v>
      </c>
      <c r="C9" s="12" t="s">
        <v>265</v>
      </c>
      <c r="D9" s="12"/>
      <c r="E9" s="12"/>
    </row>
    <row r="10" spans="1:8" x14ac:dyDescent="0.25">
      <c r="A10" s="12" t="s">
        <v>82</v>
      </c>
      <c r="B10" s="12" t="s">
        <v>69</v>
      </c>
      <c r="C10" s="12" t="s">
        <v>265</v>
      </c>
      <c r="D10" s="12"/>
      <c r="E10" s="12"/>
    </row>
    <row r="11" spans="1:8" x14ac:dyDescent="0.25">
      <c r="A11" s="12" t="s">
        <v>70</v>
      </c>
      <c r="B11" s="12" t="s">
        <v>71</v>
      </c>
      <c r="C11" s="12" t="s">
        <v>266</v>
      </c>
      <c r="D11" s="12" t="s">
        <v>274</v>
      </c>
      <c r="E11" s="12">
        <v>20217</v>
      </c>
    </row>
    <row r="12" spans="1:8" x14ac:dyDescent="0.25">
      <c r="A12" s="12" t="s">
        <v>72</v>
      </c>
      <c r="B12" s="12" t="s">
        <v>73</v>
      </c>
      <c r="C12" s="12" t="s">
        <v>265</v>
      </c>
      <c r="D12" s="12"/>
      <c r="E12" s="12"/>
    </row>
    <row r="13" spans="1:8" x14ac:dyDescent="0.25">
      <c r="A13" s="12" t="s">
        <v>74</v>
      </c>
      <c r="B13" s="12" t="s">
        <v>75</v>
      </c>
      <c r="C13" s="12" t="s">
        <v>265</v>
      </c>
      <c r="D13" s="12"/>
      <c r="E13" s="12"/>
    </row>
    <row r="14" spans="1:8" x14ac:dyDescent="0.25">
      <c r="A14" s="12" t="s">
        <v>218</v>
      </c>
      <c r="B14" s="12" t="s">
        <v>77</v>
      </c>
      <c r="C14" s="12" t="s">
        <v>265</v>
      </c>
      <c r="D14" s="12"/>
      <c r="E14" s="12"/>
    </row>
    <row r="15" spans="1:8" x14ac:dyDescent="0.25">
      <c r="A15" s="12" t="s">
        <v>219</v>
      </c>
      <c r="B15" s="12" t="s">
        <v>79</v>
      </c>
      <c r="C15" s="12" t="s">
        <v>265</v>
      </c>
      <c r="D15" s="12"/>
      <c r="E15" s="12"/>
    </row>
    <row r="16" spans="1:8" x14ac:dyDescent="0.25">
      <c r="A16" s="12" t="s">
        <v>80</v>
      </c>
      <c r="B16" s="12" t="s">
        <v>8</v>
      </c>
      <c r="C16" s="12" t="s">
        <v>265</v>
      </c>
      <c r="D16" s="12"/>
      <c r="E16" s="12"/>
    </row>
    <row r="17" spans="1:5" x14ac:dyDescent="0.25">
      <c r="A17" s="12" t="s">
        <v>81</v>
      </c>
      <c r="B17" s="12" t="s">
        <v>81</v>
      </c>
      <c r="C17" s="12" t="s">
        <v>265</v>
      </c>
      <c r="D17" s="12"/>
      <c r="E17" s="12"/>
    </row>
    <row r="18" spans="1:5" x14ac:dyDescent="0.25">
      <c r="A18" s="12" t="s">
        <v>66</v>
      </c>
      <c r="B18" s="12" t="s">
        <v>8</v>
      </c>
      <c r="C18" s="12" t="s">
        <v>265</v>
      </c>
      <c r="D18" s="12"/>
      <c r="E18" s="12"/>
    </row>
    <row r="19" spans="1:5" x14ac:dyDescent="0.25">
      <c r="A19" s="12" t="s">
        <v>220</v>
      </c>
      <c r="B19" s="12" t="s">
        <v>68</v>
      </c>
      <c r="C19" s="12" t="s">
        <v>266</v>
      </c>
      <c r="D19" s="12" t="s">
        <v>269</v>
      </c>
      <c r="E19" s="12">
        <v>13724</v>
      </c>
    </row>
    <row r="20" spans="1:5" x14ac:dyDescent="0.25">
      <c r="A20" s="12" t="s">
        <v>82</v>
      </c>
      <c r="B20" s="12" t="s">
        <v>69</v>
      </c>
      <c r="C20" s="12" t="s">
        <v>265</v>
      </c>
      <c r="D20" s="12"/>
      <c r="E20" s="12"/>
    </row>
    <row r="21" spans="1:5" x14ac:dyDescent="0.25">
      <c r="A21" s="12" t="s">
        <v>221</v>
      </c>
      <c r="B21" s="12" t="s">
        <v>84</v>
      </c>
      <c r="C21" s="12" t="s">
        <v>265</v>
      </c>
      <c r="D21" s="12"/>
      <c r="E21" s="12"/>
    </row>
    <row r="22" spans="1:5" x14ac:dyDescent="0.25">
      <c r="A22" s="12" t="s">
        <v>85</v>
      </c>
      <c r="B22" s="12" t="s">
        <v>86</v>
      </c>
      <c r="C22" s="12" t="s">
        <v>265</v>
      </c>
      <c r="D22" s="12"/>
      <c r="E22" s="12"/>
    </row>
    <row r="23" spans="1:5" x14ac:dyDescent="0.25">
      <c r="A23" s="12" t="s">
        <v>70</v>
      </c>
      <c r="B23" s="12" t="s">
        <v>71</v>
      </c>
      <c r="C23" s="12" t="s">
        <v>265</v>
      </c>
      <c r="D23" s="12"/>
      <c r="E23" s="12"/>
    </row>
    <row r="24" spans="1:5" x14ac:dyDescent="0.25">
      <c r="A24" s="12" t="s">
        <v>72</v>
      </c>
      <c r="B24" s="12" t="s">
        <v>73</v>
      </c>
      <c r="C24" s="12" t="s">
        <v>266</v>
      </c>
      <c r="D24" s="12" t="s">
        <v>270</v>
      </c>
      <c r="E24" s="12">
        <v>20231</v>
      </c>
    </row>
    <row r="25" spans="1:5" x14ac:dyDescent="0.25">
      <c r="A25" s="12" t="s">
        <v>222</v>
      </c>
      <c r="B25" s="12" t="s">
        <v>223</v>
      </c>
      <c r="C25" s="12" t="s">
        <v>265</v>
      </c>
      <c r="D25" s="12"/>
      <c r="E25" s="12"/>
    </row>
    <row r="26" spans="1:5" x14ac:dyDescent="0.25">
      <c r="A26" s="12" t="s">
        <v>88</v>
      </c>
      <c r="B26" s="12" t="s">
        <v>88</v>
      </c>
      <c r="C26" s="12" t="s">
        <v>265</v>
      </c>
      <c r="D26" s="12"/>
      <c r="E26" s="12"/>
    </row>
    <row r="27" spans="1:5" x14ac:dyDescent="0.25">
      <c r="A27" s="12" t="s">
        <v>90</v>
      </c>
      <c r="B27" s="12" t="s">
        <v>90</v>
      </c>
      <c r="C27" s="12" t="s">
        <v>265</v>
      </c>
      <c r="D27" s="12"/>
      <c r="E27" s="12"/>
    </row>
    <row r="28" spans="1:5" x14ac:dyDescent="0.25">
      <c r="A28" s="12" t="s">
        <v>91</v>
      </c>
      <c r="B28" s="12" t="s">
        <v>91</v>
      </c>
      <c r="C28" s="12" t="s">
        <v>265</v>
      </c>
      <c r="D28" s="12"/>
      <c r="E28" s="12"/>
    </row>
    <row r="29" spans="1:5" x14ac:dyDescent="0.25">
      <c r="A29" s="12" t="s">
        <v>92</v>
      </c>
      <c r="B29" s="12" t="s">
        <v>8</v>
      </c>
      <c r="C29" s="12" t="s">
        <v>265</v>
      </c>
      <c r="D29" s="12"/>
      <c r="E29" s="12"/>
    </row>
    <row r="30" spans="1:5" x14ac:dyDescent="0.25">
      <c r="A30" s="12" t="s">
        <v>93</v>
      </c>
      <c r="B30" s="12" t="s">
        <v>8</v>
      </c>
      <c r="C30" s="12" t="s">
        <v>265</v>
      </c>
      <c r="D30" s="12"/>
      <c r="E30" s="12"/>
    </row>
    <row r="31" spans="1:5" x14ac:dyDescent="0.25">
      <c r="A31" s="12" t="s">
        <v>94</v>
      </c>
      <c r="B31" s="12" t="s">
        <v>95</v>
      </c>
      <c r="C31" s="12" t="s">
        <v>265</v>
      </c>
      <c r="D31" s="12"/>
      <c r="E31" s="12"/>
    </row>
    <row r="32" spans="1:5" x14ac:dyDescent="0.25">
      <c r="A32" s="12" t="s">
        <v>48</v>
      </c>
      <c r="B32" s="12" t="s">
        <v>96</v>
      </c>
      <c r="C32" s="12" t="s">
        <v>265</v>
      </c>
      <c r="D32" s="12"/>
      <c r="E32" s="12"/>
    </row>
    <row r="33" spans="1:5" x14ac:dyDescent="0.25">
      <c r="A33" s="12" t="s">
        <v>224</v>
      </c>
      <c r="B33" s="12" t="s">
        <v>225</v>
      </c>
      <c r="C33" s="12" t="s">
        <v>265</v>
      </c>
      <c r="D33" s="12"/>
      <c r="E33" s="12"/>
    </row>
    <row r="34" spans="1:5" x14ac:dyDescent="0.25">
      <c r="A34" s="12" t="s">
        <v>226</v>
      </c>
      <c r="B34" s="12" t="s">
        <v>98</v>
      </c>
      <c r="C34" s="12" t="s">
        <v>265</v>
      </c>
      <c r="D34" s="12"/>
      <c r="E34" s="12"/>
    </row>
    <row r="35" spans="1:5" x14ac:dyDescent="0.25">
      <c r="A35" s="12" t="s">
        <v>99</v>
      </c>
      <c r="B35" s="12" t="s">
        <v>8</v>
      </c>
      <c r="C35" s="12" t="s">
        <v>265</v>
      </c>
      <c r="D35" s="12"/>
      <c r="E35" s="12"/>
    </row>
    <row r="36" spans="1:5" x14ac:dyDescent="0.25">
      <c r="A36" s="12" t="s">
        <v>100</v>
      </c>
      <c r="B36" s="12" t="s">
        <v>8</v>
      </c>
      <c r="C36" s="12" t="s">
        <v>265</v>
      </c>
      <c r="D36" s="12"/>
      <c r="E36" s="12"/>
    </row>
    <row r="37" spans="1:5" x14ac:dyDescent="0.25">
      <c r="A37" s="12" t="s">
        <v>101</v>
      </c>
      <c r="B37" s="12" t="s">
        <v>8</v>
      </c>
      <c r="C37" s="12" t="s">
        <v>265</v>
      </c>
      <c r="D37" s="12"/>
      <c r="E37" s="12"/>
    </row>
    <row r="38" spans="1:5" x14ac:dyDescent="0.25">
      <c r="A38" s="12" t="s">
        <v>102</v>
      </c>
      <c r="B38" s="12" t="s">
        <v>102</v>
      </c>
      <c r="C38" s="12" t="s">
        <v>265</v>
      </c>
      <c r="D38" s="12"/>
      <c r="E38" s="12"/>
    </row>
    <row r="39" spans="1:5" x14ac:dyDescent="0.25">
      <c r="A39" s="12" t="s">
        <v>103</v>
      </c>
      <c r="B39" s="12" t="s">
        <v>104</v>
      </c>
      <c r="C39" s="12" t="s">
        <v>265</v>
      </c>
      <c r="D39" s="12"/>
      <c r="E39" s="12"/>
    </row>
    <row r="40" spans="1:5" x14ac:dyDescent="0.25">
      <c r="A40" s="12" t="s">
        <v>105</v>
      </c>
      <c r="B40" s="12" t="s">
        <v>106</v>
      </c>
      <c r="C40" s="12" t="s">
        <v>265</v>
      </c>
      <c r="D40" s="12"/>
      <c r="E40" s="12"/>
    </row>
    <row r="41" spans="1:5" x14ac:dyDescent="0.25">
      <c r="A41" s="12" t="s">
        <v>109</v>
      </c>
      <c r="B41" s="12" t="s">
        <v>110</v>
      </c>
      <c r="C41" s="12" t="s">
        <v>265</v>
      </c>
      <c r="D41" s="12"/>
      <c r="E41" s="12"/>
    </row>
    <row r="42" spans="1:5" x14ac:dyDescent="0.25">
      <c r="A42" s="12" t="s">
        <v>227</v>
      </c>
      <c r="B42" s="12" t="s">
        <v>112</v>
      </c>
      <c r="C42" s="12" t="s">
        <v>265</v>
      </c>
      <c r="D42" s="12"/>
      <c r="E42" s="12"/>
    </row>
    <row r="43" spans="1:5" x14ac:dyDescent="0.25">
      <c r="A43" s="12" t="s">
        <v>113</v>
      </c>
      <c r="B43" s="12" t="s">
        <v>8</v>
      </c>
      <c r="C43" s="12" t="s">
        <v>265</v>
      </c>
      <c r="D43" s="12"/>
      <c r="E43" s="12"/>
    </row>
    <row r="44" spans="1:5" x14ac:dyDescent="0.25">
      <c r="A44" s="12" t="s">
        <v>101</v>
      </c>
      <c r="B44" s="12" t="s">
        <v>8</v>
      </c>
      <c r="C44" s="12" t="s">
        <v>265</v>
      </c>
      <c r="D44" s="12"/>
      <c r="E44" s="12"/>
    </row>
    <row r="45" spans="1:5" x14ac:dyDescent="0.25">
      <c r="A45" s="12" t="s">
        <v>102</v>
      </c>
      <c r="B45" s="12" t="s">
        <v>102</v>
      </c>
      <c r="C45" s="12" t="s">
        <v>265</v>
      </c>
      <c r="D45" s="12"/>
      <c r="E45" s="12"/>
    </row>
    <row r="46" spans="1:5" x14ac:dyDescent="0.25">
      <c r="A46" s="12" t="s">
        <v>103</v>
      </c>
      <c r="B46" s="12" t="s">
        <v>104</v>
      </c>
      <c r="C46" s="12" t="s">
        <v>265</v>
      </c>
      <c r="D46" s="12"/>
      <c r="E46" s="12"/>
    </row>
    <row r="47" spans="1:5" x14ac:dyDescent="0.25">
      <c r="A47" s="12" t="s">
        <v>228</v>
      </c>
      <c r="B47" s="12" t="s">
        <v>114</v>
      </c>
      <c r="C47" s="12" t="s">
        <v>266</v>
      </c>
      <c r="D47" s="12" t="s">
        <v>268</v>
      </c>
      <c r="E47" s="12"/>
    </row>
    <row r="48" spans="1:5" x14ac:dyDescent="0.25">
      <c r="A48" s="12" t="s">
        <v>229</v>
      </c>
      <c r="B48" s="12" t="s">
        <v>114</v>
      </c>
      <c r="C48" s="12" t="s">
        <v>265</v>
      </c>
      <c r="D48" s="12"/>
      <c r="E48" s="12"/>
    </row>
    <row r="49" spans="1:5" x14ac:dyDescent="0.25">
      <c r="A49" s="12" t="s">
        <v>230</v>
      </c>
      <c r="B49" s="12" t="s">
        <v>114</v>
      </c>
      <c r="C49" s="12" t="s">
        <v>265</v>
      </c>
      <c r="D49" s="12"/>
      <c r="E49" s="12"/>
    </row>
    <row r="50" spans="1:5" x14ac:dyDescent="0.25">
      <c r="A50" s="12" t="s">
        <v>162</v>
      </c>
      <c r="B50" s="12" t="s">
        <v>118</v>
      </c>
      <c r="C50" s="12" t="s">
        <v>266</v>
      </c>
      <c r="D50" s="12" t="s">
        <v>271</v>
      </c>
      <c r="E50" s="12">
        <v>20214</v>
      </c>
    </row>
    <row r="51" spans="1:5" x14ac:dyDescent="0.25">
      <c r="A51" s="12" t="s">
        <v>231</v>
      </c>
      <c r="B51" s="12" t="s">
        <v>120</v>
      </c>
      <c r="C51" s="12" t="s">
        <v>265</v>
      </c>
      <c r="D51" s="12"/>
      <c r="E51" s="12"/>
    </row>
    <row r="52" spans="1:5" x14ac:dyDescent="0.25">
      <c r="A52" s="12" t="s">
        <v>105</v>
      </c>
      <c r="B52" s="12" t="s">
        <v>106</v>
      </c>
      <c r="C52" s="12" t="s">
        <v>266</v>
      </c>
      <c r="D52" s="12" t="s">
        <v>272</v>
      </c>
      <c r="E52" s="12">
        <v>13767</v>
      </c>
    </row>
    <row r="53" spans="1:5" x14ac:dyDescent="0.25">
      <c r="A53" s="12" t="s">
        <v>232</v>
      </c>
      <c r="B53" s="12" t="s">
        <v>122</v>
      </c>
      <c r="C53" s="12" t="s">
        <v>265</v>
      </c>
      <c r="D53" s="12"/>
      <c r="E53" s="12"/>
    </row>
    <row r="54" spans="1:5" x14ac:dyDescent="0.25">
      <c r="A54" s="12" t="s">
        <v>124</v>
      </c>
      <c r="B54" s="12" t="s">
        <v>124</v>
      </c>
      <c r="C54" s="12" t="s">
        <v>265</v>
      </c>
      <c r="D54" s="12"/>
      <c r="E54" s="12"/>
    </row>
    <row r="55" spans="1:5" x14ac:dyDescent="0.25">
      <c r="A55" s="12" t="s">
        <v>125</v>
      </c>
      <c r="B55" s="12" t="s">
        <v>126</v>
      </c>
      <c r="C55" s="12" t="s">
        <v>265</v>
      </c>
      <c r="D55" s="12"/>
      <c r="E55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A28" workbookViewId="0">
      <selection activeCell="C37" sqref="C37:E37"/>
    </sheetView>
  </sheetViews>
  <sheetFormatPr defaultRowHeight="15" x14ac:dyDescent="0.25"/>
  <cols>
    <col min="1" max="1" width="64" customWidth="1"/>
    <col min="2" max="2" width="55" style="11" customWidth="1"/>
    <col min="3" max="3" width="8.85546875" bestFit="1" customWidth="1"/>
    <col min="4" max="4" width="55.7109375" bestFit="1" customWidth="1"/>
    <col min="5" max="5" width="7.5703125" bestFit="1" customWidth="1"/>
  </cols>
  <sheetData>
    <row r="1" spans="1:8" x14ac:dyDescent="0.25">
      <c r="A1" s="1" t="s">
        <v>0</v>
      </c>
      <c r="B1" s="10" t="s">
        <v>1</v>
      </c>
      <c r="C1" s="2" t="s">
        <v>262</v>
      </c>
      <c r="D1" s="2" t="s">
        <v>263</v>
      </c>
      <c r="E1" s="3" t="s">
        <v>264</v>
      </c>
      <c r="G1" s="4" t="s">
        <v>265</v>
      </c>
      <c r="H1" s="5">
        <f>COUNTIF(C:C,G1)</f>
        <v>38</v>
      </c>
    </row>
    <row r="2" spans="1:8" x14ac:dyDescent="0.25">
      <c r="A2" s="12" t="s">
        <v>127</v>
      </c>
      <c r="B2" s="15" t="s">
        <v>128</v>
      </c>
      <c r="C2" s="12" t="s">
        <v>265</v>
      </c>
      <c r="D2" s="12"/>
      <c r="E2" s="12"/>
      <c r="G2" s="6" t="s">
        <v>266</v>
      </c>
      <c r="H2" s="7">
        <f>COUNTIF(C:C,G2)</f>
        <v>10</v>
      </c>
    </row>
    <row r="3" spans="1:8" ht="15.75" thickBot="1" x14ac:dyDescent="0.3">
      <c r="A3" s="12" t="s">
        <v>129</v>
      </c>
      <c r="B3" s="15" t="s">
        <v>8</v>
      </c>
      <c r="C3" s="12" t="s">
        <v>265</v>
      </c>
      <c r="D3" s="12"/>
      <c r="E3" s="12"/>
      <c r="G3" s="8" t="s">
        <v>267</v>
      </c>
      <c r="H3" s="9">
        <f>H1/SUM(H1:H2)</f>
        <v>0.79166666666666663</v>
      </c>
    </row>
    <row r="4" spans="1:8" x14ac:dyDescent="0.25">
      <c r="A4" s="12" t="s">
        <v>130</v>
      </c>
      <c r="B4" s="15" t="s">
        <v>131</v>
      </c>
      <c r="C4" s="12" t="s">
        <v>265</v>
      </c>
      <c r="D4" s="12"/>
      <c r="E4" s="12"/>
    </row>
    <row r="5" spans="1:8" x14ac:dyDescent="0.25">
      <c r="A5" s="12" t="s">
        <v>16</v>
      </c>
      <c r="B5" s="15" t="s">
        <v>132</v>
      </c>
      <c r="C5" s="12" t="s">
        <v>265</v>
      </c>
      <c r="D5" s="12"/>
      <c r="E5" s="12"/>
    </row>
    <row r="6" spans="1:8" x14ac:dyDescent="0.25">
      <c r="A6" s="12" t="s">
        <v>133</v>
      </c>
      <c r="B6" s="15" t="s">
        <v>134</v>
      </c>
      <c r="C6" s="12" t="s">
        <v>265</v>
      </c>
      <c r="D6" s="12"/>
      <c r="E6" s="12"/>
    </row>
    <row r="7" spans="1:8" x14ac:dyDescent="0.25">
      <c r="A7" s="12" t="s">
        <v>135</v>
      </c>
      <c r="B7" s="15" t="s">
        <v>136</v>
      </c>
      <c r="C7" s="12" t="s">
        <v>266</v>
      </c>
      <c r="D7" s="12" t="s">
        <v>135</v>
      </c>
      <c r="E7" s="12">
        <v>30481</v>
      </c>
    </row>
    <row r="8" spans="1:8" x14ac:dyDescent="0.25">
      <c r="A8" s="12" t="s">
        <v>137</v>
      </c>
      <c r="B8" s="15" t="s">
        <v>138</v>
      </c>
      <c r="C8" s="12" t="s">
        <v>266</v>
      </c>
      <c r="D8" s="12" t="s">
        <v>237</v>
      </c>
      <c r="E8" s="12">
        <v>17542</v>
      </c>
    </row>
    <row r="9" spans="1:8" x14ac:dyDescent="0.25">
      <c r="A9" s="12" t="s">
        <v>139</v>
      </c>
      <c r="B9" s="15" t="s">
        <v>140</v>
      </c>
      <c r="C9" s="12" t="s">
        <v>265</v>
      </c>
      <c r="D9" s="12"/>
      <c r="E9" s="12"/>
    </row>
    <row r="10" spans="1:8" x14ac:dyDescent="0.25">
      <c r="A10" s="12" t="s">
        <v>141</v>
      </c>
      <c r="B10" s="15" t="s">
        <v>142</v>
      </c>
      <c r="C10" s="12" t="s">
        <v>265</v>
      </c>
      <c r="D10" s="12"/>
      <c r="E10" s="12"/>
    </row>
    <row r="11" spans="1:8" x14ac:dyDescent="0.25">
      <c r="A11" s="12" t="s">
        <v>143</v>
      </c>
      <c r="B11" s="15" t="s">
        <v>144</v>
      </c>
      <c r="C11" s="12" t="s">
        <v>265</v>
      </c>
      <c r="D11" s="12"/>
      <c r="E11" s="12"/>
    </row>
    <row r="12" spans="1:8" x14ac:dyDescent="0.25">
      <c r="A12" s="12" t="s">
        <v>145</v>
      </c>
      <c r="B12" s="15" t="s">
        <v>146</v>
      </c>
      <c r="C12" s="12" t="s">
        <v>265</v>
      </c>
      <c r="D12" s="12"/>
      <c r="E12" s="12"/>
    </row>
    <row r="13" spans="1:8" x14ac:dyDescent="0.25">
      <c r="A13" s="12" t="s">
        <v>147</v>
      </c>
      <c r="B13" s="15" t="s">
        <v>148</v>
      </c>
      <c r="C13" s="12" t="s">
        <v>265</v>
      </c>
      <c r="D13" s="12"/>
      <c r="E13" s="12"/>
    </row>
    <row r="14" spans="1:8" x14ac:dyDescent="0.25">
      <c r="A14" s="12" t="s">
        <v>149</v>
      </c>
      <c r="B14" s="15" t="s">
        <v>150</v>
      </c>
      <c r="C14" s="12" t="s">
        <v>265</v>
      </c>
      <c r="D14" s="12"/>
      <c r="E14" s="12"/>
    </row>
    <row r="15" spans="1:8" x14ac:dyDescent="0.25">
      <c r="A15" s="12" t="s">
        <v>151</v>
      </c>
      <c r="B15" s="15" t="s">
        <v>151</v>
      </c>
      <c r="C15" s="12" t="s">
        <v>265</v>
      </c>
      <c r="D15" s="12"/>
      <c r="E15" s="12"/>
    </row>
    <row r="16" spans="1:8" x14ac:dyDescent="0.25">
      <c r="A16" s="12" t="s">
        <v>152</v>
      </c>
      <c r="B16" s="15" t="s">
        <v>8</v>
      </c>
      <c r="C16" s="12" t="s">
        <v>265</v>
      </c>
      <c r="D16" s="12"/>
      <c r="E16" s="12"/>
    </row>
    <row r="17" spans="1:5" x14ac:dyDescent="0.25">
      <c r="A17" s="12" t="s">
        <v>153</v>
      </c>
      <c r="B17" s="15" t="s">
        <v>154</v>
      </c>
      <c r="C17" s="12" t="s">
        <v>265</v>
      </c>
      <c r="D17" s="12"/>
      <c r="E17" s="12"/>
    </row>
    <row r="18" spans="1:5" x14ac:dyDescent="0.25">
      <c r="A18" s="12" t="s">
        <v>82</v>
      </c>
      <c r="B18" s="15" t="s">
        <v>155</v>
      </c>
      <c r="C18" s="12" t="s">
        <v>265</v>
      </c>
      <c r="D18" s="12"/>
      <c r="E18" s="12"/>
    </row>
    <row r="19" spans="1:5" x14ac:dyDescent="0.25">
      <c r="A19" s="12" t="s">
        <v>156</v>
      </c>
      <c r="B19" s="15" t="s">
        <v>157</v>
      </c>
      <c r="C19" s="12" t="s">
        <v>266</v>
      </c>
      <c r="D19" s="12" t="s">
        <v>275</v>
      </c>
      <c r="E19" s="12">
        <v>30497</v>
      </c>
    </row>
    <row r="20" spans="1:5" x14ac:dyDescent="0.25">
      <c r="A20" s="12" t="s">
        <v>158</v>
      </c>
      <c r="B20" s="15" t="s">
        <v>154</v>
      </c>
      <c r="C20" s="12" t="s">
        <v>265</v>
      </c>
      <c r="D20" s="12"/>
      <c r="E20" s="12"/>
    </row>
    <row r="21" spans="1:5" x14ac:dyDescent="0.25">
      <c r="A21" s="12" t="s">
        <v>87</v>
      </c>
      <c r="B21" s="15" t="s">
        <v>159</v>
      </c>
      <c r="C21" s="12" t="s">
        <v>265</v>
      </c>
      <c r="D21" s="12"/>
      <c r="E21" s="12"/>
    </row>
    <row r="22" spans="1:5" x14ac:dyDescent="0.25">
      <c r="A22" s="12" t="s">
        <v>160</v>
      </c>
      <c r="B22" s="15" t="s">
        <v>154</v>
      </c>
      <c r="C22" s="12" t="s">
        <v>266</v>
      </c>
      <c r="D22" s="12" t="s">
        <v>164</v>
      </c>
      <c r="E22" s="12">
        <v>30519</v>
      </c>
    </row>
    <row r="23" spans="1:5" x14ac:dyDescent="0.25">
      <c r="A23" s="12" t="s">
        <v>114</v>
      </c>
      <c r="B23" s="15" t="s">
        <v>161</v>
      </c>
      <c r="C23" s="12" t="s">
        <v>265</v>
      </c>
      <c r="D23" s="12"/>
      <c r="E23" s="12"/>
    </row>
    <row r="24" spans="1:5" x14ac:dyDescent="0.25">
      <c r="A24" s="12" t="s">
        <v>105</v>
      </c>
      <c r="B24" s="15" t="s">
        <v>105</v>
      </c>
      <c r="C24" s="12" t="s">
        <v>265</v>
      </c>
      <c r="D24" s="12"/>
      <c r="E24" s="12"/>
    </row>
    <row r="25" spans="1:5" x14ac:dyDescent="0.25">
      <c r="A25" s="12" t="s">
        <v>162</v>
      </c>
      <c r="B25" s="15" t="s">
        <v>159</v>
      </c>
      <c r="C25" s="12" t="s">
        <v>266</v>
      </c>
      <c r="D25" s="12" t="s">
        <v>276</v>
      </c>
      <c r="E25" s="12">
        <v>30454</v>
      </c>
    </row>
    <row r="26" spans="1:5" x14ac:dyDescent="0.25">
      <c r="A26" s="12" t="s">
        <v>163</v>
      </c>
      <c r="B26" s="15" t="s">
        <v>164</v>
      </c>
      <c r="C26" s="12" t="s">
        <v>265</v>
      </c>
      <c r="D26" s="12"/>
      <c r="E26" s="12"/>
    </row>
    <row r="27" spans="1:5" x14ac:dyDescent="0.25">
      <c r="A27" s="12" t="s">
        <v>165</v>
      </c>
      <c r="B27" s="15" t="s">
        <v>81</v>
      </c>
      <c r="C27" s="12" t="s">
        <v>265</v>
      </c>
      <c r="D27" s="12"/>
      <c r="E27" s="12"/>
    </row>
    <row r="28" spans="1:5" x14ac:dyDescent="0.25">
      <c r="A28" s="12" t="s">
        <v>166</v>
      </c>
      <c r="B28" s="15" t="s">
        <v>167</v>
      </c>
      <c r="C28" s="12" t="s">
        <v>265</v>
      </c>
      <c r="D28" s="12"/>
      <c r="E28" s="12"/>
    </row>
    <row r="29" spans="1:5" x14ac:dyDescent="0.25">
      <c r="A29" s="12" t="s">
        <v>168</v>
      </c>
      <c r="B29" s="15" t="s">
        <v>169</v>
      </c>
      <c r="C29" s="12" t="s">
        <v>265</v>
      </c>
      <c r="D29" s="12"/>
      <c r="E29" s="12"/>
    </row>
    <row r="30" spans="1:5" x14ac:dyDescent="0.25">
      <c r="A30" s="12" t="s">
        <v>170</v>
      </c>
      <c r="B30" s="15" t="s">
        <v>171</v>
      </c>
      <c r="C30" s="12" t="s">
        <v>265</v>
      </c>
      <c r="D30" s="12"/>
      <c r="E30" s="12"/>
    </row>
    <row r="31" spans="1:5" x14ac:dyDescent="0.25">
      <c r="A31" s="12" t="s">
        <v>172</v>
      </c>
      <c r="B31" s="15" t="s">
        <v>173</v>
      </c>
      <c r="C31" s="12" t="s">
        <v>266</v>
      </c>
      <c r="D31" s="12" t="s">
        <v>268</v>
      </c>
      <c r="E31" s="12"/>
    </row>
    <row r="32" spans="1:5" x14ac:dyDescent="0.25">
      <c r="A32" s="12" t="s">
        <v>174</v>
      </c>
      <c r="B32" s="15" t="s">
        <v>175</v>
      </c>
      <c r="C32" s="12" t="s">
        <v>265</v>
      </c>
      <c r="D32" s="12"/>
      <c r="E32" s="12"/>
    </row>
    <row r="33" spans="1:5" x14ac:dyDescent="0.25">
      <c r="A33" s="12" t="s">
        <v>176</v>
      </c>
      <c r="B33" s="15" t="s">
        <v>177</v>
      </c>
      <c r="C33" s="12" t="s">
        <v>265</v>
      </c>
      <c r="D33" s="12"/>
      <c r="E33" s="12"/>
    </row>
    <row r="34" spans="1:5" x14ac:dyDescent="0.25">
      <c r="A34" s="12" t="s">
        <v>178</v>
      </c>
      <c r="B34" s="15" t="s">
        <v>179</v>
      </c>
      <c r="C34" s="12" t="s">
        <v>265</v>
      </c>
      <c r="D34" s="12"/>
      <c r="E34" s="12"/>
    </row>
    <row r="35" spans="1:5" x14ac:dyDescent="0.25">
      <c r="A35" s="12" t="s">
        <v>180</v>
      </c>
      <c r="B35" s="15" t="s">
        <v>135</v>
      </c>
      <c r="C35" s="12" t="s">
        <v>265</v>
      </c>
      <c r="D35" s="12" t="s">
        <v>136</v>
      </c>
      <c r="E35" s="12">
        <v>30485</v>
      </c>
    </row>
    <row r="36" spans="1:5" x14ac:dyDescent="0.25">
      <c r="A36" s="12" t="s">
        <v>181</v>
      </c>
      <c r="B36" s="15" t="s">
        <v>182</v>
      </c>
      <c r="C36" s="12" t="s">
        <v>265</v>
      </c>
      <c r="D36" s="12"/>
      <c r="E36" s="12"/>
    </row>
    <row r="37" spans="1:5" x14ac:dyDescent="0.25">
      <c r="A37" s="12" t="s">
        <v>183</v>
      </c>
      <c r="B37" s="15" t="s">
        <v>184</v>
      </c>
      <c r="C37" s="12" t="s">
        <v>266</v>
      </c>
      <c r="D37" s="12" t="s">
        <v>279</v>
      </c>
      <c r="E37" s="16">
        <v>17557</v>
      </c>
    </row>
    <row r="38" spans="1:5" x14ac:dyDescent="0.25">
      <c r="A38" s="12" t="s">
        <v>185</v>
      </c>
      <c r="B38" s="15" t="s">
        <v>173</v>
      </c>
      <c r="C38" s="12" t="s">
        <v>265</v>
      </c>
      <c r="D38" s="12"/>
      <c r="E38" s="12"/>
    </row>
    <row r="39" spans="1:5" x14ac:dyDescent="0.25">
      <c r="A39" s="12" t="s">
        <v>186</v>
      </c>
      <c r="B39" s="15" t="s">
        <v>8</v>
      </c>
      <c r="C39" s="12" t="s">
        <v>265</v>
      </c>
      <c r="D39" s="12"/>
      <c r="E39" s="12"/>
    </row>
    <row r="40" spans="1:5" x14ac:dyDescent="0.25">
      <c r="A40" s="12" t="s">
        <v>187</v>
      </c>
      <c r="B40" s="15" t="s">
        <v>188</v>
      </c>
      <c r="C40" s="12" t="s">
        <v>265</v>
      </c>
      <c r="D40" s="12"/>
      <c r="E40" s="12"/>
    </row>
    <row r="41" spans="1:5" x14ac:dyDescent="0.25">
      <c r="A41" s="12" t="s">
        <v>189</v>
      </c>
      <c r="B41" s="15" t="s">
        <v>190</v>
      </c>
      <c r="C41" s="12" t="s">
        <v>266</v>
      </c>
      <c r="D41" s="12" t="s">
        <v>282</v>
      </c>
      <c r="E41" s="16">
        <v>17555</v>
      </c>
    </row>
    <row r="42" spans="1:5" x14ac:dyDescent="0.25">
      <c r="A42" s="12" t="s">
        <v>191</v>
      </c>
      <c r="B42" s="15" t="s">
        <v>192</v>
      </c>
      <c r="C42" s="12" t="s">
        <v>266</v>
      </c>
      <c r="D42" s="12" t="s">
        <v>277</v>
      </c>
      <c r="E42" s="12">
        <v>17553</v>
      </c>
    </row>
    <row r="43" spans="1:5" x14ac:dyDescent="0.25">
      <c r="A43" s="12" t="s">
        <v>16</v>
      </c>
      <c r="B43" s="15" t="s">
        <v>132</v>
      </c>
      <c r="C43" s="12" t="s">
        <v>266</v>
      </c>
      <c r="D43" s="12" t="s">
        <v>278</v>
      </c>
      <c r="E43" s="12">
        <v>30484</v>
      </c>
    </row>
    <row r="44" spans="1:5" x14ac:dyDescent="0.25">
      <c r="A44" s="12" t="s">
        <v>193</v>
      </c>
      <c r="B44" s="15" t="s">
        <v>194</v>
      </c>
      <c r="C44" s="12" t="s">
        <v>265</v>
      </c>
      <c r="D44" s="12"/>
      <c r="E44" s="12"/>
    </row>
    <row r="45" spans="1:5" x14ac:dyDescent="0.25">
      <c r="A45" s="12" t="s">
        <v>195</v>
      </c>
      <c r="B45" s="15" t="s">
        <v>196</v>
      </c>
      <c r="C45" s="12" t="s">
        <v>265</v>
      </c>
      <c r="D45" s="12"/>
      <c r="E45" s="12"/>
    </row>
    <row r="46" spans="1:5" x14ac:dyDescent="0.25">
      <c r="A46" s="12" t="s">
        <v>197</v>
      </c>
      <c r="B46" s="15" t="s">
        <v>198</v>
      </c>
      <c r="C46" s="12" t="s">
        <v>265</v>
      </c>
      <c r="D46" s="12"/>
      <c r="E46" s="12"/>
    </row>
    <row r="47" spans="1:5" x14ac:dyDescent="0.25">
      <c r="A47" s="12" t="s">
        <v>199</v>
      </c>
      <c r="B47" s="15" t="s">
        <v>200</v>
      </c>
      <c r="C47" s="12" t="s">
        <v>265</v>
      </c>
      <c r="D47" s="12"/>
      <c r="E47" s="12"/>
    </row>
    <row r="48" spans="1:5" x14ac:dyDescent="0.25">
      <c r="A48" s="12" t="s">
        <v>201</v>
      </c>
      <c r="B48" s="15" t="s">
        <v>202</v>
      </c>
      <c r="C48" s="12" t="s">
        <v>265</v>
      </c>
      <c r="D48" s="12"/>
      <c r="E48" s="12"/>
    </row>
    <row r="49" spans="1:5" x14ac:dyDescent="0.25">
      <c r="A49" s="12" t="s">
        <v>203</v>
      </c>
      <c r="B49" s="15" t="s">
        <v>204</v>
      </c>
      <c r="C49" s="12" t="s">
        <v>265</v>
      </c>
      <c r="D49" s="12"/>
      <c r="E49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tabSelected="1" workbookViewId="0">
      <selection activeCell="A3" sqref="A3"/>
    </sheetView>
  </sheetViews>
  <sheetFormatPr defaultRowHeight="15" x14ac:dyDescent="0.25"/>
  <cols>
    <col min="1" max="2" width="65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262</v>
      </c>
      <c r="D1" s="2" t="s">
        <v>263</v>
      </c>
      <c r="E1" s="3" t="s">
        <v>264</v>
      </c>
      <c r="G1" s="4" t="s">
        <v>265</v>
      </c>
      <c r="H1" s="5">
        <f>COUNTIF(C:C,G1)</f>
        <v>38</v>
      </c>
    </row>
    <row r="2" spans="1:8" x14ac:dyDescent="0.25">
      <c r="A2" s="12" t="s">
        <v>127</v>
      </c>
      <c r="B2" s="12" t="s">
        <v>128</v>
      </c>
      <c r="C2" s="12" t="s">
        <v>265</v>
      </c>
      <c r="D2" s="12"/>
      <c r="E2" s="12"/>
      <c r="G2" s="6" t="s">
        <v>266</v>
      </c>
      <c r="H2" s="7">
        <f>COUNTIF(C:C,G2)</f>
        <v>14</v>
      </c>
    </row>
    <row r="3" spans="1:8" ht="15.75" thickBot="1" x14ac:dyDescent="0.3">
      <c r="A3" s="12" t="s">
        <v>129</v>
      </c>
      <c r="B3" s="12" t="s">
        <v>8</v>
      </c>
      <c r="C3" s="12" t="s">
        <v>265</v>
      </c>
      <c r="D3" s="12"/>
      <c r="E3" s="12"/>
      <c r="G3" s="8" t="s">
        <v>267</v>
      </c>
      <c r="H3" s="9">
        <f>H1/SUM(H1:H2)</f>
        <v>0.73076923076923073</v>
      </c>
    </row>
    <row r="4" spans="1:8" x14ac:dyDescent="0.25">
      <c r="A4" s="12" t="s">
        <v>233</v>
      </c>
      <c r="B4" s="12" t="s">
        <v>131</v>
      </c>
      <c r="C4" s="12" t="s">
        <v>265</v>
      </c>
      <c r="D4" s="12"/>
      <c r="E4" s="12"/>
    </row>
    <row r="5" spans="1:8" x14ac:dyDescent="0.25">
      <c r="A5" s="12" t="s">
        <v>16</v>
      </c>
      <c r="B5" s="12" t="s">
        <v>132</v>
      </c>
      <c r="C5" s="12" t="s">
        <v>265</v>
      </c>
      <c r="D5" s="12"/>
      <c r="E5" s="12"/>
    </row>
    <row r="6" spans="1:8" x14ac:dyDescent="0.25">
      <c r="A6" s="12" t="s">
        <v>234</v>
      </c>
      <c r="B6" s="12" t="s">
        <v>235</v>
      </c>
      <c r="C6" s="12" t="s">
        <v>265</v>
      </c>
      <c r="D6" s="12"/>
      <c r="E6" s="12"/>
    </row>
    <row r="7" spans="1:8" x14ac:dyDescent="0.25">
      <c r="A7" s="12" t="s">
        <v>135</v>
      </c>
      <c r="B7" s="12" t="s">
        <v>136</v>
      </c>
      <c r="C7" s="12" t="s">
        <v>266</v>
      </c>
      <c r="D7" s="12" t="s">
        <v>135</v>
      </c>
      <c r="E7" s="12">
        <v>30481</v>
      </c>
    </row>
    <row r="8" spans="1:8" x14ac:dyDescent="0.25">
      <c r="A8" s="12" t="s">
        <v>139</v>
      </c>
      <c r="B8" s="12" t="s">
        <v>140</v>
      </c>
      <c r="C8" s="12" t="s">
        <v>265</v>
      </c>
      <c r="D8" s="12"/>
      <c r="E8" s="12"/>
    </row>
    <row r="9" spans="1:8" x14ac:dyDescent="0.25">
      <c r="A9" s="12" t="s">
        <v>236</v>
      </c>
      <c r="B9" s="12" t="s">
        <v>237</v>
      </c>
      <c r="C9" s="12" t="s">
        <v>265</v>
      </c>
      <c r="D9" s="12"/>
      <c r="E9" s="12"/>
    </row>
    <row r="10" spans="1:8" x14ac:dyDescent="0.25">
      <c r="A10" s="12" t="s">
        <v>143</v>
      </c>
      <c r="B10" s="12" t="s">
        <v>144</v>
      </c>
      <c r="C10" s="12" t="s">
        <v>265</v>
      </c>
      <c r="D10" s="12"/>
      <c r="E10" s="12"/>
    </row>
    <row r="11" spans="1:8" x14ac:dyDescent="0.25">
      <c r="A11" s="12" t="s">
        <v>238</v>
      </c>
      <c r="B11" s="12" t="s">
        <v>146</v>
      </c>
      <c r="C11" s="12" t="s">
        <v>265</v>
      </c>
      <c r="D11" s="12"/>
      <c r="E11" s="12"/>
    </row>
    <row r="12" spans="1:8" x14ac:dyDescent="0.25">
      <c r="A12" s="12" t="s">
        <v>239</v>
      </c>
      <c r="B12" s="12" t="s">
        <v>150</v>
      </c>
      <c r="C12" s="12" t="s">
        <v>265</v>
      </c>
      <c r="D12" s="12"/>
      <c r="E12" s="12"/>
    </row>
    <row r="13" spans="1:8" x14ac:dyDescent="0.25">
      <c r="A13" s="12" t="s">
        <v>137</v>
      </c>
      <c r="B13" s="12" t="s">
        <v>138</v>
      </c>
      <c r="C13" s="12" t="s">
        <v>266</v>
      </c>
      <c r="D13" s="12" t="s">
        <v>237</v>
      </c>
      <c r="E13" s="12">
        <v>17542</v>
      </c>
    </row>
    <row r="14" spans="1:8" x14ac:dyDescent="0.25">
      <c r="A14" s="12" t="s">
        <v>240</v>
      </c>
      <c r="B14" s="12" t="s">
        <v>237</v>
      </c>
      <c r="C14" s="12" t="s">
        <v>265</v>
      </c>
      <c r="D14" s="12"/>
      <c r="E14" s="12"/>
    </row>
    <row r="15" spans="1:8" x14ac:dyDescent="0.25">
      <c r="A15" s="12" t="s">
        <v>241</v>
      </c>
      <c r="B15" s="12" t="s">
        <v>148</v>
      </c>
      <c r="C15" s="12" t="s">
        <v>265</v>
      </c>
      <c r="D15" s="12"/>
      <c r="E15" s="12"/>
    </row>
    <row r="16" spans="1:8" x14ac:dyDescent="0.25">
      <c r="A16" s="12" t="s">
        <v>151</v>
      </c>
      <c r="B16" s="12" t="s">
        <v>151</v>
      </c>
      <c r="C16" s="12" t="s">
        <v>265</v>
      </c>
      <c r="D16" s="12"/>
      <c r="E16" s="12"/>
    </row>
    <row r="17" spans="1:5" x14ac:dyDescent="0.25">
      <c r="A17" s="12" t="s">
        <v>152</v>
      </c>
      <c r="B17" s="12" t="s">
        <v>8</v>
      </c>
      <c r="C17" s="12" t="s">
        <v>265</v>
      </c>
      <c r="D17" s="12"/>
      <c r="E17" s="12"/>
    </row>
    <row r="18" spans="1:5" x14ac:dyDescent="0.25">
      <c r="A18" s="12" t="s">
        <v>153</v>
      </c>
      <c r="B18" s="12" t="s">
        <v>154</v>
      </c>
      <c r="C18" s="12" t="s">
        <v>265</v>
      </c>
      <c r="D18" s="12"/>
      <c r="E18" s="12"/>
    </row>
    <row r="19" spans="1:5" x14ac:dyDescent="0.25">
      <c r="A19" s="12" t="s">
        <v>82</v>
      </c>
      <c r="B19" s="12" t="s">
        <v>155</v>
      </c>
      <c r="C19" s="12" t="s">
        <v>265</v>
      </c>
      <c r="D19" s="12"/>
      <c r="E19" s="12"/>
    </row>
    <row r="20" spans="1:5" x14ac:dyDescent="0.25">
      <c r="A20" s="12" t="s">
        <v>156</v>
      </c>
      <c r="B20" s="12" t="s">
        <v>157</v>
      </c>
      <c r="C20" s="12" t="s">
        <v>266</v>
      </c>
      <c r="D20" s="12" t="s">
        <v>275</v>
      </c>
      <c r="E20" s="12">
        <v>30497</v>
      </c>
    </row>
    <row r="21" spans="1:5" x14ac:dyDescent="0.25">
      <c r="A21" s="12" t="s">
        <v>158</v>
      </c>
      <c r="B21" s="12" t="s">
        <v>154</v>
      </c>
      <c r="C21" s="12" t="s">
        <v>265</v>
      </c>
      <c r="D21" s="12"/>
      <c r="E21" s="12"/>
    </row>
    <row r="22" spans="1:5" x14ac:dyDescent="0.25">
      <c r="A22" s="12" t="s">
        <v>87</v>
      </c>
      <c r="B22" s="12" t="s">
        <v>159</v>
      </c>
      <c r="C22" s="12" t="s">
        <v>265</v>
      </c>
      <c r="D22" s="12"/>
      <c r="E22" s="12"/>
    </row>
    <row r="23" spans="1:5" x14ac:dyDescent="0.25">
      <c r="A23" s="12" t="s">
        <v>160</v>
      </c>
      <c r="B23" s="12" t="s">
        <v>154</v>
      </c>
      <c r="C23" s="12" t="s">
        <v>266</v>
      </c>
      <c r="D23" s="12" t="s">
        <v>164</v>
      </c>
      <c r="E23" s="12">
        <v>30519</v>
      </c>
    </row>
    <row r="24" spans="1:5" x14ac:dyDescent="0.25">
      <c r="A24" s="12" t="s">
        <v>114</v>
      </c>
      <c r="B24" s="12" t="s">
        <v>161</v>
      </c>
      <c r="C24" s="12" t="s">
        <v>265</v>
      </c>
      <c r="D24" s="12"/>
      <c r="E24" s="12"/>
    </row>
    <row r="25" spans="1:5" x14ac:dyDescent="0.25">
      <c r="A25" s="12" t="s">
        <v>105</v>
      </c>
      <c r="B25" s="12" t="s">
        <v>105</v>
      </c>
      <c r="C25" s="12" t="s">
        <v>265</v>
      </c>
      <c r="D25" s="12"/>
      <c r="E25" s="12"/>
    </row>
    <row r="26" spans="1:5" x14ac:dyDescent="0.25">
      <c r="A26" s="12" t="s">
        <v>162</v>
      </c>
      <c r="B26" s="12" t="s">
        <v>159</v>
      </c>
      <c r="C26" s="12" t="s">
        <v>266</v>
      </c>
      <c r="D26" s="12" t="s">
        <v>276</v>
      </c>
      <c r="E26" s="12">
        <v>30454</v>
      </c>
    </row>
    <row r="27" spans="1:5" x14ac:dyDescent="0.25">
      <c r="A27" s="12" t="s">
        <v>163</v>
      </c>
      <c r="B27" s="12" t="s">
        <v>164</v>
      </c>
      <c r="C27" s="12" t="s">
        <v>265</v>
      </c>
      <c r="D27" s="12"/>
      <c r="E27" s="12"/>
    </row>
    <row r="28" spans="1:5" x14ac:dyDescent="0.25">
      <c r="A28" s="12" t="s">
        <v>165</v>
      </c>
      <c r="B28" s="12" t="s">
        <v>81</v>
      </c>
      <c r="C28" s="12" t="s">
        <v>265</v>
      </c>
      <c r="D28" s="12"/>
      <c r="E28" s="12"/>
    </row>
    <row r="29" spans="1:5" x14ac:dyDescent="0.25">
      <c r="A29" s="12" t="s">
        <v>166</v>
      </c>
      <c r="B29" s="12" t="s">
        <v>167</v>
      </c>
      <c r="C29" s="12" t="s">
        <v>265</v>
      </c>
      <c r="D29" s="12"/>
      <c r="E29" s="12"/>
    </row>
    <row r="30" spans="1:5" x14ac:dyDescent="0.25">
      <c r="A30" s="12" t="s">
        <v>242</v>
      </c>
      <c r="B30" s="12" t="s">
        <v>169</v>
      </c>
      <c r="C30" s="12" t="s">
        <v>265</v>
      </c>
      <c r="D30" s="12"/>
      <c r="E30" s="12"/>
    </row>
    <row r="31" spans="1:5" x14ac:dyDescent="0.25">
      <c r="A31" s="12" t="s">
        <v>170</v>
      </c>
      <c r="B31" s="12" t="s">
        <v>171</v>
      </c>
      <c r="C31" s="12" t="s">
        <v>265</v>
      </c>
      <c r="D31" s="12"/>
      <c r="E31" s="12"/>
    </row>
    <row r="32" spans="1:5" x14ac:dyDescent="0.25">
      <c r="A32" s="12" t="s">
        <v>172</v>
      </c>
      <c r="B32" s="12" t="s">
        <v>173</v>
      </c>
      <c r="C32" s="12" t="s">
        <v>266</v>
      </c>
      <c r="D32" s="12" t="s">
        <v>268</v>
      </c>
      <c r="E32" s="12"/>
    </row>
    <row r="33" spans="1:5" x14ac:dyDescent="0.25">
      <c r="A33" s="12" t="s">
        <v>174</v>
      </c>
      <c r="B33" s="12" t="s">
        <v>175</v>
      </c>
      <c r="C33" s="12" t="s">
        <v>265</v>
      </c>
      <c r="D33" s="12"/>
      <c r="E33" s="12"/>
    </row>
    <row r="34" spans="1:5" x14ac:dyDescent="0.25">
      <c r="A34" s="12" t="s">
        <v>243</v>
      </c>
      <c r="B34" s="12" t="s">
        <v>177</v>
      </c>
      <c r="C34" s="12" t="s">
        <v>265</v>
      </c>
      <c r="D34" s="12"/>
      <c r="E34" s="12"/>
    </row>
    <row r="35" spans="1:5" x14ac:dyDescent="0.25">
      <c r="A35" s="12" t="s">
        <v>244</v>
      </c>
      <c r="B35" s="12" t="s">
        <v>245</v>
      </c>
      <c r="C35" s="12" t="s">
        <v>266</v>
      </c>
      <c r="D35" s="12" t="s">
        <v>179</v>
      </c>
      <c r="E35" s="16">
        <v>17545</v>
      </c>
    </row>
    <row r="36" spans="1:5" x14ac:dyDescent="0.25">
      <c r="A36" s="12" t="s">
        <v>180</v>
      </c>
      <c r="B36" s="12" t="s">
        <v>135</v>
      </c>
      <c r="C36" s="12" t="s">
        <v>266</v>
      </c>
      <c r="D36" s="12" t="s">
        <v>136</v>
      </c>
      <c r="E36" s="12">
        <v>30485</v>
      </c>
    </row>
    <row r="37" spans="1:5" x14ac:dyDescent="0.25">
      <c r="A37" s="12" t="s">
        <v>216</v>
      </c>
      <c r="B37" s="12" t="s">
        <v>246</v>
      </c>
      <c r="C37" s="12" t="s">
        <v>265</v>
      </c>
      <c r="D37" s="12"/>
      <c r="E37" s="12"/>
    </row>
    <row r="38" spans="1:5" x14ac:dyDescent="0.25">
      <c r="A38" s="12" t="s">
        <v>247</v>
      </c>
      <c r="B38" s="12" t="s">
        <v>194</v>
      </c>
      <c r="C38" s="12" t="s">
        <v>266</v>
      </c>
      <c r="D38" s="12" t="s">
        <v>279</v>
      </c>
      <c r="E38" s="12">
        <v>17557</v>
      </c>
    </row>
    <row r="39" spans="1:5" x14ac:dyDescent="0.25">
      <c r="A39" s="12" t="s">
        <v>248</v>
      </c>
      <c r="B39" s="12" t="s">
        <v>184</v>
      </c>
      <c r="C39" s="12" t="s">
        <v>266</v>
      </c>
      <c r="D39" s="12" t="s">
        <v>279</v>
      </c>
      <c r="E39" s="16">
        <v>17557</v>
      </c>
    </row>
    <row r="40" spans="1:5" x14ac:dyDescent="0.25">
      <c r="A40" s="12" t="s">
        <v>249</v>
      </c>
      <c r="B40" s="12" t="s">
        <v>173</v>
      </c>
      <c r="C40" s="12" t="s">
        <v>265</v>
      </c>
      <c r="D40" s="12"/>
      <c r="E40" s="12"/>
    </row>
    <row r="41" spans="1:5" x14ac:dyDescent="0.25">
      <c r="A41" s="12" t="s">
        <v>250</v>
      </c>
      <c r="B41" s="12" t="s">
        <v>8</v>
      </c>
      <c r="C41" s="12" t="s">
        <v>265</v>
      </c>
      <c r="D41" s="12"/>
      <c r="E41" s="12"/>
    </row>
    <row r="42" spans="1:5" x14ac:dyDescent="0.25">
      <c r="A42" s="12" t="s">
        <v>251</v>
      </c>
      <c r="B42" s="12" t="s">
        <v>252</v>
      </c>
      <c r="C42" s="12" t="s">
        <v>266</v>
      </c>
      <c r="D42" s="12" t="s">
        <v>188</v>
      </c>
      <c r="E42" s="16">
        <v>30658</v>
      </c>
    </row>
    <row r="43" spans="1:5" x14ac:dyDescent="0.25">
      <c r="A43" s="12" t="s">
        <v>253</v>
      </c>
      <c r="B43" s="12" t="s">
        <v>190</v>
      </c>
      <c r="C43" s="12" t="s">
        <v>266</v>
      </c>
      <c r="D43" s="12" t="s">
        <v>282</v>
      </c>
      <c r="E43" s="16">
        <v>17555</v>
      </c>
    </row>
    <row r="44" spans="1:5" x14ac:dyDescent="0.25">
      <c r="A44" s="12" t="s">
        <v>16</v>
      </c>
      <c r="B44" s="12" t="s">
        <v>132</v>
      </c>
      <c r="C44" s="12" t="s">
        <v>266</v>
      </c>
      <c r="D44" s="12" t="s">
        <v>278</v>
      </c>
      <c r="E44" s="12">
        <v>30484</v>
      </c>
    </row>
    <row r="45" spans="1:5" x14ac:dyDescent="0.25">
      <c r="A45" s="12" t="s">
        <v>254</v>
      </c>
      <c r="B45" s="12" t="s">
        <v>194</v>
      </c>
      <c r="C45" s="12" t="s">
        <v>265</v>
      </c>
      <c r="D45" s="12"/>
      <c r="E45" s="12"/>
    </row>
    <row r="46" spans="1:5" x14ac:dyDescent="0.25">
      <c r="A46" s="12" t="s">
        <v>255</v>
      </c>
      <c r="B46" s="12" t="s">
        <v>194</v>
      </c>
      <c r="C46" s="12" t="s">
        <v>265</v>
      </c>
      <c r="D46" s="12"/>
      <c r="E46" s="12"/>
    </row>
    <row r="47" spans="1:5" x14ac:dyDescent="0.25">
      <c r="A47" s="12" t="s">
        <v>256</v>
      </c>
      <c r="B47" s="12" t="s">
        <v>237</v>
      </c>
      <c r="C47" s="12" t="s">
        <v>266</v>
      </c>
      <c r="D47" s="12" t="s">
        <v>190</v>
      </c>
      <c r="E47" s="16">
        <v>17543</v>
      </c>
    </row>
    <row r="48" spans="1:5" x14ac:dyDescent="0.25">
      <c r="A48" s="12" t="s">
        <v>257</v>
      </c>
      <c r="B48" s="12" t="s">
        <v>190</v>
      </c>
      <c r="C48" s="12" t="s">
        <v>265</v>
      </c>
      <c r="D48" s="12"/>
      <c r="E48" s="12"/>
    </row>
    <row r="49" spans="1:5" x14ac:dyDescent="0.25">
      <c r="A49" s="12" t="s">
        <v>195</v>
      </c>
      <c r="B49" s="12" t="s">
        <v>196</v>
      </c>
      <c r="C49" s="12" t="s">
        <v>265</v>
      </c>
      <c r="D49" s="12"/>
      <c r="E49" s="12"/>
    </row>
    <row r="50" spans="1:5" x14ac:dyDescent="0.25">
      <c r="A50" s="12" t="s">
        <v>258</v>
      </c>
      <c r="B50" s="12" t="s">
        <v>198</v>
      </c>
      <c r="C50" s="12" t="s">
        <v>265</v>
      </c>
      <c r="D50" s="12"/>
      <c r="E50" s="12"/>
    </row>
    <row r="51" spans="1:5" x14ac:dyDescent="0.25">
      <c r="A51" s="12" t="s">
        <v>259</v>
      </c>
      <c r="B51" s="12" t="s">
        <v>200</v>
      </c>
      <c r="C51" s="12" t="s">
        <v>265</v>
      </c>
      <c r="D51" s="12"/>
      <c r="E51" s="12"/>
    </row>
    <row r="52" spans="1:5" x14ac:dyDescent="0.25">
      <c r="A52" s="12" t="s">
        <v>260</v>
      </c>
      <c r="B52" s="12" t="s">
        <v>202</v>
      </c>
      <c r="C52" s="12" t="s">
        <v>265</v>
      </c>
      <c r="D52" s="12"/>
      <c r="E52" s="12"/>
    </row>
    <row r="53" spans="1:5" x14ac:dyDescent="0.25">
      <c r="A53" s="12" t="s">
        <v>261</v>
      </c>
      <c r="B53" s="12" t="s">
        <v>204</v>
      </c>
      <c r="C53" s="12" t="s">
        <v>265</v>
      </c>
      <c r="D53" s="12"/>
      <c r="E53" s="12"/>
    </row>
  </sheetData>
  <autoFilter ref="A1:H1" xr:uid="{00000000-0001-0000-05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2026-03-23T06:02:27Z</dcterms:created>
  <dcterms:modified xsi:type="dcterms:W3CDTF">2026-03-27T07:03:32Z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2026-03-24T06:48:02Z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fc07680f-67ef-4486-9aae-6d66b2982234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