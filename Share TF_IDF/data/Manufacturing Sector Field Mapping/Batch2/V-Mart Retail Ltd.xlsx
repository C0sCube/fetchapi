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1E56929A-46AA-4651-8C1B-4179BEFE92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4" r:id="rId2"/>
    <sheet name="Standalone Cash Flow" sheetId="2" r:id="rId3"/>
    <sheet name="Segment Reporting Standalon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2"/>
  <c r="H1" i="2"/>
  <c r="H2" i="3"/>
  <c r="H1" i="3"/>
  <c r="H2" i="1"/>
  <c r="H1" i="1"/>
  <c r="H3" i="1" s="1"/>
  <c r="H3" i="4" l="1"/>
  <c r="H3" i="2"/>
  <c r="H3" i="3"/>
</calcChain>
</file>

<file path=xl/sharedStrings.xml><?xml version="1.0" encoding="utf-8"?>
<sst xmlns="http://schemas.openxmlformats.org/spreadsheetml/2006/main" count="447" uniqueCount="229">
  <si>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</si>
  <si>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</si>
  <si>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</si>
  <si>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</si>
  <si>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</si>
  <si>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</si>
  <si>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</si>
  <si>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</si>
  <si>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</si>
  <si>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</si>
  <si>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Purchase ofstock-in-trade</t>
  </si>
  <si>
    <t>Purchase of Stock-in-Trade</t>
  </si>
  <si>
    <t>Changes in inventories ofstock-in-trade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</si>
  <si>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</si>
  <si>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</si>
  <si>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</si>
  <si>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</si>
  <si>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</si>
  <si>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</si>
  <si>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</si>
  <si>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</si>
  <si>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</si>
  <si>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</si>
  <si>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</si>
  <si>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Profit/ (loss) before exceptional Item and tax</t>
  </si>
  <si>
    <t>Profit/(Loss) from Ordinary Activities after Finance Costs but before Exceptional Items</t>
  </si>
  <si>
    <t>Exceptional gain</t>
  </si>
  <si>
    <t>Total Field</t>
  </si>
  <si>
    <t>Profit/(loss) before tax</t>
  </si>
  <si>
    <t>Tax expense</t>
  </si>
  <si>
    <t>Current tax</t>
  </si>
  <si>
    <t>Tax Expense</t>
  </si>
  <si>
    <t>Deferred tax charge/(credit)</t>
  </si>
  <si>
    <t>Deferred Tax</t>
  </si>
  <si>
    <t>Total tax expense/ (credit)</t>
  </si>
  <si>
    <t>Profit for the period/year</t>
  </si>
  <si>
    <t>Net Profit/(Loss) for the Period</t>
  </si>
  <si>
    <t>Other comprehensive Income / (loss)</t>
  </si>
  <si>
    <t>Other Comprehensive Income</t>
  </si>
  <si>
    <t>Items that will not be reclassified to statement of profit or loss</t>
  </si>
  <si>
    <t>Items that will not be reclassified to Profit or Loss</t>
  </si>
  <si>
    <t>Remeasurement gain/ (loss) of net defined benefit obligations</t>
  </si>
  <si>
    <t>Income tax on above</t>
  </si>
  <si>
    <t>Income Tax related to items that will not be reclassified to Profit or Loss</t>
  </si>
  <si>
    <t>Total other comprehensive Income / (loss)</t>
  </si>
  <si>
    <t>Total comprehensive Income for the period / year</t>
  </si>
  <si>
    <t>Total Comprehensive Gain (Loss) For the Year</t>
  </si>
  <si>
    <t>Paid - up equity share capital (face value of Rs.10 each)</t>
  </si>
  <si>
    <t>Paid-Up Equity Share Capital</t>
  </si>
  <si>
    <t>Other equity</t>
  </si>
  <si>
    <t>Reserve excluding Revaluation Reserves (as per Balance Sheet of Previous Accounting Year)</t>
  </si>
  <si>
    <t xml:space="preserve">Earnings/(loss) per share (Nominal value of Rs.10 each) </t>
  </si>
  <si>
    <t>Basic (Rs.)</t>
  </si>
  <si>
    <t>Basic EPS</t>
  </si>
  <si>
    <t>Diluted ( Rs . )</t>
  </si>
  <si>
    <t>Diluted EPS</t>
  </si>
  <si>
    <t>Profit/ ( loss ) before tax</t>
  </si>
  <si>
    <t>Net Profit Before Tax And Exceptional Item</t>
  </si>
  <si>
    <t>Adjustments to reconcile profit before tax to net cash flows:</t>
  </si>
  <si>
    <t>Depreciation and Amortisation Expense</t>
  </si>
  <si>
    <t>Interest Expense</t>
  </si>
  <si>
    <t>Loss on sale / discard of property plant and equipment</t>
  </si>
  <si>
    <t>Loss On Sale Of Fixed Assets</t>
  </si>
  <si>
    <t>Profit on termination of lease</t>
  </si>
  <si>
    <t>Others-Before Working Capital Changes</t>
  </si>
  <si>
    <t>Impairment allowance on other assets</t>
  </si>
  <si>
    <t>Impairment loss / (Reversal of Impairment Loss)</t>
  </si>
  <si>
    <t>Balances written off</t>
  </si>
  <si>
    <t>Miscellaneous Expenditure Written Off</t>
  </si>
  <si>
    <t>Employee stock option expense</t>
  </si>
  <si>
    <t>Employees Stock Options Grants</t>
  </si>
  <si>
    <t>Interest income</t>
  </si>
  <si>
    <t>Interest Received</t>
  </si>
  <si>
    <t>Profit on sale of investments (net)</t>
  </si>
  <si>
    <t>Profit On Sale Of Investments</t>
  </si>
  <si>
    <t>Fair value gain on investment designated at FVTPL</t>
  </si>
  <si>
    <t>Liabilities no longer required written back</t>
  </si>
  <si>
    <t>Other Provisions Written Off</t>
  </si>
  <si>
    <t>Operating profit before working capital changes</t>
  </si>
  <si>
    <t>Operating Profit Before Working Capital Changes</t>
  </si>
  <si>
    <t>Changes In working capital :</t>
  </si>
  <si>
    <t>Increase in financial assets and loans</t>
  </si>
  <si>
    <t>Others-Investing Activities</t>
  </si>
  <si>
    <t>Increase in other assets</t>
  </si>
  <si>
    <t>Other Current and Non Current Assets</t>
  </si>
  <si>
    <t>Increase in inventories</t>
  </si>
  <si>
    <t>Inventories</t>
  </si>
  <si>
    <t>Increase in trade payables</t>
  </si>
  <si>
    <t>Trade Payables And Others</t>
  </si>
  <si>
    <t>Increase in other financial liabilities</t>
  </si>
  <si>
    <t>Adjustments for other financial liabilities, non-current</t>
  </si>
  <si>
    <t>Decrease in other liabilities</t>
  </si>
  <si>
    <t>Other Current and Non Current Liabilities</t>
  </si>
  <si>
    <t>Increase in employee benefit obligations</t>
  </si>
  <si>
    <t>Others-From Operations</t>
  </si>
  <si>
    <t>Cash flow generated from operations</t>
  </si>
  <si>
    <t>Cash Generated From Operations</t>
  </si>
  <si>
    <t>Income tax paid ( net of refunds )</t>
  </si>
  <si>
    <t>Income Tax Paid</t>
  </si>
  <si>
    <t>Net cash flow generated from operating activities</t>
  </si>
  <si>
    <t>Net Cash Flow From Operating Activities</t>
  </si>
  <si>
    <t>Investing activities</t>
  </si>
  <si>
    <t>Purchase of property plant and equipment including intangible assets capital work in progress and capital advances</t>
  </si>
  <si>
    <t>Purchase Of Fixed Assets (Tangible / Intangible)</t>
  </si>
  <si>
    <t>Proceeds from sale of property plant and equipment</t>
  </si>
  <si>
    <t>Sale Of Fixed Assets (Tangible / Intangible)</t>
  </si>
  <si>
    <t>Payment in respect of right of use assets registeration charges</t>
  </si>
  <si>
    <t>Purchase of investments</t>
  </si>
  <si>
    <t>Purchase Of Investments</t>
  </si>
  <si>
    <t>Proceeds from sale of investments</t>
  </si>
  <si>
    <t>Sale Of Investments</t>
  </si>
  <si>
    <t>Interest received</t>
  </si>
  <si>
    <t>Interest Income</t>
  </si>
  <si>
    <t>Investment in bank deposits ( net )</t>
  </si>
  <si>
    <t>Fixed Deposits</t>
  </si>
  <si>
    <t>Net cash flows used in investing activities</t>
  </si>
  <si>
    <t>Net Cash Flow From Investing Activities</t>
  </si>
  <si>
    <t>Financing activities</t>
  </si>
  <si>
    <t>Proceeds from issue of equity shares including securities premium</t>
  </si>
  <si>
    <t>Proceeds From Issue Of Equity Shares (Inclu Share Premium)</t>
  </si>
  <si>
    <t>Bonus equity shares issue expenses</t>
  </si>
  <si>
    <t>Proceeds/ ( repayment ) from / of short term borrowings ( net )</t>
  </si>
  <si>
    <t>Proceeds From Short Term Borrowings</t>
  </si>
  <si>
    <t>Payment of principal portion of lease liabilities</t>
  </si>
  <si>
    <t>Payments of lease liabilities</t>
  </si>
  <si>
    <t>Finance charges on lease liabilities</t>
  </si>
  <si>
    <t>Fin Lease &amp; Rental Charges</t>
  </si>
  <si>
    <t>Finance costs paid</t>
  </si>
  <si>
    <t>Interest Paid</t>
  </si>
  <si>
    <t>Net cash flow used in financing activities</t>
  </si>
  <si>
    <t>Net Cash Flow From Financing Activities</t>
  </si>
  <si>
    <t>Net decrease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</si>
  <si>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</si>
  <si>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</si>
  <si>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</si>
  <si>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</si>
  <si>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</si>
  <si>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Retail Trade</t>
  </si>
  <si>
    <t>Proceeds From Long Term Borrowings</t>
  </si>
  <si>
    <t>Digital Market Place</t>
  </si>
  <si>
    <t>Total Segment Revenue</t>
  </si>
  <si>
    <t>Less: Inter segment revenue</t>
  </si>
  <si>
    <t>Total</t>
  </si>
  <si>
    <t>Segment Results</t>
  </si>
  <si>
    <t>Less: Unallocable finance cost</t>
  </si>
  <si>
    <t>Repayment Of Short Term Borrowings</t>
  </si>
  <si>
    <t>Less: Unallocable depreciation and amortization expense</t>
  </si>
  <si>
    <t>Profit/ (loss) before exceptional item and tax</t>
  </si>
  <si>
    <t>Segment Asset</t>
  </si>
  <si>
    <t>RetaiI Trade</t>
  </si>
  <si>
    <t>Unallocated assets</t>
  </si>
  <si>
    <t>Total Segment Asset</t>
  </si>
  <si>
    <t>Segment Liability</t>
  </si>
  <si>
    <t>Unallocated liabilities</t>
  </si>
  <si>
    <t>Total Segment Liability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</si>
  <si>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</si>
  <si>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</si>
  <si>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</si>
  <si>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</si>
  <si>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</si>
  <si>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Goodwill</t>
  </si>
  <si>
    <t>Other intangible assets</t>
  </si>
  <si>
    <t>Other Intangible Assets</t>
  </si>
  <si>
    <t>Right -of- use assets</t>
  </si>
  <si>
    <t>Right-of-use asset</t>
  </si>
  <si>
    <t>Financial assets</t>
  </si>
  <si>
    <t>Other financial assets</t>
  </si>
  <si>
    <t>Other Non-Current Financial Assets</t>
  </si>
  <si>
    <t>Income tax assets ( net )</t>
  </si>
  <si>
    <t>Current Tax Assets (Net)</t>
  </si>
  <si>
    <t>Deferred tax assets ( net )</t>
  </si>
  <si>
    <t>Deferred Tax Assets (Net)</t>
  </si>
  <si>
    <t>Other non - current assets</t>
  </si>
  <si>
    <t>Other Non-Current Assets</t>
  </si>
  <si>
    <t>Current assets</t>
  </si>
  <si>
    <t>Investments</t>
  </si>
  <si>
    <t>Non-Current Investments</t>
  </si>
  <si>
    <t>Cash and cash equivalents</t>
  </si>
  <si>
    <t>Cash And Cash Equivalents</t>
  </si>
  <si>
    <t>Other bank balances</t>
  </si>
  <si>
    <t>Bank balance other than cash and cash equivalents</t>
  </si>
  <si>
    <t>Loans</t>
  </si>
  <si>
    <t>Loans, Current</t>
  </si>
  <si>
    <t>Other current assets</t>
  </si>
  <si>
    <t>Other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</si>
  <si>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</si>
  <si>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</si>
  <si>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</si>
  <si>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</si>
  <si>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</si>
  <si>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</si>
  <si>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LIABILITIES</t>
  </si>
  <si>
    <t>Non - current liabilities</t>
  </si>
  <si>
    <t>Financial liabilities</t>
  </si>
  <si>
    <t>Lease liabilities</t>
  </si>
  <si>
    <t>Employee benefit obligations</t>
  </si>
  <si>
    <t>Long-Term Provisions</t>
  </si>
  <si>
    <t>Current liabilities</t>
  </si>
  <si>
    <t>Borrowings</t>
  </si>
  <si>
    <t>Trade payables</t>
  </si>
  <si>
    <t>Trade Payables</t>
  </si>
  <si>
    <t>total outstanding dues of micro enterprises and small enterprises</t>
  </si>
  <si>
    <t>total outstauding dues of creditors other than micro enterprises and small enterprises</t>
  </si>
  <si>
    <t>Other financial liabilities</t>
  </si>
  <si>
    <t>Other Non Current Financial Liabilities</t>
  </si>
  <si>
    <t>Current tax liabilities ( net )</t>
  </si>
  <si>
    <t>Current Tax Liabilities (Net)</t>
  </si>
  <si>
    <t>Other current liabilities</t>
  </si>
  <si>
    <t>Other liabilities</t>
  </si>
  <si>
    <t>Total Equity and Liabilities</t>
  </si>
  <si>
    <t>Total Equity And Liabilities</t>
  </si>
  <si>
    <t>Status</t>
  </si>
  <si>
    <t>Correct Field Mapping</t>
  </si>
  <si>
    <t>Field id</t>
  </si>
  <si>
    <t>Correct</t>
  </si>
  <si>
    <t>Incorrect</t>
  </si>
  <si>
    <t>Accuracy %</t>
  </si>
  <si>
    <t>Other Exceptional Items</t>
  </si>
  <si>
    <t>Profit/(Loss) From Ordinary Activities before Tax</t>
  </si>
  <si>
    <t>Label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</si>
  <si>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</si>
  <si>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</si>
  <si>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</si>
  <si>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</si>
  <si>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</si>
  <si>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Adjustments for other financial assets, non-current</t>
  </si>
  <si>
    <t>Provisions</t>
  </si>
  <si>
    <t>Payments of finance lease liabilities</t>
  </si>
  <si>
    <t>Segment not captured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</si>
</sst>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3" borderId="0" xfId="0" applyFill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 x14ac:dyDescent="0.25"/>
  <cols>
    <col min="1" max="1" width="58" bestFit="1" customWidth="1"/>
    <col min="2" max="2" width="84.140625" bestFit="1" customWidth="1"/>
    <col min="4" max="4" width="22.7109375" bestFit="1" customWidth="1"/>
  </cols>
  <sheetData>
    <row r="1" spans="1:8" x14ac:dyDescent="0.25">
      <c r="A1" s="1" t="s">
        <v>0</v>
      </c>
      <c r="B1" s="1" t="s">
        <v>1</v>
      </c>
      <c r="C1" s="2" t="s">
        <v>211</v>
      </c>
      <c r="D1" s="2" t="s">
        <v>212</v>
      </c>
      <c r="E1" s="3" t="s">
        <v>213</v>
      </c>
      <c r="G1" s="4" t="s">
        <v>214</v>
      </c>
      <c r="H1" s="5">
        <f>COUNTIF(C:C,G1)</f>
        <v>26</v>
      </c>
    </row>
    <row r="2" spans="1:8" x14ac:dyDescent="0.25">
      <c r="A2" s="10" t="s">
        <v>2</v>
      </c>
      <c r="B2" s="10" t="s">
        <v>3</v>
      </c>
      <c r="C2" s="10" t="s">
        <v>214</v>
      </c>
      <c r="D2" s="10"/>
      <c r="E2" s="10"/>
      <c r="G2" s="6" t="s">
        <v>215</v>
      </c>
      <c r="H2" s="7">
        <f>COUNTIF(C:C,G2)</f>
        <v>4</v>
      </c>
    </row>
    <row r="3" spans="1:8" ht="15.75" thickBot="1" x14ac:dyDescent="0.3">
      <c r="A3" s="10" t="s">
        <v>4</v>
      </c>
      <c r="B3" s="10" t="s">
        <v>5</v>
      </c>
      <c r="C3" s="10" t="s">
        <v>214</v>
      </c>
      <c r="D3" s="10"/>
      <c r="E3" s="10"/>
      <c r="G3" s="8" t="s">
        <v>216</v>
      </c>
      <c r="H3" s="9">
        <f>H1/SUM(H1:H2)</f>
        <v>0.8666666666666667</v>
      </c>
    </row>
    <row r="4" spans="1:8" x14ac:dyDescent="0.25">
      <c r="A4" s="10" t="s">
        <v>6</v>
      </c>
      <c r="B4" s="10" t="s">
        <v>7</v>
      </c>
      <c r="C4" s="10" t="s">
        <v>214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214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214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214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214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214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214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214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214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214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215</v>
      </c>
      <c r="D14" s="10" t="s">
        <v>217</v>
      </c>
      <c r="E14" s="10">
        <v>278</v>
      </c>
    </row>
    <row r="15" spans="1:8" x14ac:dyDescent="0.25">
      <c r="A15" s="10" t="s">
        <v>28</v>
      </c>
      <c r="B15" s="10" t="s">
        <v>9</v>
      </c>
      <c r="C15" s="10" t="s">
        <v>215</v>
      </c>
      <c r="D15" s="10" t="s">
        <v>218</v>
      </c>
      <c r="E15" s="10">
        <v>296</v>
      </c>
    </row>
    <row r="16" spans="1:8" x14ac:dyDescent="0.25">
      <c r="A16" s="10" t="s">
        <v>29</v>
      </c>
      <c r="B16" s="10" t="s">
        <v>9</v>
      </c>
      <c r="C16" s="10" t="s">
        <v>214</v>
      </c>
      <c r="D16" s="10"/>
      <c r="E16" s="10"/>
    </row>
    <row r="17" spans="1:5" x14ac:dyDescent="0.25">
      <c r="A17" s="10" t="s">
        <v>30</v>
      </c>
      <c r="B17" s="10" t="s">
        <v>31</v>
      </c>
      <c r="C17" s="10" t="s">
        <v>214</v>
      </c>
      <c r="D17" s="10"/>
      <c r="E17" s="10"/>
    </row>
    <row r="18" spans="1:5" x14ac:dyDescent="0.25">
      <c r="A18" s="10" t="s">
        <v>32</v>
      </c>
      <c r="B18" s="10" t="s">
        <v>33</v>
      </c>
      <c r="C18" s="10" t="s">
        <v>214</v>
      </c>
      <c r="D18" s="10"/>
      <c r="E18" s="10"/>
    </row>
    <row r="19" spans="1:5" x14ac:dyDescent="0.25">
      <c r="A19" s="10" t="s">
        <v>34</v>
      </c>
      <c r="B19" s="10" t="s">
        <v>27</v>
      </c>
      <c r="C19" s="10" t="s">
        <v>214</v>
      </c>
      <c r="D19" s="10"/>
      <c r="E19" s="10"/>
    </row>
    <row r="20" spans="1:5" x14ac:dyDescent="0.25">
      <c r="A20" s="10" t="s">
        <v>35</v>
      </c>
      <c r="B20" s="10" t="s">
        <v>36</v>
      </c>
      <c r="C20" s="10" t="s">
        <v>214</v>
      </c>
      <c r="D20" s="10"/>
      <c r="E20" s="10"/>
    </row>
    <row r="21" spans="1:5" x14ac:dyDescent="0.25">
      <c r="A21" s="10" t="s">
        <v>37</v>
      </c>
      <c r="B21" s="10" t="s">
        <v>38</v>
      </c>
      <c r="C21" s="10" t="s">
        <v>215</v>
      </c>
      <c r="D21" s="10" t="s">
        <v>219</v>
      </c>
      <c r="E21" s="10"/>
    </row>
    <row r="22" spans="1:5" x14ac:dyDescent="0.25">
      <c r="A22" s="10" t="s">
        <v>39</v>
      </c>
      <c r="B22" s="10" t="s">
        <v>40</v>
      </c>
      <c r="C22" s="10" t="s">
        <v>215</v>
      </c>
      <c r="D22" s="10" t="s">
        <v>219</v>
      </c>
      <c r="E22" s="10"/>
    </row>
    <row r="23" spans="1:5" x14ac:dyDescent="0.25">
      <c r="A23" s="10" t="s">
        <v>41</v>
      </c>
      <c r="B23" s="10" t="s">
        <v>40</v>
      </c>
      <c r="C23" s="10" t="s">
        <v>214</v>
      </c>
      <c r="D23" s="10"/>
      <c r="E23" s="10"/>
    </row>
    <row r="24" spans="1:5" x14ac:dyDescent="0.25">
      <c r="A24" s="10" t="s">
        <v>42</v>
      </c>
      <c r="B24" s="10" t="s">
        <v>43</v>
      </c>
      <c r="C24" s="10" t="s">
        <v>214</v>
      </c>
      <c r="D24" s="10"/>
      <c r="E24" s="10"/>
    </row>
    <row r="25" spans="1:5" x14ac:dyDescent="0.25">
      <c r="A25" s="10" t="s">
        <v>44</v>
      </c>
      <c r="B25" s="10" t="s">
        <v>38</v>
      </c>
      <c r="C25" s="10" t="s">
        <v>214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214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214</v>
      </c>
      <c r="D27" s="10"/>
      <c r="E27" s="10"/>
    </row>
    <row r="28" spans="1:5" x14ac:dyDescent="0.25">
      <c r="A28" s="10" t="s">
        <v>49</v>
      </c>
      <c r="B28" s="10" t="s">
        <v>50</v>
      </c>
      <c r="C28" s="10" t="s">
        <v>214</v>
      </c>
      <c r="D28" s="10"/>
      <c r="E28" s="10"/>
    </row>
    <row r="29" spans="1:5" x14ac:dyDescent="0.25">
      <c r="A29" s="10" t="s">
        <v>51</v>
      </c>
      <c r="B29" s="10" t="s">
        <v>9</v>
      </c>
      <c r="C29" s="10" t="s">
        <v>214</v>
      </c>
      <c r="D29" s="10"/>
      <c r="E29" s="10"/>
    </row>
    <row r="30" spans="1:5" x14ac:dyDescent="0.25">
      <c r="A30" s="10" t="s">
        <v>52</v>
      </c>
      <c r="B30" s="10" t="s">
        <v>53</v>
      </c>
      <c r="C30" s="10" t="s">
        <v>214</v>
      </c>
      <c r="D30" s="10"/>
      <c r="E30" s="10"/>
    </row>
    <row r="31" spans="1:5" x14ac:dyDescent="0.25">
      <c r="A31" s="10" t="s">
        <v>54</v>
      </c>
      <c r="B31" s="10" t="s">
        <v>55</v>
      </c>
      <c r="C31" s="10" t="s">
        <v>214</v>
      </c>
      <c r="D31" s="10"/>
      <c r="E3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/>
  </sheetViews>
  <sheetFormatPr defaultRowHeight="15" x14ac:dyDescent="0.25"/>
  <cols>
    <col min="1" max="1" width="78.85546875" bestFit="1" customWidth="1"/>
    <col min="2" max="2" width="46.7109375" bestFit="1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211</v>
      </c>
      <c r="D1" s="2" t="s">
        <v>212</v>
      </c>
      <c r="E1" s="3" t="s">
        <v>213</v>
      </c>
      <c r="G1" s="4" t="s">
        <v>214</v>
      </c>
      <c r="H1" s="5">
        <f>COUNTIF(C:C,G1)</f>
        <v>36</v>
      </c>
    </row>
    <row r="2" spans="1:8" x14ac:dyDescent="0.25">
      <c r="A2" s="10" t="s">
        <v>155</v>
      </c>
      <c r="B2" s="10" t="s">
        <v>9</v>
      </c>
      <c r="C2" s="10" t="s">
        <v>214</v>
      </c>
      <c r="D2" s="10"/>
      <c r="E2" s="10"/>
      <c r="G2" s="6" t="s">
        <v>215</v>
      </c>
      <c r="H2" s="7">
        <f>COUNTIF(C:C,G2)</f>
        <v>6</v>
      </c>
    </row>
    <row r="3" spans="1:8" ht="15.75" thickBot="1" x14ac:dyDescent="0.3">
      <c r="A3" s="10" t="s">
        <v>156</v>
      </c>
      <c r="B3" s="10" t="s">
        <v>157</v>
      </c>
      <c r="C3" s="10" t="s">
        <v>214</v>
      </c>
      <c r="D3" s="10"/>
      <c r="E3" s="10"/>
      <c r="G3" s="8" t="s">
        <v>216</v>
      </c>
      <c r="H3" s="9">
        <f>H1/SUM(H1:H2)</f>
        <v>0.8571428571428571</v>
      </c>
    </row>
    <row r="4" spans="1:8" x14ac:dyDescent="0.25">
      <c r="A4" s="10" t="s">
        <v>158</v>
      </c>
      <c r="B4" s="10" t="s">
        <v>159</v>
      </c>
      <c r="C4" s="10" t="s">
        <v>214</v>
      </c>
      <c r="D4" s="10"/>
      <c r="E4" s="10"/>
    </row>
    <row r="5" spans="1:8" x14ac:dyDescent="0.25">
      <c r="A5" s="10" t="s">
        <v>160</v>
      </c>
      <c r="B5" s="10" t="s">
        <v>160</v>
      </c>
      <c r="C5" s="10" t="s">
        <v>214</v>
      </c>
      <c r="D5" s="10"/>
      <c r="E5" s="10"/>
    </row>
    <row r="6" spans="1:8" x14ac:dyDescent="0.25">
      <c r="A6" s="10" t="s">
        <v>161</v>
      </c>
      <c r="B6" s="10" t="s">
        <v>162</v>
      </c>
      <c r="C6" s="10" t="s">
        <v>214</v>
      </c>
      <c r="D6" s="10"/>
      <c r="E6" s="10"/>
    </row>
    <row r="7" spans="1:8" x14ac:dyDescent="0.25">
      <c r="A7" s="10" t="s">
        <v>163</v>
      </c>
      <c r="B7" s="10" t="s">
        <v>164</v>
      </c>
      <c r="C7" s="10" t="s">
        <v>214</v>
      </c>
      <c r="D7" s="10"/>
      <c r="E7" s="10"/>
    </row>
    <row r="8" spans="1:8" x14ac:dyDescent="0.25">
      <c r="A8" s="10" t="s">
        <v>165</v>
      </c>
      <c r="B8" s="10" t="s">
        <v>9</v>
      </c>
      <c r="C8" s="10" t="s">
        <v>214</v>
      </c>
      <c r="D8" s="10"/>
      <c r="E8" s="10"/>
    </row>
    <row r="9" spans="1:8" x14ac:dyDescent="0.25">
      <c r="A9" s="10" t="s">
        <v>166</v>
      </c>
      <c r="B9" s="10" t="s">
        <v>167</v>
      </c>
      <c r="C9" s="10" t="s">
        <v>214</v>
      </c>
      <c r="D9" s="10"/>
      <c r="E9" s="10"/>
    </row>
    <row r="10" spans="1:8" x14ac:dyDescent="0.25">
      <c r="A10" s="10" t="s">
        <v>168</v>
      </c>
      <c r="B10" s="10" t="s">
        <v>169</v>
      </c>
      <c r="C10" s="10" t="s">
        <v>215</v>
      </c>
      <c r="D10" s="10" t="s">
        <v>220</v>
      </c>
      <c r="E10" s="10">
        <v>20215</v>
      </c>
    </row>
    <row r="11" spans="1:8" x14ac:dyDescent="0.25">
      <c r="A11" s="10" t="s">
        <v>170</v>
      </c>
      <c r="B11" s="10" t="s">
        <v>171</v>
      </c>
      <c r="C11" s="10" t="s">
        <v>214</v>
      </c>
      <c r="D11" s="10"/>
      <c r="E11" s="10"/>
    </row>
    <row r="12" spans="1:8" x14ac:dyDescent="0.25">
      <c r="A12" s="10" t="s">
        <v>172</v>
      </c>
      <c r="B12" s="10" t="s">
        <v>173</v>
      </c>
      <c r="C12" s="10" t="s">
        <v>214</v>
      </c>
      <c r="D12" s="10"/>
      <c r="E12" s="10"/>
    </row>
    <row r="13" spans="1:8" x14ac:dyDescent="0.25">
      <c r="A13" s="10" t="s">
        <v>174</v>
      </c>
      <c r="B13" s="10" t="s">
        <v>9</v>
      </c>
      <c r="C13" s="10" t="s">
        <v>214</v>
      </c>
      <c r="D13" s="10"/>
      <c r="E13" s="10"/>
    </row>
    <row r="14" spans="1:8" x14ac:dyDescent="0.25">
      <c r="A14" s="10" t="s">
        <v>86</v>
      </c>
      <c r="B14" s="10" t="s">
        <v>86</v>
      </c>
      <c r="C14" s="10" t="s">
        <v>214</v>
      </c>
      <c r="D14" s="10"/>
      <c r="E14" s="10"/>
    </row>
    <row r="15" spans="1:8" x14ac:dyDescent="0.25">
      <c r="A15" s="10" t="s">
        <v>165</v>
      </c>
      <c r="B15" s="10" t="s">
        <v>9</v>
      </c>
      <c r="C15" s="10" t="s">
        <v>214</v>
      </c>
      <c r="D15" s="10"/>
      <c r="E15" s="10"/>
    </row>
    <row r="16" spans="1:8" x14ac:dyDescent="0.25">
      <c r="A16" s="10" t="s">
        <v>175</v>
      </c>
      <c r="B16" s="10" t="s">
        <v>176</v>
      </c>
      <c r="C16" s="10" t="s">
        <v>215</v>
      </c>
      <c r="D16" s="10" t="s">
        <v>221</v>
      </c>
      <c r="E16" s="10">
        <v>13724</v>
      </c>
    </row>
    <row r="17" spans="1:5" x14ac:dyDescent="0.25">
      <c r="A17" s="10" t="s">
        <v>177</v>
      </c>
      <c r="B17" s="10" t="s">
        <v>178</v>
      </c>
      <c r="C17" s="10" t="s">
        <v>214</v>
      </c>
      <c r="D17" s="10"/>
      <c r="E17" s="10"/>
    </row>
    <row r="18" spans="1:5" x14ac:dyDescent="0.25">
      <c r="A18" s="10" t="s">
        <v>179</v>
      </c>
      <c r="B18" s="10" t="s">
        <v>180</v>
      </c>
      <c r="C18" s="10" t="s">
        <v>214</v>
      </c>
      <c r="D18" s="10"/>
      <c r="E18" s="10"/>
    </row>
    <row r="19" spans="1:5" x14ac:dyDescent="0.25">
      <c r="A19" s="10" t="s">
        <v>181</v>
      </c>
      <c r="B19" s="10" t="s">
        <v>182</v>
      </c>
      <c r="C19" s="10" t="s">
        <v>214</v>
      </c>
      <c r="D19" s="10"/>
      <c r="E19" s="10"/>
    </row>
    <row r="20" spans="1:5" x14ac:dyDescent="0.25">
      <c r="A20" s="10" t="s">
        <v>166</v>
      </c>
      <c r="B20" s="10" t="s">
        <v>167</v>
      </c>
      <c r="C20" s="10" t="s">
        <v>215</v>
      </c>
      <c r="D20" s="10" t="s">
        <v>222</v>
      </c>
      <c r="E20" s="10">
        <v>20231</v>
      </c>
    </row>
    <row r="21" spans="1:5" x14ac:dyDescent="0.25">
      <c r="A21" s="10" t="s">
        <v>183</v>
      </c>
      <c r="B21" s="10" t="s">
        <v>184</v>
      </c>
      <c r="C21" s="10" t="s">
        <v>214</v>
      </c>
      <c r="D21" s="10"/>
      <c r="E21" s="10"/>
    </row>
    <row r="22" spans="1:5" x14ac:dyDescent="0.25">
      <c r="A22" s="10" t="s">
        <v>185</v>
      </c>
      <c r="B22" s="10" t="s">
        <v>185</v>
      </c>
      <c r="C22" s="10" t="s">
        <v>214</v>
      </c>
      <c r="D22" s="10"/>
      <c r="E22" s="10"/>
    </row>
    <row r="23" spans="1:5" x14ac:dyDescent="0.25">
      <c r="A23" s="10" t="s">
        <v>186</v>
      </c>
      <c r="B23" s="10" t="s">
        <v>9</v>
      </c>
      <c r="C23" s="10" t="s">
        <v>214</v>
      </c>
      <c r="D23" s="10"/>
      <c r="E23" s="10"/>
    </row>
    <row r="24" spans="1:5" x14ac:dyDescent="0.25">
      <c r="A24" s="10" t="s">
        <v>187</v>
      </c>
      <c r="B24" s="10" t="s">
        <v>9</v>
      </c>
      <c r="C24" s="10" t="s">
        <v>214</v>
      </c>
      <c r="D24" s="10"/>
      <c r="E24" s="10"/>
    </row>
    <row r="25" spans="1:5" x14ac:dyDescent="0.25">
      <c r="A25" s="10" t="s">
        <v>188</v>
      </c>
      <c r="B25" s="10" t="s">
        <v>189</v>
      </c>
      <c r="C25" s="10" t="s">
        <v>214</v>
      </c>
      <c r="D25" s="10"/>
      <c r="E25" s="10"/>
    </row>
    <row r="26" spans="1:5" x14ac:dyDescent="0.25">
      <c r="A26" s="10" t="s">
        <v>49</v>
      </c>
      <c r="B26" s="10" t="s">
        <v>190</v>
      </c>
      <c r="C26" s="10" t="s">
        <v>214</v>
      </c>
      <c r="D26" s="10"/>
      <c r="E26" s="10"/>
    </row>
    <row r="27" spans="1:5" x14ac:dyDescent="0.25">
      <c r="A27" s="10" t="s">
        <v>191</v>
      </c>
      <c r="B27" s="10" t="s">
        <v>9</v>
      </c>
      <c r="C27" s="10" t="s">
        <v>214</v>
      </c>
      <c r="D27" s="10"/>
      <c r="E27" s="10"/>
    </row>
    <row r="28" spans="1:5" x14ac:dyDescent="0.25">
      <c r="A28" s="10" t="s">
        <v>192</v>
      </c>
      <c r="B28" s="10" t="s">
        <v>9</v>
      </c>
      <c r="C28" s="10" t="s">
        <v>214</v>
      </c>
      <c r="D28" s="10"/>
      <c r="E28" s="10"/>
    </row>
    <row r="29" spans="1:5" x14ac:dyDescent="0.25">
      <c r="A29" s="10" t="s">
        <v>193</v>
      </c>
      <c r="B29" s="10" t="s">
        <v>9</v>
      </c>
      <c r="C29" s="10" t="s">
        <v>214</v>
      </c>
      <c r="D29" s="10"/>
      <c r="E29" s="10"/>
    </row>
    <row r="30" spans="1:5" x14ac:dyDescent="0.25">
      <c r="A30" s="10" t="s">
        <v>194</v>
      </c>
      <c r="B30" s="10" t="s">
        <v>194</v>
      </c>
      <c r="C30" s="10" t="s">
        <v>214</v>
      </c>
      <c r="D30" s="10"/>
      <c r="E30" s="10"/>
    </row>
    <row r="31" spans="1:5" x14ac:dyDescent="0.25">
      <c r="A31" s="10" t="s">
        <v>195</v>
      </c>
      <c r="B31" s="10" t="s">
        <v>196</v>
      </c>
      <c r="C31" s="10" t="s">
        <v>214</v>
      </c>
      <c r="D31" s="10"/>
      <c r="E31" s="10"/>
    </row>
    <row r="32" spans="1:5" x14ac:dyDescent="0.25">
      <c r="A32" s="10" t="s">
        <v>197</v>
      </c>
      <c r="B32" s="10" t="s">
        <v>9</v>
      </c>
      <c r="C32" s="10" t="s">
        <v>214</v>
      </c>
      <c r="D32" s="10"/>
      <c r="E32" s="10"/>
    </row>
    <row r="33" spans="1:5" x14ac:dyDescent="0.25">
      <c r="A33" s="10" t="s">
        <v>193</v>
      </c>
      <c r="B33" s="10" t="s">
        <v>9</v>
      </c>
      <c r="C33" s="10" t="s">
        <v>214</v>
      </c>
      <c r="D33" s="10"/>
      <c r="E33" s="10"/>
    </row>
    <row r="34" spans="1:5" x14ac:dyDescent="0.25">
      <c r="A34" s="10" t="s">
        <v>198</v>
      </c>
      <c r="B34" s="10" t="s">
        <v>198</v>
      </c>
      <c r="C34" s="10" t="s">
        <v>214</v>
      </c>
      <c r="D34" s="10"/>
      <c r="E34" s="10"/>
    </row>
    <row r="35" spans="1:5" x14ac:dyDescent="0.25">
      <c r="A35" s="10" t="s">
        <v>194</v>
      </c>
      <c r="B35" s="10" t="s">
        <v>194</v>
      </c>
      <c r="C35" s="10" t="s">
        <v>214</v>
      </c>
      <c r="D35" s="10"/>
      <c r="E35" s="10"/>
    </row>
    <row r="36" spans="1:5" x14ac:dyDescent="0.25">
      <c r="A36" s="10" t="s">
        <v>199</v>
      </c>
      <c r="B36" s="10" t="s">
        <v>200</v>
      </c>
      <c r="C36" s="10" t="s">
        <v>215</v>
      </c>
      <c r="D36" s="10" t="s">
        <v>219</v>
      </c>
      <c r="E36" s="10"/>
    </row>
    <row r="37" spans="1:5" x14ac:dyDescent="0.25">
      <c r="A37" s="10" t="s">
        <v>201</v>
      </c>
      <c r="B37" s="10" t="s">
        <v>200</v>
      </c>
      <c r="C37" s="10" t="s">
        <v>214</v>
      </c>
      <c r="D37" s="10"/>
      <c r="E37" s="10"/>
    </row>
    <row r="38" spans="1:5" x14ac:dyDescent="0.25">
      <c r="A38" s="10" t="s">
        <v>202</v>
      </c>
      <c r="B38" s="10" t="s">
        <v>200</v>
      </c>
      <c r="C38" s="10" t="s">
        <v>214</v>
      </c>
      <c r="D38" s="10"/>
      <c r="E38" s="10"/>
    </row>
    <row r="39" spans="1:5" x14ac:dyDescent="0.25">
      <c r="A39" s="10" t="s">
        <v>203</v>
      </c>
      <c r="B39" s="10" t="s">
        <v>204</v>
      </c>
      <c r="C39" s="10" t="s">
        <v>215</v>
      </c>
      <c r="D39" s="10" t="s">
        <v>223</v>
      </c>
      <c r="E39" s="10">
        <v>20214</v>
      </c>
    </row>
    <row r="40" spans="1:5" x14ac:dyDescent="0.25">
      <c r="A40" s="10" t="s">
        <v>195</v>
      </c>
      <c r="B40" s="10" t="s">
        <v>196</v>
      </c>
      <c r="C40" s="10" t="s">
        <v>215</v>
      </c>
      <c r="D40" s="10" t="s">
        <v>224</v>
      </c>
      <c r="E40" s="10">
        <v>13767</v>
      </c>
    </row>
    <row r="41" spans="1:5" x14ac:dyDescent="0.25">
      <c r="A41" s="10" t="s">
        <v>205</v>
      </c>
      <c r="B41" s="10" t="s">
        <v>206</v>
      </c>
      <c r="C41" s="10" t="s">
        <v>214</v>
      </c>
      <c r="D41" s="10"/>
      <c r="E41" s="10"/>
    </row>
    <row r="42" spans="1:5" x14ac:dyDescent="0.25">
      <c r="A42" s="10" t="s">
        <v>207</v>
      </c>
      <c r="B42" s="10" t="s">
        <v>208</v>
      </c>
      <c r="C42" s="10" t="s">
        <v>214</v>
      </c>
      <c r="D42" s="10"/>
      <c r="E42" s="10"/>
    </row>
    <row r="43" spans="1:5" x14ac:dyDescent="0.25">
      <c r="A43" s="10" t="s">
        <v>209</v>
      </c>
      <c r="B43" s="10" t="s">
        <v>210</v>
      </c>
      <c r="C43" s="10" t="s">
        <v>214</v>
      </c>
      <c r="D43" s="10"/>
      <c r="E4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6"/>
  <sheetViews>
    <sheetView workbookViewId="0"/>
  </sheetViews>
  <sheetFormatPr defaultRowHeight="15" x14ac:dyDescent="0.25"/>
  <cols>
    <col min="1" max="1" width="59.42578125" customWidth="1"/>
    <col min="2" max="2" width="55.7109375" bestFit="1" customWidth="1"/>
    <col min="4" max="4" width="36.85546875" bestFit="1" customWidth="1"/>
  </cols>
  <sheetData>
    <row r="1" spans="1:8" x14ac:dyDescent="0.25">
      <c r="A1" s="1" t="s">
        <v>0</v>
      </c>
      <c r="B1" s="1" t="s">
        <v>1</v>
      </c>
      <c r="C1" s="2" t="s">
        <v>211</v>
      </c>
      <c r="D1" s="2" t="s">
        <v>212</v>
      </c>
      <c r="E1" s="3" t="s">
        <v>213</v>
      </c>
      <c r="G1" s="4" t="s">
        <v>214</v>
      </c>
      <c r="H1" s="5">
        <f>COUNTIF(C:C,G1)</f>
        <v>38</v>
      </c>
    </row>
    <row r="2" spans="1:8" x14ac:dyDescent="0.25">
      <c r="A2" s="10" t="s">
        <v>56</v>
      </c>
      <c r="B2" s="10" t="s">
        <v>57</v>
      </c>
      <c r="C2" s="10" t="s">
        <v>214</v>
      </c>
      <c r="D2" s="10"/>
      <c r="E2" s="10"/>
      <c r="G2" s="6" t="s">
        <v>215</v>
      </c>
      <c r="H2" s="7">
        <f>COUNTIF(C:C,G2)</f>
        <v>7</v>
      </c>
    </row>
    <row r="3" spans="1:8" ht="15.75" thickBot="1" x14ac:dyDescent="0.3">
      <c r="A3" s="10" t="s">
        <v>58</v>
      </c>
      <c r="B3" s="10" t="s">
        <v>9</v>
      </c>
      <c r="C3" s="10" t="s">
        <v>214</v>
      </c>
      <c r="D3" s="10"/>
      <c r="E3" s="10"/>
      <c r="G3" s="8" t="s">
        <v>216</v>
      </c>
      <c r="H3" s="9">
        <f>H1/SUM(H1:H2)</f>
        <v>0.84444444444444444</v>
      </c>
    </row>
    <row r="4" spans="1:8" x14ac:dyDescent="0.25">
      <c r="A4" s="10" t="s">
        <v>18</v>
      </c>
      <c r="B4" s="10" t="s">
        <v>59</v>
      </c>
      <c r="C4" s="10" t="s">
        <v>214</v>
      </c>
      <c r="D4" s="10"/>
      <c r="E4" s="10"/>
    </row>
    <row r="5" spans="1:8" x14ac:dyDescent="0.25">
      <c r="A5" s="10" t="s">
        <v>16</v>
      </c>
      <c r="B5" s="10" t="s">
        <v>60</v>
      </c>
      <c r="C5" s="10" t="s">
        <v>214</v>
      </c>
      <c r="D5" s="10"/>
      <c r="E5" s="10"/>
    </row>
    <row r="6" spans="1:8" x14ac:dyDescent="0.25">
      <c r="A6" s="10" t="s">
        <v>61</v>
      </c>
      <c r="B6" s="10" t="s">
        <v>62</v>
      </c>
      <c r="C6" s="10" t="s">
        <v>214</v>
      </c>
      <c r="D6" s="10"/>
      <c r="E6" s="10"/>
    </row>
    <row r="7" spans="1:8" x14ac:dyDescent="0.25">
      <c r="A7" s="10" t="s">
        <v>63</v>
      </c>
      <c r="B7" s="10" t="s">
        <v>64</v>
      </c>
      <c r="C7" s="10" t="s">
        <v>214</v>
      </c>
      <c r="D7" s="10"/>
      <c r="E7" s="10"/>
    </row>
    <row r="8" spans="1:8" x14ac:dyDescent="0.25">
      <c r="A8" s="10" t="s">
        <v>65</v>
      </c>
      <c r="B8" s="10" t="s">
        <v>66</v>
      </c>
      <c r="C8" s="10" t="s">
        <v>214</v>
      </c>
      <c r="D8" s="10"/>
      <c r="E8" s="10"/>
    </row>
    <row r="9" spans="1:8" x14ac:dyDescent="0.25">
      <c r="A9" s="10" t="s">
        <v>67</v>
      </c>
      <c r="B9" s="10" t="s">
        <v>68</v>
      </c>
      <c r="C9" s="10" t="s">
        <v>214</v>
      </c>
      <c r="D9" s="10"/>
      <c r="E9" s="10"/>
    </row>
    <row r="10" spans="1:8" x14ac:dyDescent="0.25">
      <c r="A10" s="10" t="s">
        <v>69</v>
      </c>
      <c r="B10" s="10" t="s">
        <v>70</v>
      </c>
      <c r="C10" s="10" t="s">
        <v>214</v>
      </c>
      <c r="D10" s="10"/>
      <c r="E10" s="10"/>
    </row>
    <row r="11" spans="1:8" x14ac:dyDescent="0.25">
      <c r="A11" s="10" t="s">
        <v>71</v>
      </c>
      <c r="B11" s="10" t="s">
        <v>72</v>
      </c>
      <c r="C11" s="10" t="s">
        <v>215</v>
      </c>
      <c r="D11" s="10" t="s">
        <v>112</v>
      </c>
      <c r="E11" s="10">
        <v>30481</v>
      </c>
    </row>
    <row r="12" spans="1:8" x14ac:dyDescent="0.25">
      <c r="A12" s="10" t="s">
        <v>73</v>
      </c>
      <c r="B12" s="10" t="s">
        <v>74</v>
      </c>
      <c r="C12" s="10" t="s">
        <v>214</v>
      </c>
      <c r="D12" s="10"/>
      <c r="E12" s="10"/>
    </row>
    <row r="13" spans="1:8" x14ac:dyDescent="0.25">
      <c r="A13" s="10" t="s">
        <v>75</v>
      </c>
      <c r="B13" s="10" t="s">
        <v>74</v>
      </c>
      <c r="C13" s="10" t="s">
        <v>215</v>
      </c>
      <c r="D13" s="10" t="s">
        <v>64</v>
      </c>
      <c r="E13" s="10">
        <v>17542</v>
      </c>
    </row>
    <row r="14" spans="1:8" x14ac:dyDescent="0.25">
      <c r="A14" s="10" t="s">
        <v>76</v>
      </c>
      <c r="B14" s="10" t="s">
        <v>77</v>
      </c>
      <c r="C14" s="10" t="s">
        <v>214</v>
      </c>
      <c r="D14" s="10"/>
      <c r="E14" s="10"/>
    </row>
    <row r="15" spans="1:8" x14ac:dyDescent="0.25">
      <c r="A15" s="10" t="s">
        <v>78</v>
      </c>
      <c r="B15" s="10" t="s">
        <v>79</v>
      </c>
      <c r="C15" s="10" t="s">
        <v>214</v>
      </c>
      <c r="D15" s="10"/>
      <c r="E15" s="10"/>
    </row>
    <row r="16" spans="1:8" x14ac:dyDescent="0.25">
      <c r="A16" s="10" t="s">
        <v>80</v>
      </c>
      <c r="B16" s="10" t="s">
        <v>9</v>
      </c>
      <c r="C16" s="10" t="s">
        <v>214</v>
      </c>
      <c r="D16" s="10"/>
      <c r="E16" s="10"/>
    </row>
    <row r="17" spans="1:5" x14ac:dyDescent="0.25">
      <c r="A17" s="10" t="s">
        <v>81</v>
      </c>
      <c r="B17" s="10" t="s">
        <v>82</v>
      </c>
      <c r="C17" s="10" t="s">
        <v>215</v>
      </c>
      <c r="D17" s="10" t="s">
        <v>225</v>
      </c>
      <c r="E17" s="11">
        <v>30452</v>
      </c>
    </row>
    <row r="18" spans="1:5" x14ac:dyDescent="0.25">
      <c r="A18" s="10" t="s">
        <v>83</v>
      </c>
      <c r="B18" s="10" t="s">
        <v>84</v>
      </c>
      <c r="C18" s="10" t="s">
        <v>214</v>
      </c>
      <c r="D18" s="10"/>
      <c r="E18" s="10"/>
    </row>
    <row r="19" spans="1:5" x14ac:dyDescent="0.25">
      <c r="A19" s="10" t="s">
        <v>85</v>
      </c>
      <c r="B19" s="10" t="s">
        <v>86</v>
      </c>
      <c r="C19" s="10" t="s">
        <v>214</v>
      </c>
      <c r="D19" s="10"/>
      <c r="E19" s="10"/>
    </row>
    <row r="20" spans="1:5" x14ac:dyDescent="0.25">
      <c r="A20" s="10" t="s">
        <v>87</v>
      </c>
      <c r="B20" s="10" t="s">
        <v>88</v>
      </c>
      <c r="C20" s="10" t="s">
        <v>214</v>
      </c>
      <c r="D20" s="10"/>
      <c r="E20" s="10"/>
    </row>
    <row r="21" spans="1:5" x14ac:dyDescent="0.25">
      <c r="A21" s="10" t="s">
        <v>89</v>
      </c>
      <c r="B21" s="10" t="s">
        <v>90</v>
      </c>
      <c r="C21" s="10" t="s">
        <v>214</v>
      </c>
      <c r="D21" s="10"/>
      <c r="E21" s="10"/>
    </row>
    <row r="22" spans="1:5" x14ac:dyDescent="0.25">
      <c r="A22" s="10" t="s">
        <v>91</v>
      </c>
      <c r="B22" s="10" t="s">
        <v>92</v>
      </c>
      <c r="C22" s="10" t="s">
        <v>214</v>
      </c>
      <c r="D22" s="10"/>
      <c r="E22" s="10"/>
    </row>
    <row r="23" spans="1:5" x14ac:dyDescent="0.25">
      <c r="A23" s="10" t="s">
        <v>93</v>
      </c>
      <c r="B23" s="10" t="s">
        <v>94</v>
      </c>
      <c r="C23" s="10" t="s">
        <v>215</v>
      </c>
      <c r="D23" s="10" t="s">
        <v>226</v>
      </c>
      <c r="E23" s="11">
        <v>30627</v>
      </c>
    </row>
    <row r="24" spans="1:5" x14ac:dyDescent="0.25">
      <c r="A24" s="10" t="s">
        <v>95</v>
      </c>
      <c r="B24" s="10" t="s">
        <v>96</v>
      </c>
      <c r="C24" s="10" t="s">
        <v>214</v>
      </c>
      <c r="D24" s="10"/>
      <c r="E24" s="10"/>
    </row>
    <row r="25" spans="1:5" x14ac:dyDescent="0.25">
      <c r="A25" s="10" t="s">
        <v>97</v>
      </c>
      <c r="B25" s="10" t="s">
        <v>98</v>
      </c>
      <c r="C25" s="10" t="s">
        <v>214</v>
      </c>
      <c r="D25" s="10"/>
      <c r="E25" s="10"/>
    </row>
    <row r="26" spans="1:5" x14ac:dyDescent="0.25">
      <c r="A26" s="10" t="s">
        <v>99</v>
      </c>
      <c r="B26" s="10" t="s">
        <v>100</v>
      </c>
      <c r="C26" s="10" t="s">
        <v>214</v>
      </c>
      <c r="D26" s="10"/>
      <c r="E26" s="10"/>
    </row>
    <row r="27" spans="1:5" x14ac:dyDescent="0.25">
      <c r="A27" s="10" t="s">
        <v>101</v>
      </c>
      <c r="B27" s="10" t="s">
        <v>9</v>
      </c>
      <c r="C27" s="10" t="s">
        <v>214</v>
      </c>
      <c r="D27" s="10"/>
      <c r="E27" s="10"/>
    </row>
    <row r="28" spans="1:5" x14ac:dyDescent="0.25">
      <c r="A28" s="10" t="s">
        <v>102</v>
      </c>
      <c r="B28" s="10" t="s">
        <v>103</v>
      </c>
      <c r="C28" s="10" t="s">
        <v>214</v>
      </c>
      <c r="D28" s="10"/>
      <c r="E28" s="10"/>
    </row>
    <row r="29" spans="1:5" x14ac:dyDescent="0.25">
      <c r="A29" s="10" t="s">
        <v>104</v>
      </c>
      <c r="B29" s="10" t="s">
        <v>105</v>
      </c>
      <c r="C29" s="10" t="s">
        <v>214</v>
      </c>
      <c r="D29" s="10"/>
      <c r="E29" s="10"/>
    </row>
    <row r="30" spans="1:5" x14ac:dyDescent="0.25">
      <c r="A30" s="10" t="s">
        <v>106</v>
      </c>
      <c r="B30" s="10" t="s">
        <v>64</v>
      </c>
      <c r="C30" s="10" t="s">
        <v>215</v>
      </c>
      <c r="D30" s="10" t="s">
        <v>82</v>
      </c>
      <c r="E30" s="10">
        <v>17545</v>
      </c>
    </row>
    <row r="31" spans="1:5" x14ac:dyDescent="0.25">
      <c r="A31" s="10" t="s">
        <v>107</v>
      </c>
      <c r="B31" s="10" t="s">
        <v>108</v>
      </c>
      <c r="C31" s="10" t="s">
        <v>214</v>
      </c>
      <c r="D31" s="10"/>
      <c r="E31" s="10"/>
    </row>
    <row r="32" spans="1:5" x14ac:dyDescent="0.25">
      <c r="A32" s="10" t="s">
        <v>109</v>
      </c>
      <c r="B32" s="10" t="s">
        <v>110</v>
      </c>
      <c r="C32" s="10" t="s">
        <v>214</v>
      </c>
      <c r="D32" s="10"/>
      <c r="E32" s="10"/>
    </row>
    <row r="33" spans="1:5" x14ac:dyDescent="0.25">
      <c r="A33" s="10" t="s">
        <v>111</v>
      </c>
      <c r="B33" s="10" t="s">
        <v>112</v>
      </c>
      <c r="C33" s="10" t="s">
        <v>215</v>
      </c>
      <c r="D33" s="10" t="s">
        <v>72</v>
      </c>
      <c r="E33" s="10">
        <v>30485</v>
      </c>
    </row>
    <row r="34" spans="1:5" x14ac:dyDescent="0.25">
      <c r="A34" s="10" t="s">
        <v>113</v>
      </c>
      <c r="B34" s="10" t="s">
        <v>114</v>
      </c>
      <c r="C34" s="10" t="s">
        <v>214</v>
      </c>
      <c r="D34" s="10"/>
      <c r="E34" s="10"/>
    </row>
    <row r="35" spans="1:5" x14ac:dyDescent="0.25">
      <c r="A35" s="10" t="s">
        <v>115</v>
      </c>
      <c r="B35" s="10" t="s">
        <v>116</v>
      </c>
      <c r="C35" s="10" t="s">
        <v>214</v>
      </c>
      <c r="D35" s="10"/>
      <c r="E35" s="10"/>
    </row>
    <row r="36" spans="1:5" x14ac:dyDescent="0.25">
      <c r="A36" s="10" t="s">
        <v>117</v>
      </c>
      <c r="B36" s="10" t="s">
        <v>9</v>
      </c>
      <c r="C36" s="10" t="s">
        <v>214</v>
      </c>
      <c r="D36" s="10"/>
      <c r="E36" s="10"/>
    </row>
    <row r="37" spans="1:5" x14ac:dyDescent="0.25">
      <c r="A37" s="10" t="s">
        <v>118</v>
      </c>
      <c r="B37" s="10" t="s">
        <v>119</v>
      </c>
      <c r="C37" s="10" t="s">
        <v>214</v>
      </c>
      <c r="D37" s="10"/>
      <c r="E37" s="10"/>
    </row>
    <row r="38" spans="1:5" x14ac:dyDescent="0.25">
      <c r="A38" s="10" t="s">
        <v>120</v>
      </c>
      <c r="B38" s="10" t="s">
        <v>119</v>
      </c>
      <c r="C38" s="10" t="s">
        <v>214</v>
      </c>
      <c r="D38" s="10"/>
      <c r="E38" s="10"/>
    </row>
    <row r="39" spans="1:5" x14ac:dyDescent="0.25">
      <c r="A39" s="10" t="s">
        <v>121</v>
      </c>
      <c r="B39" s="10" t="s">
        <v>122</v>
      </c>
      <c r="C39" s="10" t="s">
        <v>214</v>
      </c>
      <c r="D39" s="10"/>
      <c r="E39" s="10"/>
    </row>
    <row r="40" spans="1:5" x14ac:dyDescent="0.25">
      <c r="A40" s="10" t="s">
        <v>123</v>
      </c>
      <c r="B40" s="10" t="s">
        <v>124</v>
      </c>
      <c r="C40" s="10" t="s">
        <v>214</v>
      </c>
      <c r="D40" s="10"/>
      <c r="E40" s="10"/>
    </row>
    <row r="41" spans="1:5" x14ac:dyDescent="0.25">
      <c r="A41" s="12" t="s">
        <v>125</v>
      </c>
      <c r="B41" s="12" t="s">
        <v>126</v>
      </c>
      <c r="C41" s="12" t="s">
        <v>215</v>
      </c>
      <c r="D41" s="10" t="s">
        <v>227</v>
      </c>
      <c r="E41" s="11">
        <v>30468</v>
      </c>
    </row>
    <row r="42" spans="1:5" x14ac:dyDescent="0.25">
      <c r="A42" s="10" t="s">
        <v>127</v>
      </c>
      <c r="B42" s="10" t="s">
        <v>128</v>
      </c>
      <c r="C42" s="10" t="s">
        <v>214</v>
      </c>
      <c r="D42" s="10"/>
      <c r="E42" s="10"/>
    </row>
    <row r="43" spans="1:5" x14ac:dyDescent="0.25">
      <c r="A43" s="10" t="s">
        <v>129</v>
      </c>
      <c r="B43" s="10" t="s">
        <v>130</v>
      </c>
      <c r="C43" s="10" t="s">
        <v>214</v>
      </c>
      <c r="D43" s="10"/>
      <c r="E43" s="10"/>
    </row>
    <row r="44" spans="1:5" x14ac:dyDescent="0.25">
      <c r="A44" s="10" t="s">
        <v>131</v>
      </c>
      <c r="B44" s="10" t="s">
        <v>132</v>
      </c>
      <c r="C44" s="10" t="s">
        <v>214</v>
      </c>
      <c r="D44" s="10"/>
      <c r="E44" s="10"/>
    </row>
    <row r="45" spans="1:5" x14ac:dyDescent="0.25">
      <c r="A45" s="10" t="s">
        <v>133</v>
      </c>
      <c r="B45" s="10" t="s">
        <v>134</v>
      </c>
      <c r="C45" s="10" t="s">
        <v>214</v>
      </c>
      <c r="D45" s="10"/>
      <c r="E45" s="10"/>
    </row>
    <row r="46" spans="1:5" x14ac:dyDescent="0.25">
      <c r="A46" s="10" t="s">
        <v>135</v>
      </c>
      <c r="B46" s="10" t="s">
        <v>136</v>
      </c>
      <c r="C46" s="10" t="s">
        <v>214</v>
      </c>
      <c r="D46" s="10"/>
      <c r="E46" s="10"/>
    </row>
  </sheetData>
  <conditionalFormatting sqref="B1:B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5" x14ac:dyDescent="0.25"/>
  <cols>
    <col min="1" max="1" width="52.7109375" bestFit="1" customWidth="1"/>
    <col min="2" max="2" width="39.85546875" bestFit="1" customWidth="1"/>
  </cols>
  <sheetData>
    <row r="1" spans="1:8" x14ac:dyDescent="0.25">
      <c r="A1" s="1" t="s">
        <v>0</v>
      </c>
      <c r="B1" s="1" t="s">
        <v>1</v>
      </c>
      <c r="C1" s="2" t="s">
        <v>211</v>
      </c>
      <c r="D1" s="2" t="s">
        <v>212</v>
      </c>
      <c r="E1" s="3" t="s">
        <v>213</v>
      </c>
      <c r="F1" s="13" t="s">
        <v>228</v>
      </c>
      <c r="G1" s="4" t="s">
        <v>214</v>
      </c>
      <c r="H1" s="5">
        <f>COUNTIF(C:C,G1)</f>
        <v>0</v>
      </c>
    </row>
    <row r="2" spans="1:8" x14ac:dyDescent="0.25">
      <c r="A2" t="s">
        <v>137</v>
      </c>
      <c r="B2" t="s">
        <v>138</v>
      </c>
      <c r="G2" s="6"/>
      <c r="H2" s="7">
        <f>COUNTIF(C:C,G2)</f>
        <v>0</v>
      </c>
    </row>
    <row r="3" spans="1:8" ht="15.75" thickBot="1" x14ac:dyDescent="0.3">
      <c r="A3" t="s">
        <v>139</v>
      </c>
      <c r="B3" t="s">
        <v>114</v>
      </c>
      <c r="G3" s="8"/>
      <c r="H3" s="9" t="e">
        <f>H1/SUM(H1:H2)</f>
        <v>#DIV/0!</v>
      </c>
    </row>
    <row r="4" spans="1:8" x14ac:dyDescent="0.25">
      <c r="A4" t="s">
        <v>140</v>
      </c>
      <c r="B4" t="s">
        <v>96</v>
      </c>
    </row>
    <row r="5" spans="1:8" x14ac:dyDescent="0.25">
      <c r="A5" t="s">
        <v>141</v>
      </c>
      <c r="B5" t="s">
        <v>57</v>
      </c>
    </row>
    <row r="6" spans="1:8" x14ac:dyDescent="0.25">
      <c r="A6" t="s">
        <v>142</v>
      </c>
      <c r="B6" t="s">
        <v>27</v>
      </c>
    </row>
    <row r="7" spans="1:8" x14ac:dyDescent="0.25">
      <c r="A7" t="s">
        <v>143</v>
      </c>
      <c r="B7" t="s">
        <v>9</v>
      </c>
    </row>
    <row r="8" spans="1:8" x14ac:dyDescent="0.25">
      <c r="A8" t="s">
        <v>137</v>
      </c>
      <c r="B8" t="s">
        <v>138</v>
      </c>
    </row>
    <row r="9" spans="1:8" x14ac:dyDescent="0.25">
      <c r="A9" t="s">
        <v>139</v>
      </c>
      <c r="B9" t="s">
        <v>114</v>
      </c>
    </row>
    <row r="10" spans="1:8" x14ac:dyDescent="0.25">
      <c r="A10" t="s">
        <v>142</v>
      </c>
      <c r="B10" t="s">
        <v>27</v>
      </c>
    </row>
    <row r="11" spans="1:8" x14ac:dyDescent="0.25">
      <c r="A11" t="s">
        <v>144</v>
      </c>
      <c r="B11" t="s">
        <v>145</v>
      </c>
    </row>
    <row r="12" spans="1:8" x14ac:dyDescent="0.25">
      <c r="A12" t="s">
        <v>146</v>
      </c>
      <c r="B12" t="s">
        <v>59</v>
      </c>
    </row>
    <row r="13" spans="1:8" x14ac:dyDescent="0.25">
      <c r="A13" t="s">
        <v>147</v>
      </c>
      <c r="B13" t="s">
        <v>57</v>
      </c>
    </row>
    <row r="14" spans="1:8" x14ac:dyDescent="0.25">
      <c r="A14" t="s">
        <v>148</v>
      </c>
      <c r="B14" t="s">
        <v>84</v>
      </c>
    </row>
    <row r="15" spans="1:8" x14ac:dyDescent="0.25">
      <c r="A15" t="s">
        <v>149</v>
      </c>
      <c r="B15" t="s">
        <v>88</v>
      </c>
    </row>
    <row r="16" spans="1:8" x14ac:dyDescent="0.25">
      <c r="A16" t="s">
        <v>139</v>
      </c>
      <c r="B16" t="s">
        <v>114</v>
      </c>
    </row>
    <row r="17" spans="1:2" x14ac:dyDescent="0.25">
      <c r="A17" t="s">
        <v>142</v>
      </c>
      <c r="B17" t="s">
        <v>27</v>
      </c>
    </row>
    <row r="18" spans="1:2" x14ac:dyDescent="0.25">
      <c r="A18" t="s">
        <v>150</v>
      </c>
      <c r="B18" t="s">
        <v>84</v>
      </c>
    </row>
    <row r="19" spans="1:2" x14ac:dyDescent="0.25">
      <c r="A19" t="s">
        <v>151</v>
      </c>
      <c r="B19" t="s">
        <v>27</v>
      </c>
    </row>
    <row r="20" spans="1:2" x14ac:dyDescent="0.25">
      <c r="A20" t="s">
        <v>152</v>
      </c>
      <c r="B20" t="s">
        <v>64</v>
      </c>
    </row>
    <row r="21" spans="1:2" x14ac:dyDescent="0.25">
      <c r="A21" t="s">
        <v>137</v>
      </c>
      <c r="B21" t="s">
        <v>138</v>
      </c>
    </row>
    <row r="22" spans="1:2" x14ac:dyDescent="0.25">
      <c r="A22" t="s">
        <v>139</v>
      </c>
      <c r="B22" t="s">
        <v>114</v>
      </c>
    </row>
    <row r="23" spans="1:2" x14ac:dyDescent="0.25">
      <c r="A23" t="s">
        <v>142</v>
      </c>
      <c r="B23" t="s">
        <v>27</v>
      </c>
    </row>
    <row r="24" spans="1:2" x14ac:dyDescent="0.25">
      <c r="A24" t="s">
        <v>153</v>
      </c>
      <c r="B24" t="s">
        <v>77</v>
      </c>
    </row>
    <row r="25" spans="1:2" x14ac:dyDescent="0.25">
      <c r="A25" t="s">
        <v>154</v>
      </c>
      <c r="B25" t="s">
        <v>124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Reporting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2026-03-23T05:37:21Z</dcterms:created>
  <dcterms:modified xsi:type="dcterms:W3CDTF">2026-03-27T10:11:39Z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2026-03-24T11:27:52Z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cd5f9422-3d2e-4039-9a04-ba2a860e532e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