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861940FF-1E76-4BB8-A386-8FD96CE8E6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1" r:id="rId2"/>
    <sheet name="Standalone Balance Sheet" sheetId="7" r:id="rId3"/>
    <sheet name="Consolidated Balance Sheet" sheetId="3" r:id="rId4"/>
    <sheet name="Standalone Cash Flow" sheetId="8" r:id="rId5"/>
    <sheet name="Consolidated Cash Flow" sheetId="4" r:id="rId6"/>
    <sheet name="Segment Reporting Standalone" sheetId="6" r:id="rId7"/>
    <sheet name="Segment Reporting Consolidated" sheetId="2" r:id="rId8"/>
  </sheets>
  <definedNames>
    <definedName name="_xlnm._FilterDatabase" localSheetId="5" hidden="1">'Consolidated Cash Flow'!$A$1:$H$46</definedName>
    <definedName name="_xlnm._FilterDatabase" localSheetId="4" hidden="1">'Standalone Cash Flow'!$A$1:$H$49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2"/>
  <c r="H1" i="2"/>
  <c r="H3" i="2" s="1"/>
  <c r="H2" i="3"/>
  <c r="H1" i="3"/>
  <c r="H2" i="4"/>
  <c r="H1" i="4"/>
  <c r="H2" i="5"/>
  <c r="H1" i="5"/>
  <c r="H2" i="6"/>
  <c r="H1" i="6"/>
  <c r="H3" i="6" s="1"/>
  <c r="H2" i="7"/>
  <c r="H1" i="7"/>
  <c r="H3" i="7" s="1"/>
  <c r="H2" i="8"/>
  <c r="H1" i="8"/>
  <c r="H3" i="8" s="1"/>
  <c r="H3" i="4" l="1"/>
  <c r="H3" i="3"/>
  <c r="H3" i="1"/>
  <c r="H3" i="5"/>
</calcChain>
</file>

<file path=xl/sharedStrings.xml><?xml version="1.0" encoding="utf-8"?>
<sst xmlns="http://schemas.openxmlformats.org/spreadsheetml/2006/main" count="1056" uniqueCount="279">
  <si>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</si>
  <si>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</si>
  <si>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</si>
  <si>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</si>
  <si>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</si>
  <si>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</si>
  <si>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</si>
  <si>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</si>
  <si>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</si>
  <si>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</si>
  <si>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</si>
  <si>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</si>
  <si>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</si>
  <si>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</si>
  <si>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</si>
  <si>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</si>
  <si>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</si>
  <si>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</si>
  <si>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</si>
  <si>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</si>
  <si>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</si>
  <si>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</si>
  <si>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</si>
  <si>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</si>
  <si>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exceptional item and tax</t>
  </si>
  <si>
    <t>Profit/(Loss) from Ordinary Activities after Finance Costs but before Exceptional Items</t>
  </si>
  <si>
    <t>Exceptional item</t>
  </si>
  <si>
    <t>Other Exceptional Items</t>
  </si>
  <si>
    <t>Profit before tax</t>
  </si>
  <si>
    <t>Profit/(Loss) From Ordinary Activities before Tax</t>
  </si>
  <si>
    <t>Tax expenses</t>
  </si>
  <si>
    <t>Current tax</t>
  </si>
  <si>
    <t>Tax Expense</t>
  </si>
  <si>
    <t>Adjustment of tax relating to earlier periods/ year</t>
  </si>
  <si>
    <t>Deferred tax credit</t>
  </si>
  <si>
    <t>Deferred Tax</t>
  </si>
  <si>
    <t>Total Tax expenses</t>
  </si>
  <si>
    <t>Total Field</t>
  </si>
  <si>
    <t>Net Profit for the period / year</t>
  </si>
  <si>
    <t>Net Profit/(Loss) for the Period</t>
  </si>
  <si>
    <t>Other Comprehensive Income</t>
  </si>
  <si>
    <t>Items that will not be reclassified subsequently to profit or ( loss )</t>
  </si>
  <si>
    <t>Items that will not be reclassified to Profit or Loss</t>
  </si>
  <si>
    <t>Remeasurements gain/ ( loss ) on defined benefit plans</t>
  </si>
  <si>
    <t>Income tax relating to above</t>
  </si>
  <si>
    <t>Other Comprehensive Income, net of tax</t>
  </si>
  <si>
    <t>Total Comprehensive Income for the period / year</t>
  </si>
  <si>
    <t>Total Comprehensive Gain (Loss) For the Year</t>
  </si>
  <si>
    <t>Net Profit attributable to</t>
  </si>
  <si>
    <t>Profit (Loss) Attributable To [Total]</t>
  </si>
  <si>
    <t>Owners of the Holding Company</t>
  </si>
  <si>
    <t>Owners of the company</t>
  </si>
  <si>
    <t>Non - Controlling Interest</t>
  </si>
  <si>
    <t>Other Comprehensive Income attributable to</t>
  </si>
  <si>
    <t>Total Comprehensive Income attributable to</t>
  </si>
  <si>
    <t>Paid - up Equity share capital ( Face value of ₹ 2 each )</t>
  </si>
  <si>
    <t>Paid-Up Equity Share Capital</t>
  </si>
  <si>
    <t>Other Equity</t>
  </si>
  <si>
    <t>Reserve excluding Revaluation Reserves (as per Balance Sheet of Previous Accounting Year)</t>
  </si>
  <si>
    <t>Basic (in ₹)</t>
  </si>
  <si>
    <t>Basic EPS</t>
  </si>
  <si>
    <t>Diluted (in ₹)</t>
  </si>
  <si>
    <t>Diluted EPS</t>
  </si>
  <si>
    <t>Electric Consumer Durables</t>
  </si>
  <si>
    <t>Lighting Products</t>
  </si>
  <si>
    <t>Butterfly Products</t>
  </si>
  <si>
    <t>Total Revenue from operations</t>
  </si>
  <si>
    <t>Total Income from Operations (net)</t>
  </si>
  <si>
    <t>Segment Results</t>
  </si>
  <si>
    <t>Profit before exceptional item</t>
  </si>
  <si>
    <t>Total</t>
  </si>
  <si>
    <t>Less : Finance costs</t>
  </si>
  <si>
    <t>Other unallocable expenditure net of unallocated income</t>
  </si>
  <si>
    <t>Segment Assets</t>
  </si>
  <si>
    <t>Unallocable</t>
  </si>
  <si>
    <t>Total Segment Assets</t>
  </si>
  <si>
    <t>Segment Liabilities</t>
  </si>
  <si>
    <t>Total Segment Liabilities</t>
  </si>
  <si>
    <t>Non - current Assets :</t>
  </si>
  <si>
    <t>Property, plant and equipment</t>
  </si>
  <si>
    <t>Property, Plant &amp; Equipment</t>
  </si>
  <si>
    <t>Capital work - in - progress</t>
  </si>
  <si>
    <t>Capital Work-In-Progress</t>
  </si>
  <si>
    <t>Right to use assets</t>
  </si>
  <si>
    <t>Right-of-use asset</t>
  </si>
  <si>
    <t>Goodwill</t>
  </si>
  <si>
    <t>Other intangible assets</t>
  </si>
  <si>
    <t>Other Intangible Assets</t>
  </si>
  <si>
    <t>Intangible assets under development</t>
  </si>
  <si>
    <t>Financial assets</t>
  </si>
  <si>
    <t>Trade receivables</t>
  </si>
  <si>
    <t>Trade Receivables</t>
  </si>
  <si>
    <t>Other financial assets</t>
  </si>
  <si>
    <t>Other Non-Current Financial Assets</t>
  </si>
  <si>
    <t>Deferred tax assets ( net )</t>
  </si>
  <si>
    <t>Deferred Tax Assets (Net)</t>
  </si>
  <si>
    <t>Non - current tax assets</t>
  </si>
  <si>
    <t>Income Tax assets (net)</t>
  </si>
  <si>
    <t>Other non - current assets</t>
  </si>
  <si>
    <t>Other Non-Current Assets</t>
  </si>
  <si>
    <t>Sub - total - Non - current Assets</t>
  </si>
  <si>
    <t>Total Non-Current Assets</t>
  </si>
  <si>
    <t>Current Assets</t>
  </si>
  <si>
    <t>Inventories</t>
  </si>
  <si>
    <t>Investments</t>
  </si>
  <si>
    <t>Non-Current Investments</t>
  </si>
  <si>
    <t>Cash and cash equivalents</t>
  </si>
  <si>
    <t>Cash And Cash Equivalents</t>
  </si>
  <si>
    <t>Bank balances other thanabove</t>
  </si>
  <si>
    <t>Bank balance other than cash and cash equivalents</t>
  </si>
  <si>
    <t>Loans</t>
  </si>
  <si>
    <t>Loans, Current</t>
  </si>
  <si>
    <t>Current tax asset</t>
  </si>
  <si>
    <t>Current Tax Assets (Net)</t>
  </si>
  <si>
    <t>Other current assets</t>
  </si>
  <si>
    <t>Other Current Assets</t>
  </si>
  <si>
    <t>Sub - total -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</si>
  <si>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</si>
  <si>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</si>
  <si>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</si>
  <si>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</si>
  <si>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</si>
  <si>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</si>
  <si>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</si>
  <si>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</si>
  <si>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</si>
  <si>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Non - controlling interests</t>
  </si>
  <si>
    <t>Minority Interest</t>
  </si>
  <si>
    <t>Sub - total - Equity</t>
  </si>
  <si>
    <t>Total Share Holder's Funds</t>
  </si>
  <si>
    <t>Liabilities</t>
  </si>
  <si>
    <t>Non - current Liabilities :</t>
  </si>
  <si>
    <t>Financial liabilities</t>
  </si>
  <si>
    <t>Lease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</si>
  <si>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</si>
  <si>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</si>
  <si>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</si>
  <si>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</si>
  <si>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Provisions</t>
  </si>
  <si>
    <t>Long-Term Provisions</t>
  </si>
  <si>
    <t>Sub - total - Non - current Liabilities</t>
  </si>
  <si>
    <t>Total Non-Current Liabilities</t>
  </si>
  <si>
    <t>Current Liabilities</t>
  </si>
  <si>
    <t>Borrowings</t>
  </si>
  <si>
    <t>Other financial liabilities</t>
  </si>
  <si>
    <t>Other Non Current Financial Liabilities</t>
  </si>
  <si>
    <t>Other current liabilities</t>
  </si>
  <si>
    <t>Other liabilities</t>
  </si>
  <si>
    <t>Current tax liabilities</t>
  </si>
  <si>
    <t>Current Tax Liabilities (Net)</t>
  </si>
  <si>
    <t>Sub - total - Current Liabilities</t>
  </si>
  <si>
    <t>Total Liabilities</t>
  </si>
  <si>
    <t>Total - Equity and Liabilities</t>
  </si>
  <si>
    <t>Total Equity And Liabilities</t>
  </si>
  <si>
    <t>Adjustments for :</t>
  </si>
  <si>
    <t>Depreciation and Amortisation Expense</t>
  </si>
  <si>
    <t>Interest Expense</t>
  </si>
  <si>
    <t>Loss on sale of property, plant and equipment</t>
  </si>
  <si>
    <t>Loss On Sale Of Fixed Assets</t>
  </si>
  <si>
    <t>Share - based payments to employees</t>
  </si>
  <si>
    <t>Employees Stock Options Grants</t>
  </si>
  <si>
    <t>Net gain on sale or fair valuation of investments ( net )</t>
  </si>
  <si>
    <t>Profit On Sale Of Investments</t>
  </si>
  <si>
    <t>Interest income</t>
  </si>
  <si>
    <t>Interest Received</t>
  </si>
  <si>
    <t>Gain on termination of Right - of - use asset</t>
  </si>
  <si>
    <t>Others-Before Working Capital Changes</t>
  </si>
  <si>
    <t>Unrealised exchange loss/ ( gain ) ( net )</t>
  </si>
  <si>
    <t>Foreign Exchange Gain / Loss</t>
  </si>
  <si>
    <t>Cash Generated from operations before working capital changes</t>
  </si>
  <si>
    <t>Operating Profit Before Working Capital Changes</t>
  </si>
  <si>
    <t>Adjustments for</t>
  </si>
  <si>
    <t>(Increase)/ Decrease in trade receivables</t>
  </si>
  <si>
    <t>Trade And Other Receivables</t>
  </si>
  <si>
    <t>Decrease/(Increase ) in inventories</t>
  </si>
  <si>
    <t>Increase in other financial and non financial assets</t>
  </si>
  <si>
    <t>Others-Investing Activities</t>
  </si>
  <si>
    <t>(Decrease)/ Increase in trade payables</t>
  </si>
  <si>
    <t>Trade Payables And Others</t>
  </si>
  <si>
    <t>(Decrease)/ Increase in other financial and non financial liabilities</t>
  </si>
  <si>
    <t>Adjustments for other financial liabilities, non-current</t>
  </si>
  <si>
    <t>Increase/(Decrease ) in provisions</t>
  </si>
  <si>
    <t>Cash generated from operations</t>
  </si>
  <si>
    <t>Cash Generated From Operations</t>
  </si>
  <si>
    <t>Taxes paid ( net of refunds )</t>
  </si>
  <si>
    <t>Income Tax Paid</t>
  </si>
  <si>
    <t>Net cash generated from operating activities</t>
  </si>
  <si>
    <t>Net Cash Flow From Operating Activities</t>
  </si>
  <si>
    <t>CASH FLOWS FROM INVESTING ACTIVITIES</t>
  </si>
  <si>
    <t>Add : Inflows from investing activities</t>
  </si>
  <si>
    <t>Interest received</t>
  </si>
  <si>
    <t>Interest Income</t>
  </si>
  <si>
    <t>Proceeds from current investments ( net )</t>
  </si>
  <si>
    <t>Proceeds From Short Term Borrowings</t>
  </si>
  <si>
    <t>Proceeds from sale of property, plant and equipment</t>
  </si>
  <si>
    <t>Sale Of Fixed Assets (Tangible / Intangible)</t>
  </si>
  <si>
    <t>Proceeds from redemption of term deposits</t>
  </si>
  <si>
    <t>Fixed Deposits</t>
  </si>
  <si>
    <t>Less : Outflows from investing activities</t>
  </si>
  <si>
    <t>Investment in term deposits</t>
  </si>
  <si>
    <t>Purchase of property, plant and equipment and intangible assets (including assets under development &amp; capital advances)</t>
  </si>
  <si>
    <t>Purchase Of Fixed Assets (Tangible / Intangible)</t>
  </si>
  <si>
    <t>Net cash generated from/(used in ) investing activities</t>
  </si>
  <si>
    <t>Net Cash Flow From Investing Activities</t>
  </si>
  <si>
    <t>CASH FLOWS FROM FINANCING ACTIVITIES</t>
  </si>
  <si>
    <t>Add : Inflows from financing activities</t>
  </si>
  <si>
    <t>Proceeds from exercise of employee stock options</t>
  </si>
  <si>
    <t>Others-Financing Activities</t>
  </si>
  <si>
    <t>Proceeds from short - term borrowings</t>
  </si>
  <si>
    <t>Less : Outflows from financing activities</t>
  </si>
  <si>
    <t>Payment of dividend to shareholders</t>
  </si>
  <si>
    <t>Dividend Paid</t>
  </si>
  <si>
    <t>Redemption of non - convertible debentures</t>
  </si>
  <si>
    <t>Proceeds From Issue Of Debentures</t>
  </si>
  <si>
    <t>Payment of lease liabilities</t>
  </si>
  <si>
    <t>Payments of lease liabilities</t>
  </si>
  <si>
    <t>Interest paid</t>
  </si>
  <si>
    <t>Interest Paid</t>
  </si>
  <si>
    <t>Net cash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</si>
  <si>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</si>
  <si>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</si>
  <si>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</si>
  <si>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beginning of the year</t>
  </si>
  <si>
    <t>Cash and Cash Equivalents at the Beginning of the Year</t>
  </si>
  <si>
    <t>Cash and cash equivalents at end of the period/ year</t>
  </si>
  <si>
    <t>Cash and Cash Equivalents at the End of the Year</t>
  </si>
  <si>
    <t>Net ( decrease)/ increase in cash and cash equivalents</t>
  </si>
  <si>
    <t>Deferred tax charge / ( credit )</t>
  </si>
  <si>
    <t>Net Profit for the period/ year</t>
  </si>
  <si>
    <t>Remeasurements gain / ( loss ) on defined benefit plans</t>
  </si>
  <si>
    <t>Income tax relating toabove</t>
  </si>
  <si>
    <t>Income Tax related to items that will be reclassified to Profit or Loss</t>
  </si>
  <si>
    <t>Total Comprehensive Income for the period/ year</t>
  </si>
  <si>
    <t>Paid - up equity share capital ( Face value of ₹ 2 each )</t>
  </si>
  <si>
    <t>Earnings per equity share ( in ₹ ) of face value of ₹ 2 each * ( Not annualised )</t>
  </si>
  <si>
    <t>Basic ( in ₹ )</t>
  </si>
  <si>
    <t>Diluted ( in ₹ )</t>
  </si>
  <si>
    <t>Segment Results ( Profit before exceptional item, tax and finance costs from each segment)</t>
  </si>
  <si>
    <t>Bank balances other than above</t>
  </si>
  <si>
    <t>Net Profit Before Tax And Exceptional Item</t>
  </si>
  <si>
    <t>Gain on termination of Right - to - use asset</t>
  </si>
  <si>
    <t>Dividend received from subsidiaries</t>
  </si>
  <si>
    <t>Dividend Received</t>
  </si>
  <si>
    <t>Unrealised exchange loss ( net )</t>
  </si>
  <si>
    <t>(Increase)/Decrease in trade receivables</t>
  </si>
  <si>
    <t>Increase/(Decrease ) in inventories</t>
  </si>
  <si>
    <t>(Decrease)/Increase in trade payables</t>
  </si>
  <si>
    <t>(Decrease)/Increase in other financial and non financial liabilities</t>
  </si>
  <si>
    <t>(Decrease)/Increase in provisions</t>
  </si>
  <si>
    <t>Net cash generated from / ( used in ) investing activities</t>
  </si>
  <si>
    <t>Proceeds from issue of equity shares</t>
  </si>
  <si>
    <t>Proceeds From Issue Of Equity Shares (Inclu Share Premium)</t>
  </si>
  <si>
    <t>Repayment of debentures</t>
  </si>
  <si>
    <t>Repayment Of Long Term Borrowings</t>
  </si>
  <si>
    <t>Net ( Decrease ) / Increase in cash and cash equivalents</t>
  </si>
  <si>
    <t>Cash and cash equivalents at end of the period</t>
  </si>
  <si>
    <t>Net ( decrease ) / increase in cash and cash equivalents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</si>
  <si>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</si>
  <si>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</si>
  <si>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</si>
  <si>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</si>
  <si>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</si>
  <si>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</si>
  <si>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</si>
  <si>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Income Tax related to items that will not be reclassified to Profit or Loss</t>
  </si>
  <si>
    <t>Earnings per equity share ( in ₹ ) of face value ₹ 2 each *(Not annualised)</t>
  </si>
  <si>
    <t>Non-Controlling Interests</t>
  </si>
  <si>
    <t>Goodwill On Consolidation</t>
  </si>
  <si>
    <t>Current Investments</t>
  </si>
  <si>
    <t>Other Current Financial Assets</t>
  </si>
  <si>
    <t>Other Current Financial Liabilities</t>
  </si>
  <si>
    <t>Short-Term Provisions</t>
  </si>
  <si>
    <t>Total Current Liabilities</t>
  </si>
  <si>
    <t>Adjustments for other financial assets, non-current</t>
  </si>
  <si>
    <t>Profit On Sale Of Fixed Assets</t>
  </si>
  <si>
    <t>Net Increase in Cash and Cash Equivalents</t>
  </si>
  <si>
    <t>Sale Of Investments</t>
  </si>
  <si>
    <t>Redemption Of Debenture</t>
  </si>
  <si>
    <t>The income statement field has been captured for the Finance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</si>
</sst>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tabSelected="1" workbookViewId="0"/>
  </sheetViews>
  <sheetFormatPr defaultRowHeight="15" x14ac:dyDescent="0.25"/>
  <cols>
    <col min="1" max="1" width="46.140625" customWidth="1"/>
    <col min="2" max="2" width="63.7109375" customWidth="1"/>
    <col min="3" max="3" width="9.57031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260</v>
      </c>
      <c r="D2" s="10"/>
      <c r="E2" s="10"/>
      <c r="G2" s="6" t="s">
        <v>261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260</v>
      </c>
      <c r="D3" s="10"/>
      <c r="E3" s="10"/>
      <c r="G3" s="8" t="s">
        <v>262</v>
      </c>
      <c r="H3" s="9">
        <f>H1/SUM(H1:H2)</f>
        <v>0.9</v>
      </c>
    </row>
    <row r="4" spans="1:8" x14ac:dyDescent="0.25">
      <c r="A4" s="10" t="s">
        <v>6</v>
      </c>
      <c r="B4" s="10" t="s">
        <v>6</v>
      </c>
      <c r="C4" s="10" t="s">
        <v>260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260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260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260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260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260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260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260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260</v>
      </c>
      <c r="D12" s="10"/>
      <c r="E12" s="10"/>
    </row>
    <row r="13" spans="1:8" x14ac:dyDescent="0.25">
      <c r="A13" s="10" t="s">
        <v>23</v>
      </c>
      <c r="B13" s="10" t="s">
        <v>23</v>
      </c>
      <c r="C13" s="10" t="s">
        <v>260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260</v>
      </c>
      <c r="D14" s="11"/>
      <c r="E14" s="12"/>
    </row>
    <row r="15" spans="1:8" x14ac:dyDescent="0.25">
      <c r="A15" s="10" t="s">
        <v>26</v>
      </c>
      <c r="B15" s="10" t="s">
        <v>27</v>
      </c>
      <c r="C15" s="10" t="s">
        <v>260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260</v>
      </c>
      <c r="D16" s="10"/>
      <c r="E16" s="10"/>
    </row>
    <row r="17" spans="1:5" x14ac:dyDescent="0.25">
      <c r="A17" s="10" t="s">
        <v>30</v>
      </c>
      <c r="B17" s="10" t="s">
        <v>8</v>
      </c>
      <c r="C17" s="10" t="s">
        <v>260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260</v>
      </c>
      <c r="D18" s="10"/>
      <c r="E18" s="10"/>
    </row>
    <row r="19" spans="1:5" x14ac:dyDescent="0.25">
      <c r="A19" s="10" t="s">
        <v>227</v>
      </c>
      <c r="B19" s="10" t="s">
        <v>35</v>
      </c>
      <c r="C19" s="10" t="s">
        <v>260</v>
      </c>
      <c r="D19" s="10"/>
      <c r="E19" s="10"/>
    </row>
    <row r="20" spans="1:5" x14ac:dyDescent="0.25">
      <c r="A20" s="10" t="s">
        <v>36</v>
      </c>
      <c r="B20" s="10" t="s">
        <v>37</v>
      </c>
      <c r="C20" s="10"/>
      <c r="D20" s="10"/>
      <c r="E20" s="10"/>
    </row>
    <row r="21" spans="1:5" x14ac:dyDescent="0.25">
      <c r="A21" s="10" t="s">
        <v>228</v>
      </c>
      <c r="B21" s="10" t="s">
        <v>39</v>
      </c>
      <c r="C21" s="10" t="s">
        <v>260</v>
      </c>
      <c r="D21" s="10"/>
      <c r="E21" s="10"/>
    </row>
    <row r="22" spans="1:5" x14ac:dyDescent="0.25">
      <c r="A22" s="10" t="s">
        <v>40</v>
      </c>
      <c r="B22" s="10" t="s">
        <v>8</v>
      </c>
      <c r="C22" s="10" t="s">
        <v>260</v>
      </c>
      <c r="D22" s="10"/>
      <c r="E22" s="10"/>
    </row>
    <row r="23" spans="1:5" x14ac:dyDescent="0.25">
      <c r="A23" s="10" t="s">
        <v>41</v>
      </c>
      <c r="B23" s="10" t="s">
        <v>42</v>
      </c>
      <c r="C23" s="10" t="s">
        <v>261</v>
      </c>
      <c r="D23" s="10" t="s">
        <v>263</v>
      </c>
      <c r="E23" s="10"/>
    </row>
    <row r="24" spans="1:5" x14ac:dyDescent="0.25">
      <c r="A24" s="10" t="s">
        <v>229</v>
      </c>
      <c r="B24" s="10" t="s">
        <v>42</v>
      </c>
      <c r="C24" s="10" t="s">
        <v>260</v>
      </c>
      <c r="D24" s="10" t="s">
        <v>42</v>
      </c>
      <c r="E24" s="13">
        <v>22293</v>
      </c>
    </row>
    <row r="25" spans="1:5" x14ac:dyDescent="0.25">
      <c r="A25" s="10" t="s">
        <v>230</v>
      </c>
      <c r="B25" s="10" t="s">
        <v>231</v>
      </c>
      <c r="C25" s="10" t="s">
        <v>261</v>
      </c>
      <c r="D25" s="10" t="s">
        <v>264</v>
      </c>
      <c r="E25" s="13">
        <v>22295</v>
      </c>
    </row>
    <row r="26" spans="1:5" x14ac:dyDescent="0.25">
      <c r="A26" s="10" t="s">
        <v>45</v>
      </c>
      <c r="B26" s="10" t="s">
        <v>42</v>
      </c>
      <c r="C26" s="10" t="s">
        <v>261</v>
      </c>
      <c r="D26" s="11" t="s">
        <v>40</v>
      </c>
      <c r="E26" s="12">
        <v>16484</v>
      </c>
    </row>
    <row r="27" spans="1:5" x14ac:dyDescent="0.25">
      <c r="A27" s="10" t="s">
        <v>232</v>
      </c>
      <c r="B27" s="10" t="s">
        <v>47</v>
      </c>
      <c r="C27" s="10" t="s">
        <v>260</v>
      </c>
      <c r="D27" s="10"/>
      <c r="E27" s="10"/>
    </row>
    <row r="28" spans="1:5" x14ac:dyDescent="0.25">
      <c r="A28" s="10" t="s">
        <v>233</v>
      </c>
      <c r="B28" s="10" t="s">
        <v>56</v>
      </c>
      <c r="C28" s="10" t="s">
        <v>260</v>
      </c>
      <c r="D28" s="10"/>
      <c r="E28" s="10"/>
    </row>
    <row r="29" spans="1:5" x14ac:dyDescent="0.25">
      <c r="A29" s="10" t="s">
        <v>57</v>
      </c>
      <c r="B29" s="10" t="s">
        <v>58</v>
      </c>
      <c r="C29" s="10" t="s">
        <v>260</v>
      </c>
      <c r="D29" s="10"/>
      <c r="E29" s="10"/>
    </row>
    <row r="30" spans="1:5" x14ac:dyDescent="0.25">
      <c r="A30" s="10" t="s">
        <v>234</v>
      </c>
      <c r="B30" s="10" t="s">
        <v>8</v>
      </c>
      <c r="C30" s="10" t="s">
        <v>260</v>
      </c>
      <c r="D30" s="10"/>
      <c r="E30" s="10"/>
    </row>
    <row r="31" spans="1:5" x14ac:dyDescent="0.25">
      <c r="A31" s="10" t="s">
        <v>235</v>
      </c>
      <c r="B31" s="10" t="s">
        <v>60</v>
      </c>
      <c r="C31" s="10" t="s">
        <v>260</v>
      </c>
      <c r="D31" s="10" t="s">
        <v>60</v>
      </c>
      <c r="E31" s="13">
        <v>222</v>
      </c>
    </row>
    <row r="32" spans="1:5" x14ac:dyDescent="0.25">
      <c r="A32" s="10" t="s">
        <v>236</v>
      </c>
      <c r="B32" s="10" t="s">
        <v>62</v>
      </c>
      <c r="C32" s="10" t="s">
        <v>260</v>
      </c>
      <c r="D32" s="10" t="s">
        <v>62</v>
      </c>
      <c r="E32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5" x14ac:dyDescent="0.25"/>
  <cols>
    <col min="1" max="1" width="51.42578125" customWidth="1"/>
    <col min="2" max="2" width="54.140625" customWidth="1"/>
    <col min="3" max="3" width="9.855468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33</v>
      </c>
    </row>
    <row r="2" spans="1:8" x14ac:dyDescent="0.25">
      <c r="A2" s="10" t="s">
        <v>2</v>
      </c>
      <c r="B2" s="10" t="s">
        <v>3</v>
      </c>
      <c r="C2" s="10" t="s">
        <v>260</v>
      </c>
      <c r="D2" s="10"/>
      <c r="E2" s="10"/>
      <c r="G2" s="6" t="s">
        <v>261</v>
      </c>
      <c r="H2" s="7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260</v>
      </c>
      <c r="D3" s="10"/>
      <c r="E3" s="10"/>
      <c r="G3" s="8" t="s">
        <v>262</v>
      </c>
      <c r="H3" s="9">
        <f>H1/SUM(H1:H2)</f>
        <v>0.82499999999999996</v>
      </c>
    </row>
    <row r="4" spans="1:8" x14ac:dyDescent="0.25">
      <c r="A4" s="10" t="s">
        <v>6</v>
      </c>
      <c r="B4" s="10" t="s">
        <v>6</v>
      </c>
      <c r="C4" s="10" t="s">
        <v>260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260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260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260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260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260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260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260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260</v>
      </c>
      <c r="D12" s="10"/>
      <c r="E12" s="10"/>
    </row>
    <row r="13" spans="1:8" x14ac:dyDescent="0.25">
      <c r="A13" s="10" t="s">
        <v>23</v>
      </c>
      <c r="B13" s="10" t="s">
        <v>23</v>
      </c>
      <c r="C13" s="10" t="s">
        <v>260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260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260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260</v>
      </c>
      <c r="D16" s="10"/>
      <c r="E16" s="10"/>
    </row>
    <row r="17" spans="1:5" x14ac:dyDescent="0.25">
      <c r="A17" s="10" t="s">
        <v>30</v>
      </c>
      <c r="B17" s="10" t="s">
        <v>8</v>
      </c>
      <c r="C17" s="10" t="s">
        <v>260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260</v>
      </c>
      <c r="D18" s="10"/>
      <c r="E18" s="10"/>
    </row>
    <row r="19" spans="1:5" x14ac:dyDescent="0.25">
      <c r="A19" s="10" t="s">
        <v>33</v>
      </c>
      <c r="B19" s="10" t="s">
        <v>32</v>
      </c>
      <c r="C19" s="10" t="s">
        <v>260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260</v>
      </c>
      <c r="D20" s="10"/>
      <c r="E20" s="10"/>
    </row>
    <row r="21" spans="1:5" x14ac:dyDescent="0.25">
      <c r="A21" s="10" t="s">
        <v>36</v>
      </c>
      <c r="B21" s="10" t="s">
        <v>37</v>
      </c>
      <c r="C21" s="10"/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260</v>
      </c>
      <c r="D22" s="10"/>
      <c r="E22" s="10"/>
    </row>
    <row r="23" spans="1:5" x14ac:dyDescent="0.25">
      <c r="A23" s="10" t="s">
        <v>40</v>
      </c>
      <c r="B23" s="10" t="s">
        <v>8</v>
      </c>
      <c r="C23" s="10" t="s">
        <v>260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261</v>
      </c>
      <c r="D24" s="10" t="s">
        <v>263</v>
      </c>
      <c r="E24" s="10"/>
    </row>
    <row r="25" spans="1:5" x14ac:dyDescent="0.25">
      <c r="A25" s="10" t="s">
        <v>43</v>
      </c>
      <c r="B25" s="10" t="s">
        <v>42</v>
      </c>
      <c r="C25" s="10" t="s">
        <v>260</v>
      </c>
      <c r="D25" s="10" t="s">
        <v>42</v>
      </c>
      <c r="E25" s="13">
        <v>22293</v>
      </c>
    </row>
    <row r="26" spans="1:5" x14ac:dyDescent="0.25">
      <c r="A26" s="10" t="s">
        <v>44</v>
      </c>
      <c r="B26" s="10" t="s">
        <v>8</v>
      </c>
      <c r="C26" s="10" t="s">
        <v>261</v>
      </c>
      <c r="D26" s="10" t="s">
        <v>264</v>
      </c>
      <c r="E26" s="13">
        <v>22295</v>
      </c>
    </row>
    <row r="27" spans="1:5" x14ac:dyDescent="0.25">
      <c r="A27" s="10" t="s">
        <v>45</v>
      </c>
      <c r="B27" s="10" t="s">
        <v>42</v>
      </c>
      <c r="C27" s="10" t="s">
        <v>261</v>
      </c>
      <c r="D27" s="11" t="s">
        <v>40</v>
      </c>
      <c r="E27" s="12">
        <v>16484</v>
      </c>
    </row>
    <row r="28" spans="1:5" x14ac:dyDescent="0.25">
      <c r="A28" s="10" t="s">
        <v>46</v>
      </c>
      <c r="B28" s="10" t="s">
        <v>47</v>
      </c>
      <c r="C28" s="10" t="s">
        <v>260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261</v>
      </c>
      <c r="D29" s="10" t="s">
        <v>263</v>
      </c>
      <c r="E29" s="10"/>
    </row>
    <row r="30" spans="1:5" x14ac:dyDescent="0.25">
      <c r="A30" s="10" t="s">
        <v>50</v>
      </c>
      <c r="B30" s="10" t="s">
        <v>51</v>
      </c>
      <c r="C30" s="10" t="s">
        <v>260</v>
      </c>
      <c r="D30" s="10" t="s">
        <v>51</v>
      </c>
      <c r="E30" s="13">
        <v>22299</v>
      </c>
    </row>
    <row r="31" spans="1:5" x14ac:dyDescent="0.25">
      <c r="A31" s="10" t="s">
        <v>52</v>
      </c>
      <c r="B31" s="10" t="s">
        <v>8</v>
      </c>
      <c r="C31" s="10" t="s">
        <v>261</v>
      </c>
      <c r="D31" s="10" t="s">
        <v>266</v>
      </c>
      <c r="E31" s="13">
        <v>22298</v>
      </c>
    </row>
    <row r="32" spans="1:5" x14ac:dyDescent="0.25">
      <c r="A32" s="10" t="s">
        <v>53</v>
      </c>
      <c r="B32" s="10" t="s">
        <v>8</v>
      </c>
      <c r="C32" s="10" t="s">
        <v>260</v>
      </c>
      <c r="D32" s="10"/>
      <c r="E32" s="10"/>
    </row>
    <row r="33" spans="1:5" x14ac:dyDescent="0.25">
      <c r="A33" s="10" t="s">
        <v>50</v>
      </c>
      <c r="B33" s="10" t="s">
        <v>51</v>
      </c>
      <c r="C33" s="10" t="s">
        <v>260</v>
      </c>
      <c r="D33" s="10" t="s">
        <v>51</v>
      </c>
      <c r="E33" s="13">
        <v>22291</v>
      </c>
    </row>
    <row r="34" spans="1:5" x14ac:dyDescent="0.25">
      <c r="A34" s="10" t="s">
        <v>52</v>
      </c>
      <c r="B34" s="10" t="s">
        <v>8</v>
      </c>
      <c r="C34" s="10" t="s">
        <v>261</v>
      </c>
      <c r="D34" s="10" t="s">
        <v>266</v>
      </c>
      <c r="E34" s="13">
        <v>22290</v>
      </c>
    </row>
    <row r="35" spans="1:5" x14ac:dyDescent="0.25">
      <c r="A35" s="10" t="s">
        <v>54</v>
      </c>
      <c r="B35" s="10" t="s">
        <v>8</v>
      </c>
      <c r="C35" s="10" t="s">
        <v>260</v>
      </c>
      <c r="D35" s="10"/>
      <c r="E35" s="10"/>
    </row>
    <row r="36" spans="1:5" x14ac:dyDescent="0.25">
      <c r="A36" s="10" t="s">
        <v>50</v>
      </c>
      <c r="B36" s="10" t="s">
        <v>51</v>
      </c>
      <c r="C36" s="10" t="s">
        <v>260</v>
      </c>
      <c r="D36" s="10" t="s">
        <v>51</v>
      </c>
      <c r="E36" s="13">
        <v>22303</v>
      </c>
    </row>
    <row r="37" spans="1:5" x14ac:dyDescent="0.25">
      <c r="A37" s="10" t="s">
        <v>52</v>
      </c>
      <c r="B37" s="10" t="s">
        <v>8</v>
      </c>
      <c r="C37" s="10" t="s">
        <v>261</v>
      </c>
      <c r="D37" s="10" t="s">
        <v>266</v>
      </c>
      <c r="E37" s="13">
        <v>22302</v>
      </c>
    </row>
    <row r="38" spans="1:5" x14ac:dyDescent="0.25">
      <c r="A38" s="10" t="s">
        <v>55</v>
      </c>
      <c r="B38" s="10" t="s">
        <v>56</v>
      </c>
      <c r="C38" s="10" t="s">
        <v>260</v>
      </c>
      <c r="D38" s="10"/>
      <c r="E38" s="10"/>
    </row>
    <row r="39" spans="1:5" x14ac:dyDescent="0.25">
      <c r="A39" s="10" t="s">
        <v>57</v>
      </c>
      <c r="B39" s="10" t="s">
        <v>58</v>
      </c>
      <c r="C39" s="10" t="s">
        <v>260</v>
      </c>
      <c r="D39" s="10"/>
      <c r="E39" s="10"/>
    </row>
    <row r="40" spans="1:5" x14ac:dyDescent="0.25">
      <c r="A40" s="10" t="s">
        <v>265</v>
      </c>
      <c r="B40" s="10" t="s">
        <v>8</v>
      </c>
      <c r="C40" s="10" t="s">
        <v>260</v>
      </c>
      <c r="D40" s="10"/>
      <c r="E40" s="10"/>
    </row>
    <row r="41" spans="1:5" x14ac:dyDescent="0.25">
      <c r="A41" s="10" t="s">
        <v>59</v>
      </c>
      <c r="B41" s="10" t="s">
        <v>60</v>
      </c>
      <c r="C41" s="10" t="s">
        <v>260</v>
      </c>
      <c r="D41" s="10" t="s">
        <v>60</v>
      </c>
      <c r="E41" s="13">
        <v>222</v>
      </c>
    </row>
    <row r="42" spans="1:5" x14ac:dyDescent="0.25">
      <c r="A42" s="10" t="s">
        <v>61</v>
      </c>
      <c r="B42" s="10" t="s">
        <v>62</v>
      </c>
      <c r="C42" s="10" t="s">
        <v>260</v>
      </c>
      <c r="D42" s="10" t="s">
        <v>62</v>
      </c>
      <c r="E42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workbookViewId="0"/>
  </sheetViews>
  <sheetFormatPr defaultRowHeight="15" x14ac:dyDescent="0.25"/>
  <cols>
    <col min="1" max="1" width="44.7109375" customWidth="1"/>
    <col min="2" max="2" width="46.7109375" bestFit="1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47</v>
      </c>
    </row>
    <row r="2" spans="1:8" x14ac:dyDescent="0.25">
      <c r="A2" s="10" t="s">
        <v>78</v>
      </c>
      <c r="B2" s="10" t="s">
        <v>8</v>
      </c>
      <c r="C2" s="10" t="s">
        <v>260</v>
      </c>
      <c r="D2" s="10"/>
      <c r="E2" s="10"/>
      <c r="G2" s="6" t="s">
        <v>261</v>
      </c>
      <c r="H2" s="7">
        <f>COUNTIF(C:C,G2)</f>
        <v>7</v>
      </c>
    </row>
    <row r="3" spans="1:8" ht="15.75" thickBot="1" x14ac:dyDescent="0.3">
      <c r="A3" s="10" t="s">
        <v>79</v>
      </c>
      <c r="B3" s="10" t="s">
        <v>80</v>
      </c>
      <c r="C3" s="10" t="s">
        <v>260</v>
      </c>
      <c r="D3" s="10"/>
      <c r="E3" s="10"/>
      <c r="G3" s="8" t="s">
        <v>262</v>
      </c>
      <c r="H3" s="9">
        <f>H1/SUM(H1:H2)</f>
        <v>0.87037037037037035</v>
      </c>
    </row>
    <row r="4" spans="1:8" x14ac:dyDescent="0.25">
      <c r="A4" s="10" t="s">
        <v>81</v>
      </c>
      <c r="B4" s="10" t="s">
        <v>82</v>
      </c>
      <c r="C4" s="10" t="s">
        <v>260</v>
      </c>
      <c r="D4" s="10"/>
      <c r="E4" s="10"/>
    </row>
    <row r="5" spans="1:8" x14ac:dyDescent="0.25">
      <c r="A5" s="10" t="s">
        <v>83</v>
      </c>
      <c r="B5" s="10" t="s">
        <v>84</v>
      </c>
      <c r="C5" s="10" t="s">
        <v>260</v>
      </c>
      <c r="D5" s="10"/>
      <c r="E5" s="10"/>
    </row>
    <row r="6" spans="1:8" x14ac:dyDescent="0.25">
      <c r="A6" s="10" t="s">
        <v>85</v>
      </c>
      <c r="B6" s="10" t="s">
        <v>85</v>
      </c>
      <c r="C6" s="10" t="s">
        <v>260</v>
      </c>
      <c r="D6" s="10"/>
      <c r="E6" s="10"/>
    </row>
    <row r="7" spans="1:8" x14ac:dyDescent="0.25">
      <c r="A7" s="10" t="s">
        <v>86</v>
      </c>
      <c r="B7" s="10" t="s">
        <v>87</v>
      </c>
      <c r="C7" s="10" t="s">
        <v>260</v>
      </c>
      <c r="D7" s="10"/>
      <c r="E7" s="10"/>
    </row>
    <row r="8" spans="1:8" x14ac:dyDescent="0.25">
      <c r="A8" s="10" t="s">
        <v>88</v>
      </c>
      <c r="B8" s="10" t="s">
        <v>88</v>
      </c>
      <c r="C8" s="10" t="s">
        <v>260</v>
      </c>
      <c r="D8" s="10"/>
      <c r="E8" s="10"/>
    </row>
    <row r="9" spans="1:8" x14ac:dyDescent="0.25">
      <c r="A9" s="10" t="s">
        <v>89</v>
      </c>
      <c r="B9" s="10" t="s">
        <v>8</v>
      </c>
      <c r="C9" s="10" t="s">
        <v>260</v>
      </c>
      <c r="D9" s="10"/>
      <c r="E9" s="10"/>
    </row>
    <row r="10" spans="1:8" x14ac:dyDescent="0.25">
      <c r="A10" s="10" t="s">
        <v>104</v>
      </c>
      <c r="B10" s="10" t="s">
        <v>105</v>
      </c>
      <c r="C10" s="10" t="s">
        <v>260</v>
      </c>
      <c r="D10" s="10"/>
      <c r="E10" s="10"/>
    </row>
    <row r="11" spans="1:8" x14ac:dyDescent="0.25">
      <c r="A11" s="10" t="s">
        <v>90</v>
      </c>
      <c r="B11" s="10" t="s">
        <v>91</v>
      </c>
      <c r="C11" s="10" t="s">
        <v>260</v>
      </c>
      <c r="D11" s="10" t="s">
        <v>91</v>
      </c>
      <c r="E11" s="13">
        <v>20218</v>
      </c>
    </row>
    <row r="12" spans="1:8" x14ac:dyDescent="0.25">
      <c r="A12" s="10" t="s">
        <v>92</v>
      </c>
      <c r="B12" s="10" t="s">
        <v>93</v>
      </c>
      <c r="C12" s="10" t="s">
        <v>260</v>
      </c>
      <c r="D12" s="10" t="s">
        <v>93</v>
      </c>
      <c r="E12" s="13">
        <v>20216</v>
      </c>
    </row>
    <row r="13" spans="1:8" x14ac:dyDescent="0.25">
      <c r="A13" s="10" t="s">
        <v>94</v>
      </c>
      <c r="B13" s="10" t="s">
        <v>95</v>
      </c>
      <c r="C13" s="10" t="s">
        <v>260</v>
      </c>
      <c r="D13" s="10"/>
      <c r="E13" s="10"/>
    </row>
    <row r="14" spans="1:8" x14ac:dyDescent="0.25">
      <c r="A14" s="10" t="s">
        <v>96</v>
      </c>
      <c r="B14" s="10" t="s">
        <v>97</v>
      </c>
      <c r="C14" s="10" t="s">
        <v>260</v>
      </c>
      <c r="D14" s="10"/>
      <c r="E14" s="10"/>
    </row>
    <row r="15" spans="1:8" x14ac:dyDescent="0.25">
      <c r="A15" s="10" t="s">
        <v>98</v>
      </c>
      <c r="B15" s="10" t="s">
        <v>99</v>
      </c>
      <c r="C15" s="10" t="s">
        <v>260</v>
      </c>
      <c r="D15" s="10"/>
      <c r="E15" s="10"/>
    </row>
    <row r="16" spans="1:8" x14ac:dyDescent="0.25">
      <c r="A16" s="10" t="s">
        <v>100</v>
      </c>
      <c r="B16" s="10" t="s">
        <v>101</v>
      </c>
      <c r="C16" s="10" t="s">
        <v>260</v>
      </c>
      <c r="D16" s="10"/>
      <c r="E16" s="10"/>
    </row>
    <row r="17" spans="1:5" x14ac:dyDescent="0.25">
      <c r="A17" s="10" t="s">
        <v>102</v>
      </c>
      <c r="B17" s="10" t="s">
        <v>8</v>
      </c>
      <c r="C17" s="10" t="s">
        <v>260</v>
      </c>
      <c r="D17" s="10"/>
      <c r="E17" s="10"/>
    </row>
    <row r="18" spans="1:5" x14ac:dyDescent="0.25">
      <c r="A18" s="10" t="s">
        <v>103</v>
      </c>
      <c r="B18" s="10" t="s">
        <v>103</v>
      </c>
      <c r="C18" s="10" t="s">
        <v>260</v>
      </c>
      <c r="D18" s="10"/>
      <c r="E18" s="10"/>
    </row>
    <row r="19" spans="1:5" x14ac:dyDescent="0.25">
      <c r="A19" s="10" t="s">
        <v>89</v>
      </c>
      <c r="B19" s="10" t="s">
        <v>8</v>
      </c>
      <c r="C19" s="10" t="s">
        <v>260</v>
      </c>
      <c r="D19" s="10"/>
      <c r="E19" s="10"/>
    </row>
    <row r="20" spans="1:5" x14ac:dyDescent="0.25">
      <c r="A20" s="10" t="s">
        <v>104</v>
      </c>
      <c r="B20" s="10" t="s">
        <v>105</v>
      </c>
      <c r="C20" s="10" t="s">
        <v>261</v>
      </c>
      <c r="D20" s="10" t="s">
        <v>268</v>
      </c>
      <c r="E20" s="13">
        <v>13724</v>
      </c>
    </row>
    <row r="21" spans="1:5" x14ac:dyDescent="0.25">
      <c r="A21" s="10" t="s">
        <v>90</v>
      </c>
      <c r="B21" s="10" t="s">
        <v>91</v>
      </c>
      <c r="C21" s="10" t="s">
        <v>260</v>
      </c>
      <c r="D21" s="10" t="s">
        <v>91</v>
      </c>
      <c r="E21" s="13">
        <v>13780</v>
      </c>
    </row>
    <row r="22" spans="1:5" x14ac:dyDescent="0.25">
      <c r="A22" s="10" t="s">
        <v>106</v>
      </c>
      <c r="B22" s="10" t="s">
        <v>107</v>
      </c>
      <c r="C22" s="10" t="s">
        <v>260</v>
      </c>
      <c r="D22" s="10"/>
      <c r="E22" s="10"/>
    </row>
    <row r="23" spans="1:5" x14ac:dyDescent="0.25">
      <c r="A23" s="10" t="s">
        <v>238</v>
      </c>
      <c r="B23" s="10" t="s">
        <v>109</v>
      </c>
      <c r="C23" s="10" t="s">
        <v>260</v>
      </c>
      <c r="D23" s="10"/>
      <c r="E23" s="10"/>
    </row>
    <row r="24" spans="1:5" x14ac:dyDescent="0.25">
      <c r="A24" s="10" t="s">
        <v>92</v>
      </c>
      <c r="B24" s="10" t="s">
        <v>93</v>
      </c>
      <c r="C24" s="10" t="s">
        <v>261</v>
      </c>
      <c r="D24" s="10" t="s">
        <v>269</v>
      </c>
      <c r="E24" s="13">
        <v>20231</v>
      </c>
    </row>
    <row r="25" spans="1:5" x14ac:dyDescent="0.25">
      <c r="A25" s="10" t="s">
        <v>112</v>
      </c>
      <c r="B25" s="10" t="s">
        <v>113</v>
      </c>
      <c r="C25" s="10" t="s">
        <v>260</v>
      </c>
      <c r="D25" s="10"/>
      <c r="E25" s="10"/>
    </row>
    <row r="26" spans="1:5" x14ac:dyDescent="0.25">
      <c r="A26" s="10" t="s">
        <v>114</v>
      </c>
      <c r="B26" s="10" t="s">
        <v>115</v>
      </c>
      <c r="C26" s="10" t="s">
        <v>260</v>
      </c>
      <c r="D26" s="10"/>
      <c r="E26" s="10"/>
    </row>
    <row r="27" spans="1:5" x14ac:dyDescent="0.25">
      <c r="A27" s="10" t="s">
        <v>116</v>
      </c>
      <c r="B27" s="10" t="s">
        <v>117</v>
      </c>
      <c r="C27" s="10" t="s">
        <v>260</v>
      </c>
      <c r="D27" s="10"/>
      <c r="E27" s="10"/>
    </row>
    <row r="28" spans="1:5" x14ac:dyDescent="0.25">
      <c r="A28" s="10" t="s">
        <v>118</v>
      </c>
      <c r="B28" s="10" t="s">
        <v>119</v>
      </c>
      <c r="C28" s="10" t="s">
        <v>260</v>
      </c>
      <c r="D28" s="10"/>
      <c r="E28" s="10"/>
    </row>
    <row r="29" spans="1:5" x14ac:dyDescent="0.25">
      <c r="A29" s="10" t="s">
        <v>120</v>
      </c>
      <c r="B29" s="10" t="s">
        <v>8</v>
      </c>
      <c r="C29" s="10" t="s">
        <v>260</v>
      </c>
      <c r="D29" s="10"/>
      <c r="E29" s="10"/>
    </row>
    <row r="30" spans="1:5" x14ac:dyDescent="0.25">
      <c r="A30" s="10" t="s">
        <v>121</v>
      </c>
      <c r="B30" s="10" t="s">
        <v>8</v>
      </c>
      <c r="C30" s="10" t="s">
        <v>260</v>
      </c>
      <c r="D30" s="10"/>
      <c r="E30" s="10"/>
    </row>
    <row r="31" spans="1:5" x14ac:dyDescent="0.25">
      <c r="A31" s="10" t="s">
        <v>122</v>
      </c>
      <c r="B31" s="10" t="s">
        <v>123</v>
      </c>
      <c r="C31" s="10" t="s">
        <v>260</v>
      </c>
      <c r="D31" s="10"/>
      <c r="E31" s="10"/>
    </row>
    <row r="32" spans="1:5" x14ac:dyDescent="0.25">
      <c r="A32" s="10" t="s">
        <v>124</v>
      </c>
      <c r="B32" s="10" t="s">
        <v>125</v>
      </c>
      <c r="C32" s="10" t="s">
        <v>260</v>
      </c>
      <c r="D32" s="10"/>
      <c r="E32" s="10"/>
    </row>
    <row r="33" spans="1:5" x14ac:dyDescent="0.25">
      <c r="A33" s="10" t="s">
        <v>128</v>
      </c>
      <c r="B33" s="10" t="s">
        <v>129</v>
      </c>
      <c r="C33" s="10" t="s">
        <v>260</v>
      </c>
      <c r="D33" s="10"/>
      <c r="E33" s="10"/>
    </row>
    <row r="34" spans="1:5" x14ac:dyDescent="0.25">
      <c r="A34" s="10" t="s">
        <v>130</v>
      </c>
      <c r="B34" s="10" t="s">
        <v>8</v>
      </c>
      <c r="C34" s="10" t="s">
        <v>260</v>
      </c>
      <c r="D34" s="10"/>
      <c r="E34" s="10"/>
    </row>
    <row r="35" spans="1:5" x14ac:dyDescent="0.25">
      <c r="A35" s="10" t="s">
        <v>131</v>
      </c>
      <c r="B35" s="10" t="s">
        <v>8</v>
      </c>
      <c r="C35" s="10" t="s">
        <v>260</v>
      </c>
      <c r="D35" s="10"/>
      <c r="E35" s="10"/>
    </row>
    <row r="36" spans="1:5" x14ac:dyDescent="0.25">
      <c r="A36" s="10" t="s">
        <v>132</v>
      </c>
      <c r="B36" s="10" t="s">
        <v>8</v>
      </c>
      <c r="C36" s="10" t="s">
        <v>260</v>
      </c>
      <c r="D36" s="10"/>
      <c r="E36" s="10"/>
    </row>
    <row r="37" spans="1:5" x14ac:dyDescent="0.25">
      <c r="A37" s="10" t="s">
        <v>133</v>
      </c>
      <c r="B37" s="10" t="s">
        <v>133</v>
      </c>
      <c r="C37" s="10" t="s">
        <v>260</v>
      </c>
      <c r="D37" s="10" t="s">
        <v>133</v>
      </c>
      <c r="E37" s="13">
        <v>30340</v>
      </c>
    </row>
    <row r="38" spans="1:5" x14ac:dyDescent="0.25">
      <c r="A38" s="10" t="s">
        <v>134</v>
      </c>
      <c r="B38" s="10" t="s">
        <v>135</v>
      </c>
      <c r="C38" s="10" t="s">
        <v>261</v>
      </c>
      <c r="D38" s="10" t="s">
        <v>263</v>
      </c>
      <c r="E38" s="10"/>
    </row>
    <row r="39" spans="1:5" x14ac:dyDescent="0.25">
      <c r="A39" s="10" t="s">
        <v>136</v>
      </c>
      <c r="B39" s="10" t="s">
        <v>135</v>
      </c>
      <c r="C39" s="10" t="s">
        <v>260</v>
      </c>
      <c r="D39" s="10" t="s">
        <v>135</v>
      </c>
      <c r="E39" s="13">
        <v>20227</v>
      </c>
    </row>
    <row r="40" spans="1:5" x14ac:dyDescent="0.25">
      <c r="A40" s="10" t="s">
        <v>137</v>
      </c>
      <c r="B40" s="10" t="s">
        <v>135</v>
      </c>
      <c r="C40" s="10" t="s">
        <v>260</v>
      </c>
      <c r="D40" s="10" t="s">
        <v>135</v>
      </c>
      <c r="E40" s="13">
        <v>20227</v>
      </c>
    </row>
    <row r="41" spans="1:5" x14ac:dyDescent="0.25">
      <c r="A41" s="10" t="s">
        <v>138</v>
      </c>
      <c r="B41" s="10" t="s">
        <v>139</v>
      </c>
      <c r="C41" s="10" t="s">
        <v>260</v>
      </c>
      <c r="D41" s="10"/>
      <c r="E41" s="10"/>
    </row>
    <row r="42" spans="1:5" x14ac:dyDescent="0.25">
      <c r="A42" s="10" t="s">
        <v>140</v>
      </c>
      <c r="B42" s="10" t="s">
        <v>141</v>
      </c>
      <c r="C42" s="10" t="s">
        <v>260</v>
      </c>
      <c r="D42" s="10"/>
      <c r="E42" s="10"/>
    </row>
    <row r="43" spans="1:5" x14ac:dyDescent="0.25">
      <c r="A43" s="10" t="s">
        <v>142</v>
      </c>
      <c r="B43" s="10" t="s">
        <v>8</v>
      </c>
      <c r="C43" s="10" t="s">
        <v>260</v>
      </c>
      <c r="D43" s="10"/>
      <c r="E43" s="10"/>
    </row>
    <row r="44" spans="1:5" x14ac:dyDescent="0.25">
      <c r="A44" s="10" t="s">
        <v>132</v>
      </c>
      <c r="B44" s="10" t="s">
        <v>8</v>
      </c>
      <c r="C44" s="10" t="s">
        <v>260</v>
      </c>
      <c r="D44" s="10"/>
      <c r="E44" s="10"/>
    </row>
    <row r="45" spans="1:5" x14ac:dyDescent="0.25">
      <c r="A45" s="10" t="s">
        <v>143</v>
      </c>
      <c r="B45" s="10" t="s">
        <v>143</v>
      </c>
      <c r="C45" s="10" t="s">
        <v>260</v>
      </c>
      <c r="D45" s="10" t="s">
        <v>143</v>
      </c>
      <c r="E45" s="13">
        <v>20209</v>
      </c>
    </row>
    <row r="46" spans="1:5" x14ac:dyDescent="0.25">
      <c r="A46" s="10" t="s">
        <v>133</v>
      </c>
      <c r="B46" s="10" t="s">
        <v>133</v>
      </c>
      <c r="C46" s="10" t="s">
        <v>260</v>
      </c>
      <c r="D46" s="10" t="s">
        <v>133</v>
      </c>
      <c r="E46" s="13">
        <v>25716</v>
      </c>
    </row>
    <row r="47" spans="1:5" x14ac:dyDescent="0.25">
      <c r="A47" s="10" t="s">
        <v>134</v>
      </c>
      <c r="B47" s="10" t="s">
        <v>135</v>
      </c>
      <c r="C47" s="10" t="s">
        <v>261</v>
      </c>
      <c r="D47" s="10" t="s">
        <v>263</v>
      </c>
      <c r="E47" s="10"/>
    </row>
    <row r="48" spans="1:5" x14ac:dyDescent="0.25">
      <c r="A48" s="10" t="s">
        <v>136</v>
      </c>
      <c r="B48" s="10" t="s">
        <v>135</v>
      </c>
      <c r="C48" s="10" t="s">
        <v>260</v>
      </c>
      <c r="D48" s="10" t="s">
        <v>135</v>
      </c>
      <c r="E48" s="13">
        <v>13779</v>
      </c>
    </row>
    <row r="49" spans="1:5" x14ac:dyDescent="0.25">
      <c r="A49" s="10" t="s">
        <v>137</v>
      </c>
      <c r="B49" s="10" t="s">
        <v>135</v>
      </c>
      <c r="C49" s="10" t="s">
        <v>260</v>
      </c>
      <c r="D49" s="10" t="s">
        <v>135</v>
      </c>
      <c r="E49" s="13">
        <v>13779</v>
      </c>
    </row>
    <row r="50" spans="1:5" x14ac:dyDescent="0.25">
      <c r="A50" s="10" t="s">
        <v>144</v>
      </c>
      <c r="B50" s="10" t="s">
        <v>145</v>
      </c>
      <c r="C50" s="10" t="s">
        <v>261</v>
      </c>
      <c r="D50" s="10" t="s">
        <v>270</v>
      </c>
      <c r="E50" s="13">
        <v>20214</v>
      </c>
    </row>
    <row r="51" spans="1:5" x14ac:dyDescent="0.25">
      <c r="A51" s="10" t="s">
        <v>146</v>
      </c>
      <c r="B51" s="10" t="s">
        <v>147</v>
      </c>
      <c r="C51" s="10" t="s">
        <v>260</v>
      </c>
      <c r="D51" s="10"/>
      <c r="E51" s="10"/>
    </row>
    <row r="52" spans="1:5" x14ac:dyDescent="0.25">
      <c r="A52" s="10" t="s">
        <v>138</v>
      </c>
      <c r="B52" s="10" t="s">
        <v>139</v>
      </c>
      <c r="C52" s="10" t="s">
        <v>261</v>
      </c>
      <c r="D52" s="10" t="s">
        <v>271</v>
      </c>
      <c r="E52" s="13">
        <v>13767</v>
      </c>
    </row>
    <row r="53" spans="1:5" x14ac:dyDescent="0.25">
      <c r="A53" s="10" t="s">
        <v>148</v>
      </c>
      <c r="B53" s="10" t="s">
        <v>149</v>
      </c>
      <c r="C53" s="10" t="s">
        <v>260</v>
      </c>
      <c r="D53" s="10"/>
      <c r="E53" s="10"/>
    </row>
    <row r="54" spans="1:5" x14ac:dyDescent="0.25">
      <c r="A54" s="10" t="s">
        <v>150</v>
      </c>
      <c r="B54" s="10" t="s">
        <v>37</v>
      </c>
      <c r="C54" s="10" t="s">
        <v>261</v>
      </c>
      <c r="D54" s="11" t="s">
        <v>272</v>
      </c>
      <c r="E54" s="12">
        <v>13775</v>
      </c>
    </row>
    <row r="55" spans="1:5" x14ac:dyDescent="0.25">
      <c r="A55" s="10" t="s">
        <v>151</v>
      </c>
      <c r="B55" s="10" t="s">
        <v>37</v>
      </c>
      <c r="C55" s="10"/>
      <c r="D55" s="10"/>
      <c r="E55" s="10"/>
    </row>
    <row r="56" spans="1:5" x14ac:dyDescent="0.25">
      <c r="A56" s="10" t="s">
        <v>152</v>
      </c>
      <c r="B56" s="10" t="s">
        <v>153</v>
      </c>
      <c r="C56" s="10" t="s">
        <v>260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>
      <selection activeCell="B5" sqref="B5"/>
    </sheetView>
  </sheetViews>
  <sheetFormatPr defaultRowHeight="15" x14ac:dyDescent="0.25"/>
  <cols>
    <col min="1" max="1" width="42.140625" customWidth="1"/>
    <col min="2" max="2" width="46.7109375" bestFit="1" customWidth="1"/>
    <col min="3" max="3" width="10.1406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47</v>
      </c>
    </row>
    <row r="2" spans="1:8" x14ac:dyDescent="0.25">
      <c r="A2" s="10" t="s">
        <v>78</v>
      </c>
      <c r="B2" s="10" t="s">
        <v>8</v>
      </c>
      <c r="C2" s="10" t="s">
        <v>260</v>
      </c>
      <c r="D2" s="10"/>
      <c r="E2" s="10"/>
      <c r="G2" s="6" t="s">
        <v>261</v>
      </c>
      <c r="H2" s="7">
        <f>COUNTIF(C:C,G2)</f>
        <v>8</v>
      </c>
    </row>
    <row r="3" spans="1:8" ht="15.75" thickBot="1" x14ac:dyDescent="0.3">
      <c r="A3" s="10" t="s">
        <v>79</v>
      </c>
      <c r="B3" s="10" t="s">
        <v>80</v>
      </c>
      <c r="C3" s="10" t="s">
        <v>260</v>
      </c>
      <c r="D3" s="10"/>
      <c r="E3" s="10"/>
      <c r="G3" s="8" t="s">
        <v>262</v>
      </c>
      <c r="H3" s="9">
        <f>H1/SUM(H1:H2)</f>
        <v>0.8545454545454545</v>
      </c>
    </row>
    <row r="4" spans="1:8" x14ac:dyDescent="0.25">
      <c r="A4" s="10" t="s">
        <v>81</v>
      </c>
      <c r="B4" s="10" t="s">
        <v>82</v>
      </c>
      <c r="C4" s="10" t="s">
        <v>260</v>
      </c>
      <c r="D4" s="10"/>
      <c r="E4" s="10"/>
    </row>
    <row r="5" spans="1:8" x14ac:dyDescent="0.25">
      <c r="A5" s="10" t="s">
        <v>83</v>
      </c>
      <c r="B5" s="10" t="s">
        <v>84</v>
      </c>
      <c r="C5" s="10" t="s">
        <v>260</v>
      </c>
      <c r="D5" s="10"/>
      <c r="E5" s="10"/>
    </row>
    <row r="6" spans="1:8" x14ac:dyDescent="0.25">
      <c r="A6" s="10" t="s">
        <v>85</v>
      </c>
      <c r="B6" s="10" t="s">
        <v>85</v>
      </c>
      <c r="C6" s="10" t="s">
        <v>261</v>
      </c>
      <c r="D6" s="10" t="s">
        <v>267</v>
      </c>
      <c r="E6" s="13">
        <v>13734</v>
      </c>
    </row>
    <row r="7" spans="1:8" x14ac:dyDescent="0.25">
      <c r="A7" s="10" t="s">
        <v>86</v>
      </c>
      <c r="B7" s="10" t="s">
        <v>87</v>
      </c>
      <c r="C7" s="10" t="s">
        <v>260</v>
      </c>
      <c r="D7" s="10"/>
      <c r="E7" s="10"/>
    </row>
    <row r="8" spans="1:8" x14ac:dyDescent="0.25">
      <c r="A8" s="10" t="s">
        <v>88</v>
      </c>
      <c r="B8" s="10" t="s">
        <v>88</v>
      </c>
      <c r="C8" s="10" t="s">
        <v>260</v>
      </c>
      <c r="D8" s="10"/>
      <c r="E8" s="10"/>
    </row>
    <row r="9" spans="1:8" x14ac:dyDescent="0.25">
      <c r="A9" s="10" t="s">
        <v>89</v>
      </c>
      <c r="B9" s="10" t="s">
        <v>8</v>
      </c>
      <c r="C9" s="10" t="s">
        <v>260</v>
      </c>
      <c r="D9" s="10"/>
      <c r="E9" s="10"/>
    </row>
    <row r="10" spans="1:8" x14ac:dyDescent="0.25">
      <c r="A10" s="10" t="s">
        <v>90</v>
      </c>
      <c r="B10" s="10" t="s">
        <v>91</v>
      </c>
      <c r="C10" s="10" t="s">
        <v>260</v>
      </c>
      <c r="D10" s="10" t="s">
        <v>91</v>
      </c>
      <c r="E10" s="13">
        <v>20218</v>
      </c>
    </row>
    <row r="11" spans="1:8" x14ac:dyDescent="0.25">
      <c r="A11" s="10" t="s">
        <v>92</v>
      </c>
      <c r="B11" s="10" t="s">
        <v>93</v>
      </c>
      <c r="C11" s="10" t="s">
        <v>260</v>
      </c>
      <c r="D11" s="10" t="s">
        <v>93</v>
      </c>
      <c r="E11" s="13">
        <v>20216</v>
      </c>
    </row>
    <row r="12" spans="1:8" x14ac:dyDescent="0.25">
      <c r="A12" s="10" t="s">
        <v>94</v>
      </c>
      <c r="B12" s="10" t="s">
        <v>95</v>
      </c>
      <c r="C12" s="10" t="s">
        <v>260</v>
      </c>
      <c r="D12" s="10"/>
      <c r="E12" s="10"/>
    </row>
    <row r="13" spans="1:8" x14ac:dyDescent="0.25">
      <c r="A13" s="10" t="s">
        <v>96</v>
      </c>
      <c r="B13" s="10" t="s">
        <v>97</v>
      </c>
      <c r="C13" s="10" t="s">
        <v>260</v>
      </c>
      <c r="D13" s="10"/>
      <c r="E13" s="10"/>
    </row>
    <row r="14" spans="1:8" x14ac:dyDescent="0.25">
      <c r="A14" s="10" t="s">
        <v>98</v>
      </c>
      <c r="B14" s="10" t="s">
        <v>99</v>
      </c>
      <c r="C14" s="10" t="s">
        <v>260</v>
      </c>
      <c r="D14" s="10"/>
      <c r="E14" s="10"/>
    </row>
    <row r="15" spans="1:8" x14ac:dyDescent="0.25">
      <c r="A15" s="10" t="s">
        <v>100</v>
      </c>
      <c r="B15" s="10" t="s">
        <v>101</v>
      </c>
      <c r="C15" s="10" t="s">
        <v>260</v>
      </c>
      <c r="D15" s="10"/>
      <c r="E15" s="10"/>
    </row>
    <row r="16" spans="1:8" x14ac:dyDescent="0.25">
      <c r="A16" s="10" t="s">
        <v>102</v>
      </c>
      <c r="B16" s="10" t="s">
        <v>8</v>
      </c>
      <c r="C16" s="10" t="s">
        <v>260</v>
      </c>
      <c r="D16" s="10"/>
      <c r="E16" s="10"/>
    </row>
    <row r="17" spans="1:5" x14ac:dyDescent="0.25">
      <c r="A17" s="10" t="s">
        <v>103</v>
      </c>
      <c r="B17" s="10" t="s">
        <v>103</v>
      </c>
      <c r="C17" s="10" t="s">
        <v>260</v>
      </c>
      <c r="D17" s="10"/>
      <c r="E17" s="10"/>
    </row>
    <row r="18" spans="1:5" x14ac:dyDescent="0.25">
      <c r="A18" s="10" t="s">
        <v>89</v>
      </c>
      <c r="B18" s="10" t="s">
        <v>8</v>
      </c>
      <c r="C18" s="10" t="s">
        <v>260</v>
      </c>
      <c r="D18" s="10"/>
      <c r="E18" s="10"/>
    </row>
    <row r="19" spans="1:5" x14ac:dyDescent="0.25">
      <c r="A19" s="10" t="s">
        <v>104</v>
      </c>
      <c r="B19" s="10" t="s">
        <v>105</v>
      </c>
      <c r="C19" s="10" t="s">
        <v>261</v>
      </c>
      <c r="D19" s="10" t="s">
        <v>268</v>
      </c>
      <c r="E19" s="13">
        <v>13724</v>
      </c>
    </row>
    <row r="20" spans="1:5" x14ac:dyDescent="0.25">
      <c r="A20" s="10" t="s">
        <v>90</v>
      </c>
      <c r="B20" s="10" t="s">
        <v>91</v>
      </c>
      <c r="C20" s="10" t="s">
        <v>260</v>
      </c>
      <c r="D20" s="10" t="s">
        <v>91</v>
      </c>
      <c r="E20" s="13">
        <v>13780</v>
      </c>
    </row>
    <row r="21" spans="1:5" x14ac:dyDescent="0.25">
      <c r="A21" s="10" t="s">
        <v>106</v>
      </c>
      <c r="B21" s="10" t="s">
        <v>107</v>
      </c>
      <c r="C21" s="10" t="s">
        <v>260</v>
      </c>
      <c r="D21" s="10"/>
      <c r="E21" s="10"/>
    </row>
    <row r="22" spans="1:5" x14ac:dyDescent="0.25">
      <c r="A22" s="10" t="s">
        <v>108</v>
      </c>
      <c r="B22" s="10" t="s">
        <v>109</v>
      </c>
      <c r="C22" s="10" t="s">
        <v>260</v>
      </c>
      <c r="D22" s="10"/>
      <c r="E22" s="10"/>
    </row>
    <row r="23" spans="1:5" x14ac:dyDescent="0.25">
      <c r="A23" s="10" t="s">
        <v>110</v>
      </c>
      <c r="B23" s="10" t="s">
        <v>111</v>
      </c>
      <c r="C23" s="10" t="s">
        <v>260</v>
      </c>
      <c r="D23" s="10" t="s">
        <v>111</v>
      </c>
      <c r="E23" s="13">
        <v>20230</v>
      </c>
    </row>
    <row r="24" spans="1:5" x14ac:dyDescent="0.25">
      <c r="A24" s="10" t="s">
        <v>92</v>
      </c>
      <c r="B24" s="10" t="s">
        <v>93</v>
      </c>
      <c r="C24" s="10" t="s">
        <v>261</v>
      </c>
      <c r="D24" s="10" t="s">
        <v>269</v>
      </c>
      <c r="E24" s="13">
        <v>20231</v>
      </c>
    </row>
    <row r="25" spans="1:5" x14ac:dyDescent="0.25">
      <c r="A25" s="10" t="s">
        <v>112</v>
      </c>
      <c r="B25" s="10" t="s">
        <v>113</v>
      </c>
      <c r="C25" s="10" t="s">
        <v>260</v>
      </c>
      <c r="D25" s="10"/>
      <c r="E25" s="10"/>
    </row>
    <row r="26" spans="1:5" x14ac:dyDescent="0.25">
      <c r="A26" s="10" t="s">
        <v>114</v>
      </c>
      <c r="B26" s="10" t="s">
        <v>115</v>
      </c>
      <c r="C26" s="10" t="s">
        <v>260</v>
      </c>
      <c r="D26" s="10"/>
      <c r="E26" s="10"/>
    </row>
    <row r="27" spans="1:5" x14ac:dyDescent="0.25">
      <c r="A27" s="10" t="s">
        <v>116</v>
      </c>
      <c r="B27" s="10" t="s">
        <v>117</v>
      </c>
      <c r="C27" s="10" t="s">
        <v>260</v>
      </c>
      <c r="D27" s="10"/>
      <c r="E27" s="10"/>
    </row>
    <row r="28" spans="1:5" x14ac:dyDescent="0.25">
      <c r="A28" s="10" t="s">
        <v>118</v>
      </c>
      <c r="B28" s="10" t="s">
        <v>119</v>
      </c>
      <c r="C28" s="10" t="s">
        <v>260</v>
      </c>
      <c r="D28" s="10"/>
      <c r="E28" s="10"/>
    </row>
    <row r="29" spans="1:5" x14ac:dyDescent="0.25">
      <c r="A29" s="10" t="s">
        <v>120</v>
      </c>
      <c r="B29" s="10" t="s">
        <v>8</v>
      </c>
      <c r="C29" s="10" t="s">
        <v>260</v>
      </c>
      <c r="D29" s="10"/>
      <c r="E29" s="10"/>
    </row>
    <row r="30" spans="1:5" x14ac:dyDescent="0.25">
      <c r="A30" s="10" t="s">
        <v>121</v>
      </c>
      <c r="B30" s="10" t="s">
        <v>8</v>
      </c>
      <c r="C30" s="10" t="s">
        <v>260</v>
      </c>
      <c r="D30" s="10"/>
      <c r="E30" s="10"/>
    </row>
    <row r="31" spans="1:5" x14ac:dyDescent="0.25">
      <c r="A31" s="10" t="s">
        <v>122</v>
      </c>
      <c r="B31" s="10" t="s">
        <v>123</v>
      </c>
      <c r="C31" s="10" t="s">
        <v>260</v>
      </c>
      <c r="D31" s="10"/>
      <c r="E31" s="10"/>
    </row>
    <row r="32" spans="1:5" x14ac:dyDescent="0.25">
      <c r="A32" s="10" t="s">
        <v>124</v>
      </c>
      <c r="B32" s="10" t="s">
        <v>125</v>
      </c>
      <c r="C32" s="10" t="s">
        <v>260</v>
      </c>
      <c r="D32" s="10"/>
      <c r="E32" s="10"/>
    </row>
    <row r="33" spans="1:5" x14ac:dyDescent="0.25">
      <c r="A33" s="10" t="s">
        <v>126</v>
      </c>
      <c r="B33" s="10" t="s">
        <v>127</v>
      </c>
      <c r="C33" s="10" t="s">
        <v>260</v>
      </c>
      <c r="D33" s="10"/>
      <c r="E33" s="10"/>
    </row>
    <row r="34" spans="1:5" x14ac:dyDescent="0.25">
      <c r="A34" s="10" t="s">
        <v>128</v>
      </c>
      <c r="B34" s="10" t="s">
        <v>129</v>
      </c>
      <c r="C34" s="10" t="s">
        <v>260</v>
      </c>
      <c r="D34" s="10"/>
      <c r="E34" s="10"/>
    </row>
    <row r="35" spans="1:5" x14ac:dyDescent="0.25">
      <c r="A35" s="10" t="s">
        <v>130</v>
      </c>
      <c r="B35" s="10" t="s">
        <v>8</v>
      </c>
      <c r="C35" s="10" t="s">
        <v>260</v>
      </c>
      <c r="D35" s="10"/>
      <c r="E35" s="10"/>
    </row>
    <row r="36" spans="1:5" x14ac:dyDescent="0.25">
      <c r="A36" s="10" t="s">
        <v>131</v>
      </c>
      <c r="B36" s="10" t="s">
        <v>8</v>
      </c>
      <c r="C36" s="10" t="s">
        <v>260</v>
      </c>
      <c r="D36" s="10"/>
      <c r="E36" s="10"/>
    </row>
    <row r="37" spans="1:5" x14ac:dyDescent="0.25">
      <c r="A37" s="10" t="s">
        <v>132</v>
      </c>
      <c r="B37" s="10" t="s">
        <v>8</v>
      </c>
      <c r="C37" s="10" t="s">
        <v>260</v>
      </c>
      <c r="D37" s="10"/>
      <c r="E37" s="10"/>
    </row>
    <row r="38" spans="1:5" x14ac:dyDescent="0.25">
      <c r="A38" s="10" t="s">
        <v>133</v>
      </c>
      <c r="B38" s="10" t="s">
        <v>133</v>
      </c>
      <c r="C38" s="10" t="s">
        <v>260</v>
      </c>
      <c r="D38" s="10" t="s">
        <v>133</v>
      </c>
      <c r="E38" s="13">
        <v>30340</v>
      </c>
    </row>
    <row r="39" spans="1:5" x14ac:dyDescent="0.25">
      <c r="A39" s="10" t="s">
        <v>134</v>
      </c>
      <c r="B39" s="10" t="s">
        <v>135</v>
      </c>
      <c r="C39" s="10" t="s">
        <v>261</v>
      </c>
      <c r="D39" s="10" t="s">
        <v>263</v>
      </c>
      <c r="E39" s="10"/>
    </row>
    <row r="40" spans="1:5" x14ac:dyDescent="0.25">
      <c r="A40" s="10" t="s">
        <v>136</v>
      </c>
      <c r="B40" s="10" t="s">
        <v>135</v>
      </c>
      <c r="C40" s="10" t="s">
        <v>260</v>
      </c>
      <c r="D40" s="10" t="s">
        <v>135</v>
      </c>
      <c r="E40" s="13">
        <v>20227</v>
      </c>
    </row>
    <row r="41" spans="1:5" x14ac:dyDescent="0.25">
      <c r="A41" s="10" t="s">
        <v>137</v>
      </c>
      <c r="B41" s="10" t="s">
        <v>135</v>
      </c>
      <c r="C41" s="10" t="s">
        <v>260</v>
      </c>
      <c r="D41" s="10" t="s">
        <v>135</v>
      </c>
      <c r="E41" s="13">
        <v>20227</v>
      </c>
    </row>
    <row r="42" spans="1:5" x14ac:dyDescent="0.25">
      <c r="A42" s="10" t="s">
        <v>138</v>
      </c>
      <c r="B42" s="10" t="s">
        <v>139</v>
      </c>
      <c r="C42" s="10" t="s">
        <v>260</v>
      </c>
      <c r="D42" s="10"/>
      <c r="E42" s="10"/>
    </row>
    <row r="43" spans="1:5" x14ac:dyDescent="0.25">
      <c r="A43" s="10" t="s">
        <v>140</v>
      </c>
      <c r="B43" s="10" t="s">
        <v>141</v>
      </c>
      <c r="C43" s="10" t="s">
        <v>260</v>
      </c>
      <c r="D43" s="10"/>
      <c r="E43" s="10"/>
    </row>
    <row r="44" spans="1:5" x14ac:dyDescent="0.25">
      <c r="A44" s="10" t="s">
        <v>142</v>
      </c>
      <c r="B44" s="10" t="s">
        <v>8</v>
      </c>
      <c r="C44" s="10" t="s">
        <v>260</v>
      </c>
      <c r="D44" s="10"/>
      <c r="E44" s="10"/>
    </row>
    <row r="45" spans="1:5" x14ac:dyDescent="0.25">
      <c r="A45" s="10" t="s">
        <v>132</v>
      </c>
      <c r="B45" s="10" t="s">
        <v>8</v>
      </c>
      <c r="C45" s="10" t="s">
        <v>260</v>
      </c>
      <c r="D45" s="10"/>
      <c r="E45" s="10"/>
    </row>
    <row r="46" spans="1:5" x14ac:dyDescent="0.25">
      <c r="A46" s="10" t="s">
        <v>143</v>
      </c>
      <c r="B46" s="10" t="s">
        <v>143</v>
      </c>
      <c r="C46" s="10" t="s">
        <v>260</v>
      </c>
      <c r="D46" s="10" t="s">
        <v>143</v>
      </c>
      <c r="E46" s="13">
        <v>20209</v>
      </c>
    </row>
    <row r="47" spans="1:5" x14ac:dyDescent="0.25">
      <c r="A47" s="10" t="s">
        <v>133</v>
      </c>
      <c r="B47" s="10" t="s">
        <v>133</v>
      </c>
      <c r="C47" s="10" t="s">
        <v>260</v>
      </c>
      <c r="D47" s="10" t="s">
        <v>133</v>
      </c>
      <c r="E47" s="13">
        <v>25716</v>
      </c>
    </row>
    <row r="48" spans="1:5" x14ac:dyDescent="0.25">
      <c r="A48" s="10" t="s">
        <v>134</v>
      </c>
      <c r="B48" s="10" t="s">
        <v>135</v>
      </c>
      <c r="C48" s="10" t="s">
        <v>261</v>
      </c>
      <c r="D48" s="10" t="s">
        <v>263</v>
      </c>
      <c r="E48" s="10"/>
    </row>
    <row r="49" spans="1:5" x14ac:dyDescent="0.25">
      <c r="A49" s="10" t="s">
        <v>136</v>
      </c>
      <c r="B49" s="10" t="s">
        <v>135</v>
      </c>
      <c r="C49" s="10" t="s">
        <v>260</v>
      </c>
      <c r="D49" s="10" t="s">
        <v>135</v>
      </c>
      <c r="E49" s="13">
        <v>13779</v>
      </c>
    </row>
    <row r="50" spans="1:5" x14ac:dyDescent="0.25">
      <c r="A50" s="10" t="s">
        <v>137</v>
      </c>
      <c r="B50" s="10" t="s">
        <v>135</v>
      </c>
      <c r="C50" s="10" t="s">
        <v>260</v>
      </c>
      <c r="D50" s="10" t="s">
        <v>135</v>
      </c>
      <c r="E50" s="13">
        <v>13779</v>
      </c>
    </row>
    <row r="51" spans="1:5" x14ac:dyDescent="0.25">
      <c r="A51" s="10" t="s">
        <v>144</v>
      </c>
      <c r="B51" s="10" t="s">
        <v>145</v>
      </c>
      <c r="C51" s="10" t="s">
        <v>261</v>
      </c>
      <c r="D51" s="10" t="s">
        <v>270</v>
      </c>
      <c r="E51" s="13">
        <v>20214</v>
      </c>
    </row>
    <row r="52" spans="1:5" x14ac:dyDescent="0.25">
      <c r="A52" s="10" t="s">
        <v>146</v>
      </c>
      <c r="B52" s="10" t="s">
        <v>147</v>
      </c>
      <c r="C52" s="10" t="s">
        <v>260</v>
      </c>
      <c r="D52" s="10"/>
      <c r="E52" s="10"/>
    </row>
    <row r="53" spans="1:5" x14ac:dyDescent="0.25">
      <c r="A53" s="10" t="s">
        <v>138</v>
      </c>
      <c r="B53" s="10" t="s">
        <v>139</v>
      </c>
      <c r="C53" s="10" t="s">
        <v>261</v>
      </c>
      <c r="D53" s="10" t="s">
        <v>271</v>
      </c>
      <c r="E53" s="13">
        <v>13767</v>
      </c>
    </row>
    <row r="54" spans="1:5" x14ac:dyDescent="0.25">
      <c r="A54" s="10" t="s">
        <v>148</v>
      </c>
      <c r="B54" s="10" t="s">
        <v>149</v>
      </c>
      <c r="C54" s="10" t="s">
        <v>260</v>
      </c>
      <c r="D54" s="10"/>
      <c r="E54" s="10"/>
    </row>
    <row r="55" spans="1:5" x14ac:dyDescent="0.25">
      <c r="A55" s="10" t="s">
        <v>150</v>
      </c>
      <c r="B55" s="10" t="s">
        <v>37</v>
      </c>
      <c r="C55" s="10" t="s">
        <v>261</v>
      </c>
      <c r="D55" s="11" t="s">
        <v>272</v>
      </c>
      <c r="E55" s="12">
        <v>13775</v>
      </c>
    </row>
    <row r="56" spans="1:5" x14ac:dyDescent="0.25">
      <c r="A56" s="10" t="s">
        <v>151</v>
      </c>
      <c r="B56" s="10" t="s">
        <v>37</v>
      </c>
      <c r="C56" s="10"/>
      <c r="D56" s="10"/>
      <c r="E56" s="10"/>
    </row>
    <row r="57" spans="1:5" x14ac:dyDescent="0.25">
      <c r="A57" s="10" t="s">
        <v>152</v>
      </c>
      <c r="B57" s="10" t="s">
        <v>153</v>
      </c>
      <c r="C57" s="10" t="s">
        <v>260</v>
      </c>
      <c r="D57" s="10"/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9"/>
  <sheetViews>
    <sheetView workbookViewId="0"/>
  </sheetViews>
  <sheetFormatPr defaultRowHeight="15" x14ac:dyDescent="0.25"/>
  <cols>
    <col min="1" max="1" width="60.140625" customWidth="1"/>
    <col min="2" max="2" width="48.85546875" customWidth="1"/>
    <col min="3" max="3" width="9.425781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40</v>
      </c>
    </row>
    <row r="2" spans="1:8" x14ac:dyDescent="0.25">
      <c r="A2" s="10" t="s">
        <v>24</v>
      </c>
      <c r="B2" s="10" t="s">
        <v>239</v>
      </c>
      <c r="C2" s="10" t="s">
        <v>260</v>
      </c>
      <c r="D2" s="10"/>
      <c r="E2" s="10"/>
      <c r="G2" s="6" t="s">
        <v>261</v>
      </c>
      <c r="H2" s="7">
        <f>COUNTIF(C:C,G2)</f>
        <v>8</v>
      </c>
    </row>
    <row r="3" spans="1:8" ht="15.75" thickBot="1" x14ac:dyDescent="0.3">
      <c r="A3" s="10" t="s">
        <v>154</v>
      </c>
      <c r="B3" s="10" t="s">
        <v>8</v>
      </c>
      <c r="C3" s="10" t="s">
        <v>260</v>
      </c>
      <c r="D3" s="10"/>
      <c r="E3" s="10"/>
      <c r="G3" s="8" t="s">
        <v>262</v>
      </c>
      <c r="H3" s="9">
        <f>H1/SUM(H1:H2)</f>
        <v>0.83333333333333337</v>
      </c>
    </row>
    <row r="4" spans="1:8" x14ac:dyDescent="0.25">
      <c r="A4" s="10" t="s">
        <v>19</v>
      </c>
      <c r="B4" s="10" t="s">
        <v>155</v>
      </c>
      <c r="C4" s="10" t="s">
        <v>260</v>
      </c>
      <c r="D4" s="10"/>
      <c r="E4" s="10"/>
    </row>
    <row r="5" spans="1:8" x14ac:dyDescent="0.25">
      <c r="A5" s="10" t="s">
        <v>17</v>
      </c>
      <c r="B5" s="10" t="s">
        <v>156</v>
      </c>
      <c r="C5" s="10" t="s">
        <v>260</v>
      </c>
      <c r="D5" s="10"/>
      <c r="E5" s="10"/>
    </row>
    <row r="6" spans="1:8" x14ac:dyDescent="0.25">
      <c r="A6" s="11" t="s">
        <v>240</v>
      </c>
      <c r="B6" s="11" t="s">
        <v>166</v>
      </c>
      <c r="C6" s="11" t="s">
        <v>261</v>
      </c>
      <c r="D6" s="11" t="s">
        <v>274</v>
      </c>
      <c r="E6" s="12">
        <v>30576</v>
      </c>
    </row>
    <row r="7" spans="1:8" x14ac:dyDescent="0.25">
      <c r="A7" s="10" t="s">
        <v>157</v>
      </c>
      <c r="B7" s="10" t="s">
        <v>158</v>
      </c>
      <c r="C7" s="10" t="s">
        <v>260</v>
      </c>
      <c r="D7" s="10"/>
      <c r="E7" s="10"/>
    </row>
    <row r="8" spans="1:8" x14ac:dyDescent="0.25">
      <c r="A8" s="10" t="s">
        <v>159</v>
      </c>
      <c r="B8" s="10" t="s">
        <v>160</v>
      </c>
      <c r="C8" s="10" t="s">
        <v>260</v>
      </c>
      <c r="D8" s="10"/>
      <c r="E8" s="10"/>
    </row>
    <row r="9" spans="1:8" x14ac:dyDescent="0.25">
      <c r="A9" s="10" t="s">
        <v>161</v>
      </c>
      <c r="B9" s="10" t="s">
        <v>162</v>
      </c>
      <c r="C9" s="10" t="s">
        <v>260</v>
      </c>
      <c r="D9" s="10"/>
      <c r="E9" s="13"/>
    </row>
    <row r="10" spans="1:8" x14ac:dyDescent="0.25">
      <c r="A10" s="10" t="s">
        <v>163</v>
      </c>
      <c r="B10" s="10" t="s">
        <v>164</v>
      </c>
      <c r="C10" s="10" t="s">
        <v>261</v>
      </c>
      <c r="D10" s="10" t="s">
        <v>191</v>
      </c>
      <c r="E10" s="13">
        <v>30481</v>
      </c>
    </row>
    <row r="11" spans="1:8" x14ac:dyDescent="0.25">
      <c r="A11" s="10" t="s">
        <v>241</v>
      </c>
      <c r="B11" s="10" t="s">
        <v>242</v>
      </c>
      <c r="C11" s="10" t="s">
        <v>260</v>
      </c>
      <c r="D11" s="10" t="s">
        <v>242</v>
      </c>
      <c r="E11" s="13">
        <v>30404</v>
      </c>
    </row>
    <row r="12" spans="1:8" x14ac:dyDescent="0.25">
      <c r="A12" s="10" t="s">
        <v>243</v>
      </c>
      <c r="B12" s="10" t="s">
        <v>168</v>
      </c>
      <c r="C12" s="10" t="s">
        <v>260</v>
      </c>
      <c r="D12" s="10"/>
      <c r="E12" s="10"/>
    </row>
    <row r="13" spans="1:8" x14ac:dyDescent="0.25">
      <c r="A13" s="10" t="s">
        <v>26</v>
      </c>
      <c r="B13" s="10" t="s">
        <v>166</v>
      </c>
      <c r="C13" s="10" t="s">
        <v>260</v>
      </c>
      <c r="D13" s="10"/>
      <c r="E13" s="10"/>
    </row>
    <row r="14" spans="1:8" x14ac:dyDescent="0.25">
      <c r="A14" s="10" t="s">
        <v>169</v>
      </c>
      <c r="B14" s="10" t="s">
        <v>170</v>
      </c>
      <c r="C14" s="10" t="s">
        <v>260</v>
      </c>
      <c r="D14" s="10"/>
      <c r="E14" s="10"/>
    </row>
    <row r="15" spans="1:8" x14ac:dyDescent="0.25">
      <c r="A15" s="10" t="s">
        <v>171</v>
      </c>
      <c r="B15" s="10" t="s">
        <v>8</v>
      </c>
      <c r="C15" s="10" t="s">
        <v>260</v>
      </c>
      <c r="D15" s="10"/>
      <c r="E15" s="10"/>
    </row>
    <row r="16" spans="1:8" x14ac:dyDescent="0.25">
      <c r="A16" s="10" t="s">
        <v>244</v>
      </c>
      <c r="B16" s="10" t="s">
        <v>173</v>
      </c>
      <c r="C16" s="10" t="s">
        <v>260</v>
      </c>
      <c r="D16" s="10"/>
      <c r="E16" s="10"/>
    </row>
    <row r="17" spans="1:5" x14ac:dyDescent="0.25">
      <c r="A17" s="10" t="s">
        <v>245</v>
      </c>
      <c r="B17" s="10" t="s">
        <v>103</v>
      </c>
      <c r="C17" s="10" t="s">
        <v>260</v>
      </c>
      <c r="D17" s="10"/>
      <c r="E17" s="10"/>
    </row>
    <row r="18" spans="1:5" x14ac:dyDescent="0.25">
      <c r="A18" s="10" t="s">
        <v>175</v>
      </c>
      <c r="B18" s="10" t="s">
        <v>176</v>
      </c>
      <c r="C18" s="10" t="s">
        <v>261</v>
      </c>
      <c r="D18" s="10" t="s">
        <v>273</v>
      </c>
      <c r="E18" s="13">
        <v>30452</v>
      </c>
    </row>
    <row r="19" spans="1:5" x14ac:dyDescent="0.25">
      <c r="A19" s="10" t="s">
        <v>246</v>
      </c>
      <c r="B19" s="10" t="s">
        <v>178</v>
      </c>
      <c r="C19" s="10" t="s">
        <v>260</v>
      </c>
      <c r="D19" s="10"/>
      <c r="E19" s="10"/>
    </row>
    <row r="20" spans="1:5" x14ac:dyDescent="0.25">
      <c r="A20" s="10" t="s">
        <v>247</v>
      </c>
      <c r="B20" s="10" t="s">
        <v>180</v>
      </c>
      <c r="C20" s="10" t="s">
        <v>260</v>
      </c>
      <c r="D20" s="10" t="s">
        <v>180</v>
      </c>
      <c r="E20" s="13">
        <v>30454</v>
      </c>
    </row>
    <row r="21" spans="1:5" x14ac:dyDescent="0.25">
      <c r="A21" s="10" t="s">
        <v>248</v>
      </c>
      <c r="B21" s="10" t="s">
        <v>138</v>
      </c>
      <c r="C21" s="10" t="s">
        <v>260</v>
      </c>
      <c r="D21" s="10"/>
      <c r="E21" s="10"/>
    </row>
    <row r="22" spans="1:5" x14ac:dyDescent="0.25">
      <c r="A22" s="10" t="s">
        <v>182</v>
      </c>
      <c r="B22" s="10" t="s">
        <v>183</v>
      </c>
      <c r="C22" s="10" t="s">
        <v>260</v>
      </c>
      <c r="D22" s="10"/>
      <c r="E22" s="10"/>
    </row>
    <row r="23" spans="1:5" x14ac:dyDescent="0.25">
      <c r="A23" s="10" t="s">
        <v>184</v>
      </c>
      <c r="B23" s="10" t="s">
        <v>185</v>
      </c>
      <c r="C23" s="10" t="s">
        <v>260</v>
      </c>
      <c r="D23" s="10"/>
      <c r="E23" s="10"/>
    </row>
    <row r="24" spans="1:5" x14ac:dyDescent="0.25">
      <c r="A24" s="10" t="s">
        <v>186</v>
      </c>
      <c r="B24" s="10" t="s">
        <v>187</v>
      </c>
      <c r="C24" s="10" t="s">
        <v>260</v>
      </c>
      <c r="D24" s="10"/>
      <c r="E24" s="10"/>
    </row>
    <row r="25" spans="1:5" x14ac:dyDescent="0.25">
      <c r="A25" s="10" t="s">
        <v>188</v>
      </c>
      <c r="B25" s="10" t="s">
        <v>8</v>
      </c>
      <c r="C25" s="10" t="s">
        <v>260</v>
      </c>
      <c r="D25" s="10"/>
      <c r="E25" s="10"/>
    </row>
    <row r="26" spans="1:5" x14ac:dyDescent="0.25">
      <c r="A26" s="10" t="s">
        <v>189</v>
      </c>
      <c r="B26" s="10" t="s">
        <v>8</v>
      </c>
      <c r="C26" s="10" t="s">
        <v>260</v>
      </c>
      <c r="D26" s="10"/>
      <c r="E26" s="10"/>
    </row>
    <row r="27" spans="1:5" x14ac:dyDescent="0.25">
      <c r="A27" s="10" t="s">
        <v>190</v>
      </c>
      <c r="B27" s="10" t="s">
        <v>191</v>
      </c>
      <c r="C27" s="10" t="s">
        <v>261</v>
      </c>
      <c r="D27" s="10" t="s">
        <v>164</v>
      </c>
      <c r="E27" s="13">
        <v>30485</v>
      </c>
    </row>
    <row r="28" spans="1:5" x14ac:dyDescent="0.25">
      <c r="A28" s="10" t="s">
        <v>241</v>
      </c>
      <c r="B28" s="10" t="s">
        <v>242</v>
      </c>
      <c r="C28" s="10" t="s">
        <v>260</v>
      </c>
      <c r="D28" s="10" t="s">
        <v>242</v>
      </c>
      <c r="E28" s="13">
        <v>30402</v>
      </c>
    </row>
    <row r="29" spans="1:5" x14ac:dyDescent="0.25">
      <c r="A29" s="10" t="s">
        <v>192</v>
      </c>
      <c r="B29" s="10" t="s">
        <v>193</v>
      </c>
      <c r="C29" s="10" t="s">
        <v>261</v>
      </c>
      <c r="D29" s="10" t="s">
        <v>276</v>
      </c>
      <c r="E29" s="13">
        <v>17563</v>
      </c>
    </row>
    <row r="30" spans="1:5" x14ac:dyDescent="0.25">
      <c r="A30" s="10" t="s">
        <v>194</v>
      </c>
      <c r="B30" s="10" t="s">
        <v>195</v>
      </c>
      <c r="C30" s="10" t="s">
        <v>260</v>
      </c>
      <c r="D30" s="10"/>
      <c r="E30" s="10"/>
    </row>
    <row r="31" spans="1:5" x14ac:dyDescent="0.25">
      <c r="A31" s="10" t="s">
        <v>196</v>
      </c>
      <c r="B31" s="10" t="s">
        <v>197</v>
      </c>
      <c r="C31" s="10" t="s">
        <v>260</v>
      </c>
      <c r="D31" s="10"/>
      <c r="E31" s="10"/>
    </row>
    <row r="32" spans="1:5" x14ac:dyDescent="0.25">
      <c r="A32" s="10" t="s">
        <v>198</v>
      </c>
      <c r="B32" s="10" t="s">
        <v>8</v>
      </c>
      <c r="C32" s="10" t="s">
        <v>260</v>
      </c>
      <c r="D32" s="10"/>
      <c r="E32" s="10"/>
    </row>
    <row r="33" spans="1:5" x14ac:dyDescent="0.25">
      <c r="A33" s="10" t="s">
        <v>199</v>
      </c>
      <c r="B33" s="10" t="s">
        <v>197</v>
      </c>
      <c r="C33" s="10" t="s">
        <v>260</v>
      </c>
      <c r="D33" s="10"/>
      <c r="E33" s="10"/>
    </row>
    <row r="34" spans="1:5" x14ac:dyDescent="0.25">
      <c r="A34" s="10" t="s">
        <v>200</v>
      </c>
      <c r="B34" s="10" t="s">
        <v>201</v>
      </c>
      <c r="C34" s="10" t="s">
        <v>260</v>
      </c>
      <c r="D34" s="10"/>
      <c r="E34" s="10"/>
    </row>
    <row r="35" spans="1:5" x14ac:dyDescent="0.25">
      <c r="A35" s="10" t="s">
        <v>249</v>
      </c>
      <c r="B35" s="10" t="s">
        <v>203</v>
      </c>
      <c r="C35" s="10" t="s">
        <v>260</v>
      </c>
      <c r="D35" s="10"/>
      <c r="E35" s="10"/>
    </row>
    <row r="36" spans="1:5" x14ac:dyDescent="0.25">
      <c r="A36" s="10" t="s">
        <v>204</v>
      </c>
      <c r="B36" s="10" t="s">
        <v>8</v>
      </c>
      <c r="C36" s="10" t="s">
        <v>260</v>
      </c>
      <c r="D36" s="10"/>
      <c r="E36" s="10"/>
    </row>
    <row r="37" spans="1:5" x14ac:dyDescent="0.25">
      <c r="A37" s="10" t="s">
        <v>205</v>
      </c>
      <c r="B37" s="10" t="s">
        <v>8</v>
      </c>
      <c r="C37" s="10" t="s">
        <v>260</v>
      </c>
      <c r="D37" s="10"/>
      <c r="E37" s="10"/>
    </row>
    <row r="38" spans="1:5" x14ac:dyDescent="0.25">
      <c r="A38" s="10" t="s">
        <v>250</v>
      </c>
      <c r="B38" s="10" t="s">
        <v>251</v>
      </c>
      <c r="C38" s="10" t="s">
        <v>260</v>
      </c>
      <c r="D38" s="10"/>
      <c r="E38" s="10"/>
    </row>
    <row r="39" spans="1:5" x14ac:dyDescent="0.25">
      <c r="A39" s="10" t="s">
        <v>208</v>
      </c>
      <c r="B39" s="10" t="s">
        <v>193</v>
      </c>
      <c r="C39" s="10" t="s">
        <v>260</v>
      </c>
      <c r="D39" s="10"/>
      <c r="E39" s="10"/>
    </row>
    <row r="40" spans="1:5" x14ac:dyDescent="0.25">
      <c r="A40" s="10" t="s">
        <v>209</v>
      </c>
      <c r="B40" s="10" t="s">
        <v>8</v>
      </c>
      <c r="C40" s="10" t="s">
        <v>260</v>
      </c>
      <c r="D40" s="10"/>
      <c r="E40" s="10"/>
    </row>
    <row r="41" spans="1:5" x14ac:dyDescent="0.25">
      <c r="A41" s="10" t="s">
        <v>210</v>
      </c>
      <c r="B41" s="10" t="s">
        <v>211</v>
      </c>
      <c r="C41" s="10" t="s">
        <v>260</v>
      </c>
      <c r="D41" s="10"/>
      <c r="E41" s="10"/>
    </row>
    <row r="42" spans="1:5" x14ac:dyDescent="0.25">
      <c r="A42" s="10" t="s">
        <v>252</v>
      </c>
      <c r="B42" s="10" t="s">
        <v>253</v>
      </c>
      <c r="C42" s="10" t="s">
        <v>261</v>
      </c>
      <c r="D42" s="10" t="s">
        <v>277</v>
      </c>
      <c r="E42" s="13">
        <v>30653</v>
      </c>
    </row>
    <row r="43" spans="1:5" x14ac:dyDescent="0.25">
      <c r="A43" s="10" t="s">
        <v>214</v>
      </c>
      <c r="B43" s="10" t="s">
        <v>215</v>
      </c>
      <c r="C43" s="10" t="s">
        <v>260</v>
      </c>
      <c r="D43" s="10"/>
      <c r="E43" s="10"/>
    </row>
    <row r="44" spans="1:5" x14ac:dyDescent="0.25">
      <c r="A44" s="10" t="s">
        <v>216</v>
      </c>
      <c r="B44" s="10" t="s">
        <v>217</v>
      </c>
      <c r="C44" s="10" t="s">
        <v>260</v>
      </c>
      <c r="D44" s="10"/>
      <c r="E44" s="10"/>
    </row>
    <row r="45" spans="1:5" x14ac:dyDescent="0.25">
      <c r="A45" s="10" t="s">
        <v>218</v>
      </c>
      <c r="B45" s="10" t="s">
        <v>219</v>
      </c>
      <c r="C45" s="10" t="s">
        <v>260</v>
      </c>
      <c r="D45" s="10"/>
      <c r="E45" s="10"/>
    </row>
    <row r="46" spans="1:5" x14ac:dyDescent="0.25">
      <c r="A46" s="10" t="s">
        <v>254</v>
      </c>
      <c r="B46" s="10" t="s">
        <v>221</v>
      </c>
      <c r="C46" s="10" t="s">
        <v>261</v>
      </c>
      <c r="D46" s="11" t="s">
        <v>275</v>
      </c>
      <c r="E46" s="12">
        <v>17541</v>
      </c>
    </row>
    <row r="47" spans="1:5" x14ac:dyDescent="0.25">
      <c r="A47" s="10" t="s">
        <v>222</v>
      </c>
      <c r="B47" s="10" t="s">
        <v>223</v>
      </c>
      <c r="C47" s="10" t="s">
        <v>260</v>
      </c>
      <c r="D47" s="10"/>
      <c r="E47" s="10"/>
    </row>
    <row r="48" spans="1:5" x14ac:dyDescent="0.25">
      <c r="A48" s="10" t="s">
        <v>255</v>
      </c>
      <c r="B48" s="10" t="s">
        <v>225</v>
      </c>
      <c r="C48" s="10" t="s">
        <v>260</v>
      </c>
      <c r="D48" s="10"/>
      <c r="E48" s="10"/>
    </row>
    <row r="49" spans="1:5" x14ac:dyDescent="0.25">
      <c r="A49" s="10" t="s">
        <v>256</v>
      </c>
      <c r="B49" s="10" t="s">
        <v>221</v>
      </c>
      <c r="C49" s="10" t="s">
        <v>261</v>
      </c>
      <c r="D49" s="11" t="s">
        <v>275</v>
      </c>
      <c r="E49" s="12">
        <v>17541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workbookViewId="0">
      <selection activeCell="B46" sqref="B46"/>
    </sheetView>
  </sheetViews>
  <sheetFormatPr defaultRowHeight="15" x14ac:dyDescent="0.25"/>
  <cols>
    <col min="1" max="1" width="50.7109375" customWidth="1"/>
    <col min="2" max="2" width="42.5703125" customWidth="1"/>
    <col min="3" max="3" width="11.57031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36</v>
      </c>
    </row>
    <row r="2" spans="1:8" x14ac:dyDescent="0.25">
      <c r="A2" s="10" t="s">
        <v>154</v>
      </c>
      <c r="B2" s="10" t="s">
        <v>8</v>
      </c>
      <c r="C2" s="10" t="s">
        <v>260</v>
      </c>
      <c r="D2" s="10"/>
      <c r="E2" s="10"/>
      <c r="G2" s="6" t="s">
        <v>261</v>
      </c>
      <c r="H2" s="7">
        <f>COUNTIF(C:C,G2)</f>
        <v>9</v>
      </c>
    </row>
    <row r="3" spans="1:8" ht="15.75" thickBot="1" x14ac:dyDescent="0.3">
      <c r="A3" s="10" t="s">
        <v>19</v>
      </c>
      <c r="B3" s="10" t="s">
        <v>155</v>
      </c>
      <c r="C3" s="10" t="s">
        <v>260</v>
      </c>
      <c r="D3" s="10"/>
      <c r="E3" s="10"/>
      <c r="G3" s="8" t="s">
        <v>262</v>
      </c>
      <c r="H3" s="9">
        <f>H1/SUM(H1:H2)</f>
        <v>0.8</v>
      </c>
    </row>
    <row r="4" spans="1:8" x14ac:dyDescent="0.25">
      <c r="A4" s="10" t="s">
        <v>17</v>
      </c>
      <c r="B4" s="10" t="s">
        <v>156</v>
      </c>
      <c r="C4" s="10" t="s">
        <v>260</v>
      </c>
      <c r="D4" s="10"/>
      <c r="E4" s="10"/>
    </row>
    <row r="5" spans="1:8" x14ac:dyDescent="0.25">
      <c r="A5" s="10" t="s">
        <v>157</v>
      </c>
      <c r="B5" s="10" t="s">
        <v>158</v>
      </c>
      <c r="C5" s="10" t="s">
        <v>260</v>
      </c>
      <c r="D5" s="10"/>
      <c r="E5" s="10"/>
    </row>
    <row r="6" spans="1:8" x14ac:dyDescent="0.25">
      <c r="A6" s="10" t="s">
        <v>159</v>
      </c>
      <c r="B6" s="10" t="s">
        <v>160</v>
      </c>
      <c r="C6" s="10" t="s">
        <v>260</v>
      </c>
      <c r="D6" s="10"/>
      <c r="E6" s="10"/>
    </row>
    <row r="7" spans="1:8" x14ac:dyDescent="0.25">
      <c r="A7" s="10" t="s">
        <v>161</v>
      </c>
      <c r="B7" s="10" t="s">
        <v>162</v>
      </c>
      <c r="C7" s="10" t="s">
        <v>260</v>
      </c>
      <c r="D7" s="10"/>
      <c r="E7" s="10"/>
    </row>
    <row r="8" spans="1:8" x14ac:dyDescent="0.25">
      <c r="A8" s="10" t="s">
        <v>163</v>
      </c>
      <c r="B8" s="10" t="s">
        <v>164</v>
      </c>
      <c r="C8" s="10" t="s">
        <v>261</v>
      </c>
      <c r="D8" s="10" t="s">
        <v>191</v>
      </c>
      <c r="E8" s="13">
        <v>30481</v>
      </c>
    </row>
    <row r="9" spans="1:8" x14ac:dyDescent="0.25">
      <c r="A9" s="10" t="s">
        <v>165</v>
      </c>
      <c r="B9" s="10" t="s">
        <v>166</v>
      </c>
      <c r="C9" s="10" t="s">
        <v>261</v>
      </c>
      <c r="D9" s="10" t="s">
        <v>274</v>
      </c>
      <c r="E9" s="13">
        <v>30576</v>
      </c>
    </row>
    <row r="10" spans="1:8" x14ac:dyDescent="0.25">
      <c r="A10" s="10" t="s">
        <v>167</v>
      </c>
      <c r="B10" s="10" t="s">
        <v>168</v>
      </c>
      <c r="C10" s="10" t="s">
        <v>260</v>
      </c>
      <c r="D10" s="10"/>
      <c r="E10" s="10"/>
    </row>
    <row r="11" spans="1:8" x14ac:dyDescent="0.25">
      <c r="A11" s="10" t="s">
        <v>26</v>
      </c>
      <c r="B11" s="10" t="s">
        <v>166</v>
      </c>
      <c r="C11" s="10" t="s">
        <v>260</v>
      </c>
      <c r="D11" s="10"/>
      <c r="E11" s="10"/>
    </row>
    <row r="12" spans="1:8" x14ac:dyDescent="0.25">
      <c r="A12" s="10" t="s">
        <v>169</v>
      </c>
      <c r="B12" s="10" t="s">
        <v>170</v>
      </c>
      <c r="C12" s="10" t="s">
        <v>260</v>
      </c>
      <c r="D12" s="10"/>
      <c r="E12" s="10"/>
    </row>
    <row r="13" spans="1:8" x14ac:dyDescent="0.25">
      <c r="A13" s="10" t="s">
        <v>171</v>
      </c>
      <c r="B13" s="10" t="s">
        <v>8</v>
      </c>
      <c r="C13" s="10" t="s">
        <v>260</v>
      </c>
      <c r="D13" s="10"/>
      <c r="E13" s="10"/>
    </row>
    <row r="14" spans="1:8" x14ac:dyDescent="0.25">
      <c r="A14" s="10" t="s">
        <v>172</v>
      </c>
      <c r="B14" s="10" t="s">
        <v>173</v>
      </c>
      <c r="C14" s="10" t="s">
        <v>260</v>
      </c>
      <c r="D14" s="10"/>
      <c r="E14" s="10"/>
    </row>
    <row r="15" spans="1:8" x14ac:dyDescent="0.25">
      <c r="A15" s="10" t="s">
        <v>174</v>
      </c>
      <c r="B15" s="10" t="s">
        <v>103</v>
      </c>
      <c r="C15" s="10" t="s">
        <v>260</v>
      </c>
      <c r="D15" s="10"/>
      <c r="E15" s="10"/>
    </row>
    <row r="16" spans="1:8" x14ac:dyDescent="0.25">
      <c r="A16" s="10" t="s">
        <v>175</v>
      </c>
      <c r="B16" s="10" t="s">
        <v>176</v>
      </c>
      <c r="C16" s="10" t="s">
        <v>261</v>
      </c>
      <c r="D16" s="10" t="s">
        <v>273</v>
      </c>
      <c r="E16" s="13">
        <v>30452</v>
      </c>
    </row>
    <row r="17" spans="1:5" x14ac:dyDescent="0.25">
      <c r="A17" s="10" t="s">
        <v>177</v>
      </c>
      <c r="B17" s="10" t="s">
        <v>178</v>
      </c>
      <c r="C17" s="10" t="s">
        <v>260</v>
      </c>
      <c r="D17" s="10"/>
      <c r="E17" s="10"/>
    </row>
    <row r="18" spans="1:5" x14ac:dyDescent="0.25">
      <c r="A18" s="10" t="s">
        <v>179</v>
      </c>
      <c r="B18" s="10" t="s">
        <v>180</v>
      </c>
      <c r="C18" s="10" t="s">
        <v>260</v>
      </c>
      <c r="D18" s="10" t="s">
        <v>180</v>
      </c>
      <c r="E18" s="13">
        <v>30454</v>
      </c>
    </row>
    <row r="19" spans="1:5" x14ac:dyDescent="0.25">
      <c r="A19" s="10" t="s">
        <v>181</v>
      </c>
      <c r="B19" s="10" t="s">
        <v>138</v>
      </c>
      <c r="C19" s="10" t="s">
        <v>260</v>
      </c>
      <c r="D19" s="10"/>
      <c r="E19" s="10"/>
    </row>
    <row r="20" spans="1:5" x14ac:dyDescent="0.25">
      <c r="A20" s="10" t="s">
        <v>182</v>
      </c>
      <c r="B20" s="10" t="s">
        <v>183</v>
      </c>
      <c r="C20" s="10" t="s">
        <v>260</v>
      </c>
      <c r="D20" s="10"/>
      <c r="E20" s="10"/>
    </row>
    <row r="21" spans="1:5" x14ac:dyDescent="0.25">
      <c r="A21" s="10" t="s">
        <v>184</v>
      </c>
      <c r="B21" s="10" t="s">
        <v>185</v>
      </c>
      <c r="C21" s="10" t="s">
        <v>260</v>
      </c>
      <c r="D21" s="10"/>
      <c r="E21" s="10"/>
    </row>
    <row r="22" spans="1:5" x14ac:dyDescent="0.25">
      <c r="A22" s="10" t="s">
        <v>186</v>
      </c>
      <c r="B22" s="10" t="s">
        <v>187</v>
      </c>
      <c r="C22" s="10" t="s">
        <v>260</v>
      </c>
      <c r="D22" s="10"/>
      <c r="E22" s="10"/>
    </row>
    <row r="23" spans="1:5" x14ac:dyDescent="0.25">
      <c r="A23" s="10" t="s">
        <v>188</v>
      </c>
      <c r="B23" s="10" t="s">
        <v>8</v>
      </c>
      <c r="C23" s="10" t="s">
        <v>260</v>
      </c>
      <c r="D23" s="10"/>
      <c r="E23" s="10"/>
    </row>
    <row r="24" spans="1:5" x14ac:dyDescent="0.25">
      <c r="A24" s="10" t="s">
        <v>189</v>
      </c>
      <c r="B24" s="10" t="s">
        <v>8</v>
      </c>
      <c r="C24" s="10" t="s">
        <v>260</v>
      </c>
      <c r="D24" s="10"/>
      <c r="E24" s="10"/>
    </row>
    <row r="25" spans="1:5" x14ac:dyDescent="0.25">
      <c r="A25" s="10" t="s">
        <v>190</v>
      </c>
      <c r="B25" s="10" t="s">
        <v>191</v>
      </c>
      <c r="C25" s="10" t="s">
        <v>261</v>
      </c>
      <c r="D25" s="10" t="s">
        <v>164</v>
      </c>
      <c r="E25" s="13">
        <v>30485</v>
      </c>
    </row>
    <row r="26" spans="1:5" x14ac:dyDescent="0.25">
      <c r="A26" s="10" t="s">
        <v>192</v>
      </c>
      <c r="B26" s="10" t="s">
        <v>193</v>
      </c>
      <c r="C26" s="10" t="s">
        <v>261</v>
      </c>
      <c r="D26" s="10" t="s">
        <v>276</v>
      </c>
      <c r="E26" s="13">
        <v>17563</v>
      </c>
    </row>
    <row r="27" spans="1:5" x14ac:dyDescent="0.25">
      <c r="A27" s="10" t="s">
        <v>194</v>
      </c>
      <c r="B27" s="10" t="s">
        <v>195</v>
      </c>
      <c r="C27" s="10" t="s">
        <v>260</v>
      </c>
      <c r="D27" s="10"/>
      <c r="E27" s="10"/>
    </row>
    <row r="28" spans="1:5" x14ac:dyDescent="0.25">
      <c r="A28" s="10" t="s">
        <v>196</v>
      </c>
      <c r="B28" s="10" t="s">
        <v>197</v>
      </c>
      <c r="C28" s="10" t="s">
        <v>260</v>
      </c>
      <c r="D28" s="10"/>
      <c r="E28" s="10"/>
    </row>
    <row r="29" spans="1:5" x14ac:dyDescent="0.25">
      <c r="A29" s="10" t="s">
        <v>198</v>
      </c>
      <c r="B29" s="10" t="s">
        <v>8</v>
      </c>
      <c r="C29" s="10" t="s">
        <v>260</v>
      </c>
      <c r="D29" s="10"/>
      <c r="E29" s="10"/>
    </row>
    <row r="30" spans="1:5" x14ac:dyDescent="0.25">
      <c r="A30" s="10" t="s">
        <v>199</v>
      </c>
      <c r="B30" s="10" t="s">
        <v>197</v>
      </c>
      <c r="C30" s="10" t="s">
        <v>260</v>
      </c>
      <c r="D30" s="10"/>
      <c r="E30" s="10"/>
    </row>
    <row r="31" spans="1:5" x14ac:dyDescent="0.25">
      <c r="A31" s="10" t="s">
        <v>200</v>
      </c>
      <c r="B31" s="10" t="s">
        <v>201</v>
      </c>
      <c r="C31" s="10" t="s">
        <v>260</v>
      </c>
      <c r="D31" s="10"/>
      <c r="E31" s="10"/>
    </row>
    <row r="32" spans="1:5" x14ac:dyDescent="0.25">
      <c r="A32" s="10" t="s">
        <v>202</v>
      </c>
      <c r="B32" s="10" t="s">
        <v>203</v>
      </c>
      <c r="C32" s="10" t="s">
        <v>260</v>
      </c>
      <c r="D32" s="10"/>
      <c r="E32" s="10"/>
    </row>
    <row r="33" spans="1:5" x14ac:dyDescent="0.25">
      <c r="A33" s="10" t="s">
        <v>204</v>
      </c>
      <c r="B33" s="10" t="s">
        <v>8</v>
      </c>
      <c r="C33" s="10" t="s">
        <v>260</v>
      </c>
      <c r="D33" s="10"/>
      <c r="E33" s="10"/>
    </row>
    <row r="34" spans="1:5" x14ac:dyDescent="0.25">
      <c r="A34" s="10" t="s">
        <v>205</v>
      </c>
      <c r="B34" s="10" t="s">
        <v>8</v>
      </c>
      <c r="C34" s="10" t="s">
        <v>260</v>
      </c>
      <c r="D34" s="10"/>
      <c r="E34" s="10"/>
    </row>
    <row r="35" spans="1:5" x14ac:dyDescent="0.25">
      <c r="A35" s="10" t="s">
        <v>206</v>
      </c>
      <c r="B35" s="10" t="s">
        <v>207</v>
      </c>
      <c r="C35" s="10" t="s">
        <v>261</v>
      </c>
      <c r="D35" s="10" t="s">
        <v>251</v>
      </c>
      <c r="E35" s="13">
        <v>17553</v>
      </c>
    </row>
    <row r="36" spans="1:5" x14ac:dyDescent="0.25">
      <c r="A36" s="10" t="s">
        <v>208</v>
      </c>
      <c r="B36" s="10" t="s">
        <v>193</v>
      </c>
      <c r="C36" s="10" t="s">
        <v>260</v>
      </c>
      <c r="D36" s="10"/>
      <c r="E36" s="10"/>
    </row>
    <row r="37" spans="1:5" x14ac:dyDescent="0.25">
      <c r="A37" s="10" t="s">
        <v>209</v>
      </c>
      <c r="B37" s="10" t="s">
        <v>8</v>
      </c>
      <c r="C37" s="10" t="s">
        <v>260</v>
      </c>
      <c r="D37" s="10"/>
      <c r="E37" s="10"/>
    </row>
    <row r="38" spans="1:5" x14ac:dyDescent="0.25">
      <c r="A38" s="10" t="s">
        <v>210</v>
      </c>
      <c r="B38" s="10" t="s">
        <v>211</v>
      </c>
      <c r="C38" s="10" t="s">
        <v>260</v>
      </c>
      <c r="D38" s="10"/>
      <c r="E38" s="10"/>
    </row>
    <row r="39" spans="1:5" x14ac:dyDescent="0.25">
      <c r="A39" s="10" t="s">
        <v>212</v>
      </c>
      <c r="B39" s="10" t="s">
        <v>213</v>
      </c>
      <c r="C39" s="10" t="s">
        <v>261</v>
      </c>
      <c r="D39" s="10" t="s">
        <v>277</v>
      </c>
      <c r="E39" s="13">
        <v>30653</v>
      </c>
    </row>
    <row r="40" spans="1:5" x14ac:dyDescent="0.25">
      <c r="A40" s="10" t="s">
        <v>214</v>
      </c>
      <c r="B40" s="10" t="s">
        <v>215</v>
      </c>
      <c r="C40" s="10" t="s">
        <v>260</v>
      </c>
      <c r="D40" s="10"/>
      <c r="E40" s="10"/>
    </row>
    <row r="41" spans="1:5" x14ac:dyDescent="0.25">
      <c r="A41" s="10" t="s">
        <v>216</v>
      </c>
      <c r="B41" s="10" t="s">
        <v>217</v>
      </c>
      <c r="C41" s="10" t="s">
        <v>260</v>
      </c>
      <c r="D41" s="10"/>
      <c r="E41" s="10"/>
    </row>
    <row r="42" spans="1:5" x14ac:dyDescent="0.25">
      <c r="A42" s="10" t="s">
        <v>218</v>
      </c>
      <c r="B42" s="10" t="s">
        <v>219</v>
      </c>
      <c r="C42" s="10" t="s">
        <v>260</v>
      </c>
      <c r="D42" s="10"/>
      <c r="E42" s="10"/>
    </row>
    <row r="43" spans="1:5" x14ac:dyDescent="0.25">
      <c r="A43" s="10" t="s">
        <v>220</v>
      </c>
      <c r="B43" s="10" t="s">
        <v>221</v>
      </c>
      <c r="C43" s="10" t="s">
        <v>261</v>
      </c>
      <c r="D43" s="11" t="s">
        <v>275</v>
      </c>
      <c r="E43" s="12">
        <v>17541</v>
      </c>
    </row>
    <row r="44" spans="1:5" x14ac:dyDescent="0.25">
      <c r="A44" s="10" t="s">
        <v>222</v>
      </c>
      <c r="B44" s="10" t="s">
        <v>223</v>
      </c>
      <c r="C44" s="10" t="s">
        <v>260</v>
      </c>
      <c r="D44" s="10"/>
      <c r="E44" s="10"/>
    </row>
    <row r="45" spans="1:5" x14ac:dyDescent="0.25">
      <c r="A45" s="10" t="s">
        <v>224</v>
      </c>
      <c r="B45" s="10" t="s">
        <v>225</v>
      </c>
      <c r="C45" s="10" t="s">
        <v>260</v>
      </c>
      <c r="D45" s="10"/>
      <c r="E45" s="10"/>
    </row>
    <row r="46" spans="1:5" x14ac:dyDescent="0.25">
      <c r="A46" s="10" t="s">
        <v>226</v>
      </c>
      <c r="B46" s="10" t="s">
        <v>221</v>
      </c>
      <c r="C46" s="10" t="s">
        <v>261</v>
      </c>
      <c r="D46" s="11" t="s">
        <v>275</v>
      </c>
      <c r="E46" s="12">
        <v>17541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/>
  </sheetViews>
  <sheetFormatPr defaultRowHeight="15" x14ac:dyDescent="0.25"/>
  <cols>
    <col min="1" max="1" width="51.5703125" customWidth="1"/>
    <col min="2" max="2" width="69.7109375" customWidth="1"/>
    <col min="3" max="3" width="9.140625" customWidth="1"/>
    <col min="4" max="4" width="66.42578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0</v>
      </c>
    </row>
    <row r="2" spans="1:8" x14ac:dyDescent="0.25">
      <c r="A2" s="10" t="s">
        <v>63</v>
      </c>
      <c r="B2" s="10" t="s">
        <v>51</v>
      </c>
      <c r="C2" s="10"/>
      <c r="D2" s="14" t="s">
        <v>278</v>
      </c>
      <c r="E2" s="10"/>
      <c r="G2" s="6" t="s">
        <v>261</v>
      </c>
      <c r="H2" s="7">
        <f>COUNTIF(C:C,G2)</f>
        <v>0</v>
      </c>
    </row>
    <row r="3" spans="1:8" ht="15.75" thickBot="1" x14ac:dyDescent="0.3">
      <c r="A3" s="10" t="s">
        <v>64</v>
      </c>
      <c r="B3" s="10" t="s">
        <v>32</v>
      </c>
      <c r="C3" s="10"/>
      <c r="D3" s="10"/>
      <c r="E3" s="10"/>
      <c r="G3" s="8" t="s">
        <v>262</v>
      </c>
      <c r="H3" s="9" t="e">
        <f>H1/SUM(H1:H2)</f>
        <v>#DIV/0!</v>
      </c>
    </row>
    <row r="4" spans="1:8" x14ac:dyDescent="0.25">
      <c r="A4" s="10" t="s">
        <v>66</v>
      </c>
      <c r="B4" s="10" t="s">
        <v>67</v>
      </c>
      <c r="C4" s="10"/>
      <c r="D4" s="10"/>
      <c r="E4" s="10"/>
    </row>
    <row r="5" spans="1:8" x14ac:dyDescent="0.25">
      <c r="A5" s="10" t="s">
        <v>237</v>
      </c>
      <c r="B5" s="10" t="s">
        <v>8</v>
      </c>
      <c r="C5" s="10"/>
      <c r="D5" s="10"/>
      <c r="E5" s="10"/>
    </row>
    <row r="6" spans="1:8" x14ac:dyDescent="0.25">
      <c r="A6" s="10" t="s">
        <v>63</v>
      </c>
      <c r="B6" s="10" t="s">
        <v>51</v>
      </c>
      <c r="C6" s="10"/>
      <c r="D6" s="10"/>
      <c r="E6" s="10"/>
    </row>
    <row r="7" spans="1:8" x14ac:dyDescent="0.25">
      <c r="A7" s="10" t="s">
        <v>64</v>
      </c>
      <c r="B7" s="10" t="s">
        <v>32</v>
      </c>
      <c r="C7" s="10"/>
      <c r="D7" s="10"/>
      <c r="E7" s="10"/>
    </row>
    <row r="8" spans="1:8" x14ac:dyDescent="0.25">
      <c r="A8" s="10" t="s">
        <v>70</v>
      </c>
      <c r="B8" s="10" t="s">
        <v>8</v>
      </c>
      <c r="C8" s="10"/>
      <c r="D8" s="10"/>
      <c r="E8" s="10"/>
    </row>
    <row r="9" spans="1:8" x14ac:dyDescent="0.25">
      <c r="A9" s="10" t="s">
        <v>71</v>
      </c>
      <c r="B9" s="10" t="s">
        <v>8</v>
      </c>
      <c r="C9" s="10"/>
      <c r="D9" s="10"/>
      <c r="E9" s="10"/>
    </row>
    <row r="10" spans="1:8" x14ac:dyDescent="0.25">
      <c r="A10" s="10" t="s">
        <v>72</v>
      </c>
      <c r="B10" s="10" t="s">
        <v>40</v>
      </c>
      <c r="C10" s="10"/>
      <c r="D10" s="10"/>
      <c r="E10" s="10"/>
    </row>
    <row r="11" spans="1:8" x14ac:dyDescent="0.25">
      <c r="A11" s="10" t="s">
        <v>24</v>
      </c>
      <c r="B11" s="10" t="s">
        <v>25</v>
      </c>
      <c r="C11" s="10"/>
      <c r="D11" s="10"/>
      <c r="E11" s="10"/>
    </row>
    <row r="12" spans="1:8" x14ac:dyDescent="0.25">
      <c r="A12" s="10" t="s">
        <v>73</v>
      </c>
      <c r="B12" s="10" t="s">
        <v>8</v>
      </c>
      <c r="C12" s="10"/>
      <c r="D12" s="10"/>
      <c r="E12" s="10"/>
    </row>
    <row r="13" spans="1:8" x14ac:dyDescent="0.25">
      <c r="A13" s="10" t="s">
        <v>63</v>
      </c>
      <c r="B13" s="10" t="s">
        <v>51</v>
      </c>
      <c r="C13" s="10"/>
      <c r="D13" s="10"/>
      <c r="E13" s="10"/>
    </row>
    <row r="14" spans="1:8" x14ac:dyDescent="0.25">
      <c r="A14" s="10" t="s">
        <v>64</v>
      </c>
      <c r="B14" s="10" t="s">
        <v>32</v>
      </c>
      <c r="C14" s="10"/>
      <c r="D14" s="10"/>
      <c r="E14" s="10"/>
    </row>
    <row r="15" spans="1:8" x14ac:dyDescent="0.25">
      <c r="A15" s="10" t="s">
        <v>74</v>
      </c>
      <c r="B15" s="10" t="s">
        <v>35</v>
      </c>
      <c r="C15" s="10"/>
      <c r="D15" s="10"/>
      <c r="E15" s="10"/>
    </row>
    <row r="16" spans="1:8" x14ac:dyDescent="0.25">
      <c r="A16" s="10" t="s">
        <v>75</v>
      </c>
      <c r="B16" s="10" t="s">
        <v>47</v>
      </c>
      <c r="C16" s="10"/>
      <c r="D16" s="10"/>
      <c r="E16" s="10"/>
    </row>
    <row r="17" spans="1:5" x14ac:dyDescent="0.25">
      <c r="A17" s="10" t="s">
        <v>76</v>
      </c>
      <c r="B17" s="10" t="s">
        <v>8</v>
      </c>
      <c r="C17" s="10"/>
      <c r="D17" s="10"/>
      <c r="E17" s="10"/>
    </row>
    <row r="18" spans="1:5" x14ac:dyDescent="0.25">
      <c r="A18" s="10" t="s">
        <v>63</v>
      </c>
      <c r="B18" s="10" t="s">
        <v>51</v>
      </c>
      <c r="C18" s="10"/>
      <c r="D18" s="10"/>
      <c r="E18" s="10"/>
    </row>
    <row r="19" spans="1:5" x14ac:dyDescent="0.25">
      <c r="A19" s="10" t="s">
        <v>64</v>
      </c>
      <c r="B19" s="10" t="s">
        <v>32</v>
      </c>
      <c r="C19" s="10"/>
      <c r="D19" s="10"/>
      <c r="E19" s="10"/>
    </row>
    <row r="20" spans="1:5" x14ac:dyDescent="0.25">
      <c r="A20" s="10" t="s">
        <v>74</v>
      </c>
      <c r="B20" s="10" t="s">
        <v>35</v>
      </c>
      <c r="C20" s="10"/>
      <c r="D20" s="10"/>
      <c r="E20" s="10"/>
    </row>
    <row r="21" spans="1:5" x14ac:dyDescent="0.25">
      <c r="A21" s="10" t="s">
        <v>77</v>
      </c>
      <c r="B21" s="10" t="s">
        <v>8</v>
      </c>
      <c r="C21" s="10"/>
      <c r="D21" s="10"/>
      <c r="E2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D2" sqref="D2"/>
    </sheetView>
  </sheetViews>
  <sheetFormatPr defaultRowHeight="15" x14ac:dyDescent="0.25"/>
  <cols>
    <col min="1" max="1" width="33.85546875" customWidth="1"/>
    <col min="2" max="2" width="62.85546875" customWidth="1"/>
    <col min="3" max="3" width="10.7109375" customWidth="1"/>
    <col min="4" max="4" width="66.42578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5">
        <f>COUNTIF(C:C,G1)</f>
        <v>0</v>
      </c>
    </row>
    <row r="2" spans="1:8" x14ac:dyDescent="0.25">
      <c r="A2" s="10" t="s">
        <v>63</v>
      </c>
      <c r="B2" s="10" t="s">
        <v>51</v>
      </c>
      <c r="C2" s="10"/>
      <c r="D2" s="14" t="s">
        <v>278</v>
      </c>
      <c r="E2" s="10"/>
      <c r="G2" s="6" t="s">
        <v>261</v>
      </c>
      <c r="H2" s="7">
        <f>COUNTIF(C:C,G2)</f>
        <v>0</v>
      </c>
    </row>
    <row r="3" spans="1:8" ht="15.75" thickBot="1" x14ac:dyDescent="0.3">
      <c r="A3" s="10" t="s">
        <v>64</v>
      </c>
      <c r="B3" s="10" t="s">
        <v>32</v>
      </c>
      <c r="C3" s="10"/>
      <c r="D3" s="10"/>
      <c r="E3" s="10"/>
      <c r="G3" s="8" t="s">
        <v>262</v>
      </c>
      <c r="H3" s="9" t="e">
        <f>H1/SUM(H1:H2)</f>
        <v>#DIV/0!</v>
      </c>
    </row>
    <row r="4" spans="1:8" x14ac:dyDescent="0.25">
      <c r="A4" s="10" t="s">
        <v>65</v>
      </c>
      <c r="B4" s="10" t="s">
        <v>3</v>
      </c>
      <c r="C4" s="10"/>
      <c r="D4" s="10"/>
      <c r="E4" s="10"/>
    </row>
    <row r="5" spans="1:8" x14ac:dyDescent="0.25">
      <c r="A5" s="10" t="s">
        <v>66</v>
      </c>
      <c r="B5" s="10" t="s">
        <v>67</v>
      </c>
      <c r="C5" s="10"/>
      <c r="D5" s="10"/>
      <c r="E5" s="10"/>
    </row>
    <row r="6" spans="1:8" x14ac:dyDescent="0.25">
      <c r="A6" s="10" t="s">
        <v>68</v>
      </c>
      <c r="B6" s="10" t="s">
        <v>8</v>
      </c>
      <c r="C6" s="10"/>
      <c r="D6" s="10"/>
      <c r="E6" s="10"/>
    </row>
    <row r="7" spans="1:8" x14ac:dyDescent="0.25">
      <c r="A7" s="10" t="s">
        <v>69</v>
      </c>
      <c r="B7" s="10" t="s">
        <v>25</v>
      </c>
      <c r="C7" s="10"/>
      <c r="D7" s="10"/>
      <c r="E7" s="10"/>
    </row>
    <row r="8" spans="1:8" x14ac:dyDescent="0.25">
      <c r="A8" s="10" t="s">
        <v>63</v>
      </c>
      <c r="B8" s="10" t="s">
        <v>51</v>
      </c>
      <c r="C8" s="10"/>
      <c r="D8" s="10"/>
      <c r="E8" s="10"/>
    </row>
    <row r="9" spans="1:8" x14ac:dyDescent="0.25">
      <c r="A9" s="10" t="s">
        <v>64</v>
      </c>
      <c r="B9" s="10" t="s">
        <v>32</v>
      </c>
      <c r="C9" s="10"/>
      <c r="D9" s="10"/>
      <c r="E9" s="10"/>
    </row>
    <row r="10" spans="1:8" x14ac:dyDescent="0.25">
      <c r="A10" s="10" t="s">
        <v>65</v>
      </c>
      <c r="B10" s="10" t="s">
        <v>3</v>
      </c>
      <c r="C10" s="10"/>
      <c r="D10" s="10"/>
      <c r="E10" s="10"/>
    </row>
    <row r="11" spans="1:8" x14ac:dyDescent="0.25">
      <c r="A11" s="10" t="s">
        <v>70</v>
      </c>
      <c r="B11" s="10" t="s">
        <v>8</v>
      </c>
      <c r="C11" s="10"/>
      <c r="D11" s="10"/>
      <c r="E11" s="10"/>
    </row>
    <row r="12" spans="1:8" x14ac:dyDescent="0.25">
      <c r="A12" s="10" t="s">
        <v>71</v>
      </c>
      <c r="B12" s="10" t="s">
        <v>8</v>
      </c>
      <c r="C12" s="10"/>
      <c r="D12" s="10"/>
      <c r="E12" s="10"/>
    </row>
    <row r="13" spans="1:8" x14ac:dyDescent="0.25">
      <c r="A13" s="10" t="s">
        <v>72</v>
      </c>
      <c r="B13" s="10" t="s">
        <v>40</v>
      </c>
      <c r="C13" s="10"/>
      <c r="D13" s="10"/>
      <c r="E13" s="10"/>
    </row>
    <row r="14" spans="1:8" x14ac:dyDescent="0.25">
      <c r="A14" s="10" t="s">
        <v>24</v>
      </c>
      <c r="B14" s="10" t="s">
        <v>25</v>
      </c>
      <c r="C14" s="10"/>
      <c r="D14" s="10"/>
      <c r="E14" s="10"/>
    </row>
    <row r="15" spans="1:8" x14ac:dyDescent="0.25">
      <c r="A15" s="10" t="s">
        <v>73</v>
      </c>
      <c r="B15" s="10" t="s">
        <v>8</v>
      </c>
      <c r="C15" s="10"/>
      <c r="D15" s="10"/>
      <c r="E15" s="10"/>
    </row>
    <row r="16" spans="1:8" x14ac:dyDescent="0.25">
      <c r="A16" s="10" t="s">
        <v>63</v>
      </c>
      <c r="B16" s="10" t="s">
        <v>51</v>
      </c>
      <c r="C16" s="10"/>
      <c r="D16" s="10"/>
      <c r="E16" s="10"/>
    </row>
    <row r="17" spans="1:5" x14ac:dyDescent="0.25">
      <c r="A17" s="10" t="s">
        <v>64</v>
      </c>
      <c r="B17" s="10" t="s">
        <v>32</v>
      </c>
      <c r="C17" s="10"/>
      <c r="D17" s="10"/>
      <c r="E17" s="10"/>
    </row>
    <row r="18" spans="1:5" x14ac:dyDescent="0.25">
      <c r="A18" s="10" t="s">
        <v>65</v>
      </c>
      <c r="B18" s="10" t="s">
        <v>3</v>
      </c>
      <c r="C18" s="10"/>
      <c r="D18" s="10"/>
      <c r="E18" s="10"/>
    </row>
    <row r="19" spans="1:5" x14ac:dyDescent="0.25">
      <c r="A19" s="10" t="s">
        <v>74</v>
      </c>
      <c r="B19" s="10" t="s">
        <v>35</v>
      </c>
      <c r="C19" s="10"/>
      <c r="D19" s="10"/>
      <c r="E19" s="10"/>
    </row>
    <row r="20" spans="1:5" x14ac:dyDescent="0.25">
      <c r="A20" s="10" t="s">
        <v>75</v>
      </c>
      <c r="B20" s="10" t="s">
        <v>47</v>
      </c>
      <c r="C20" s="10"/>
      <c r="D20" s="10"/>
      <c r="E20" s="10"/>
    </row>
    <row r="21" spans="1:5" x14ac:dyDescent="0.25">
      <c r="A21" s="10" t="s">
        <v>76</v>
      </c>
      <c r="B21" s="10" t="s">
        <v>8</v>
      </c>
      <c r="C21" s="10"/>
      <c r="D21" s="10"/>
      <c r="E21" s="10"/>
    </row>
    <row r="22" spans="1:5" x14ac:dyDescent="0.25">
      <c r="A22" s="10" t="s">
        <v>63</v>
      </c>
      <c r="B22" s="10" t="s">
        <v>51</v>
      </c>
      <c r="C22" s="10"/>
      <c r="D22" s="10"/>
      <c r="E22" s="10"/>
    </row>
    <row r="23" spans="1:5" x14ac:dyDescent="0.25">
      <c r="A23" s="10" t="s">
        <v>64</v>
      </c>
      <c r="B23" s="10" t="s">
        <v>32</v>
      </c>
      <c r="C23" s="10"/>
      <c r="D23" s="10"/>
      <c r="E23" s="10"/>
    </row>
    <row r="24" spans="1:5" x14ac:dyDescent="0.25">
      <c r="A24" s="10" t="s">
        <v>65</v>
      </c>
      <c r="B24" s="10" t="s">
        <v>3</v>
      </c>
      <c r="C24" s="10"/>
      <c r="D24" s="10"/>
      <c r="E24" s="10"/>
    </row>
    <row r="25" spans="1:5" x14ac:dyDescent="0.25">
      <c r="A25" s="10" t="s">
        <v>74</v>
      </c>
      <c r="B25" s="10" t="s">
        <v>35</v>
      </c>
      <c r="C25" s="10"/>
      <c r="D25" s="10"/>
      <c r="E25" s="10"/>
    </row>
    <row r="26" spans="1:5" x14ac:dyDescent="0.25">
      <c r="A26" s="10" t="s">
        <v>77</v>
      </c>
      <c r="B26" s="10" t="s">
        <v>8</v>
      </c>
      <c r="C26" s="10"/>
      <c r="D26" s="10"/>
      <c r="E2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2026-03-23T07:02:43Z</dcterms:created>
  <dcterms:modified xsi:type="dcterms:W3CDTF">2026-03-24T06:57:58Z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2026-03-24T05:24:48Z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ac1f97f5-c840-4241-b4f6-8203115232bb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