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2E614A8D-8366-47B9-BC87-8793219C0B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2" r:id="rId1"/>
    <sheet name="Consolided Profit &amp; Los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1"/>
  <c r="H1" i="1"/>
  <c r="H3" i="2" l="1"/>
  <c r="H3" i="1"/>
</calcChain>
</file>

<file path=xl/sharedStrings.xml><?xml version="1.0" encoding="utf-8"?>
<sst xmlns="http://schemas.openxmlformats.org/spreadsheetml/2006/main" count="247" uniqueCount="92">
  <si>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</si>
  <si>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</si>
  <si>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</si>
  <si>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</si>
  <si>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</si>
  <si>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</si>
  <si>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</si>
  <si>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</si>
  <si>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</si>
  <si>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</si>
  <si>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</si>
  <si>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</si>
  <si>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Excise duty</t>
  </si>
  <si>
    <t>Administration Expenses</t>
  </si>
  <si>
    <t>Purchases of stock - in - trade</t>
  </si>
  <si>
    <t>Purchase of Stock-in-Trade</t>
  </si>
  <si>
    <t>Changes in inventories of finished goods intermediate goods stock - in - trade and work - in­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</si>
  <si>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</si>
  <si>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</si>
  <si>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</si>
  <si>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</si>
  <si>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</si>
  <si>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</si>
  <si>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</si>
  <si>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</si>
  <si>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</si>
  <si>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</si>
  <si>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</si>
  <si>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share of loss of associates and joint ventures</t>
  </si>
  <si>
    <t>Ignore this Field</t>
  </si>
  <si>
    <t>Share of loss of associates and joint ventures</t>
  </si>
  <si>
    <t>Share of Profit/(loss) of associates and Joint Ventures before ebt</t>
  </si>
  <si>
    <t xml:space="preserve">Profit before tax </t>
  </si>
  <si>
    <t>Profit/(Loss) From Ordinary Activities before Tax</t>
  </si>
  <si>
    <t>Tax expense :</t>
  </si>
  <si>
    <t>Current tax</t>
  </si>
  <si>
    <t>Tax Expense</t>
  </si>
  <si>
    <t>Adjustment of tax relating to earlier periods / year</t>
  </si>
  <si>
    <t>Deferred tax charge/(credit )</t>
  </si>
  <si>
    <t>Deferred Tax</t>
  </si>
  <si>
    <t>Total tax expense</t>
  </si>
  <si>
    <t>Total Field</t>
  </si>
  <si>
    <t>Net profit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</si>
  <si>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</si>
  <si>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</si>
  <si>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</si>
  <si>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</si>
  <si>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</si>
  <si>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</si>
  <si>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</si>
  <si>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</si>
  <si>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</si>
  <si>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</si>
  <si>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/ doss )</t>
  </si>
  <si>
    <t>Other Comprehensive Income</t>
  </si>
  <si>
    <t>Total comprehensive income for the periods / year</t>
  </si>
  <si>
    <t>Total Comprehensive Gain (Loss) For the Year</t>
  </si>
  <si>
    <t>Net profit attributable to :</t>
  </si>
  <si>
    <t>Profit (Loss) Attributable To [Total]</t>
  </si>
  <si>
    <t>Owners of the Company</t>
  </si>
  <si>
    <t>Owners of the company</t>
  </si>
  <si>
    <t>Non - controlling interest</t>
  </si>
  <si>
    <t>Other comprehensive income/(loss ) attributable to :</t>
  </si>
  <si>
    <t>Total comprehensive Income attributable to ;</t>
  </si>
  <si>
    <t>Paid - up equity share capital ( face value of 2 each)</t>
  </si>
  <si>
    <t>Paid-Up Equity Share Capital</t>
  </si>
  <si>
    <t>Other equity</t>
  </si>
  <si>
    <t>Reserve excluding Revaluation Reserves (as per Balance Sheet of Previous Accounting Year)</t>
  </si>
  <si>
    <t>Earnings per share ( of 7 2/- each ) ( not annualised for quarters and nine months )</t>
  </si>
  <si>
    <t>Basic</t>
  </si>
  <si>
    <t>Diluted</t>
  </si>
  <si>
    <t>Purchase of stock - in - trade</t>
  </si>
  <si>
    <t>Changes in inventories of finished goods intermediate goods stock - in - trade and work­ in - progress</t>
  </si>
  <si>
    <t>Profit before tax</t>
  </si>
  <si>
    <t>Tax expense</t>
  </si>
  <si>
    <t>Adjustment of tax relating to earlier year</t>
  </si>
  <si>
    <t>Deferred tax charge</t>
  </si>
  <si>
    <t>Total other comprehensive income/(loss )</t>
  </si>
  <si>
    <t>Paid - up equity share capital ( face value of ? 2/- each)</t>
  </si>
  <si>
    <t>Earnings per share(of 7 2/- each ) ( Not annualised for quarters and nine months )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</si>
  <si>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</si>
  <si>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</si>
  <si>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</si>
  <si>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</si>
  <si>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</si>
  <si>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</si>
  <si>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</si>
  <si>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Basic EPS</t>
  </si>
  <si>
    <t>Diluted EPS</t>
  </si>
  <si>
    <t>Non-Controlling Interests</t>
  </si>
  <si>
    <t>*</t>
  </si>
  <si>
    <t>Excise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</si>
</sst>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5" x14ac:dyDescent="0.25"/>
  <cols>
    <col min="1" max="1" width="58" customWidth="1"/>
    <col min="2" max="2" width="76.425781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80</v>
      </c>
      <c r="D1" s="2" t="s">
        <v>81</v>
      </c>
      <c r="E1" s="3" t="s">
        <v>82</v>
      </c>
      <c r="G1" s="4" t="s">
        <v>83</v>
      </c>
      <c r="H1" s="5">
        <f>COUNTIF(C:C,G1)</f>
        <v>24</v>
      </c>
    </row>
    <row r="2" spans="1:8" x14ac:dyDescent="0.25">
      <c r="A2" s="10" t="s">
        <v>2</v>
      </c>
      <c r="B2" s="10" t="s">
        <v>3</v>
      </c>
      <c r="C2" s="10" t="s">
        <v>83</v>
      </c>
      <c r="D2" s="10"/>
      <c r="E2" s="10"/>
      <c r="G2" s="6" t="s">
        <v>84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83</v>
      </c>
      <c r="D3" s="10"/>
      <c r="E3" s="10"/>
      <c r="G3" s="8" t="s">
        <v>85</v>
      </c>
      <c r="H3" s="9">
        <f>H1/SUM(H1:H2)</f>
        <v>0.92307692307692313</v>
      </c>
    </row>
    <row r="4" spans="1:8" x14ac:dyDescent="0.25">
      <c r="A4" s="10" t="s">
        <v>6</v>
      </c>
      <c r="B4" s="10" t="s">
        <v>7</v>
      </c>
      <c r="C4" s="10" t="s">
        <v>83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83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83</v>
      </c>
      <c r="D6" s="10"/>
      <c r="E6" s="10"/>
    </row>
    <row r="7" spans="1:8" x14ac:dyDescent="0.25">
      <c r="A7" s="10" t="s">
        <v>71</v>
      </c>
      <c r="B7" s="10" t="s">
        <v>15</v>
      </c>
      <c r="C7" s="10" t="s">
        <v>83</v>
      </c>
      <c r="D7" s="10"/>
      <c r="E7" s="10"/>
    </row>
    <row r="8" spans="1:8" x14ac:dyDescent="0.25">
      <c r="A8" s="10" t="s">
        <v>72</v>
      </c>
      <c r="B8" s="10" t="s">
        <v>17</v>
      </c>
      <c r="C8" s="10" t="s">
        <v>83</v>
      </c>
      <c r="D8" s="10"/>
      <c r="E8" s="10"/>
    </row>
    <row r="9" spans="1:8" x14ac:dyDescent="0.25">
      <c r="A9" s="10" t="s">
        <v>18</v>
      </c>
      <c r="B9" s="10" t="s">
        <v>19</v>
      </c>
      <c r="C9" s="10" t="s">
        <v>83</v>
      </c>
      <c r="D9" s="10"/>
      <c r="E9" s="10"/>
    </row>
    <row r="10" spans="1:8" x14ac:dyDescent="0.25">
      <c r="A10" s="10" t="s">
        <v>20</v>
      </c>
      <c r="B10" s="10" t="s">
        <v>21</v>
      </c>
      <c r="C10" s="10" t="s">
        <v>83</v>
      </c>
      <c r="D10" s="10"/>
      <c r="E10" s="10"/>
    </row>
    <row r="11" spans="1:8" x14ac:dyDescent="0.25">
      <c r="A11" s="10" t="s">
        <v>22</v>
      </c>
      <c r="B11" s="10" t="s">
        <v>23</v>
      </c>
      <c r="C11" s="10" t="s">
        <v>83</v>
      </c>
      <c r="D11" s="10"/>
      <c r="E11" s="10"/>
    </row>
    <row r="12" spans="1:8" x14ac:dyDescent="0.25">
      <c r="A12" s="10" t="s">
        <v>24</v>
      </c>
      <c r="B12" s="10" t="s">
        <v>25</v>
      </c>
      <c r="C12" s="10" t="s">
        <v>83</v>
      </c>
      <c r="D12" s="10"/>
      <c r="E12" s="10"/>
    </row>
    <row r="13" spans="1:8" x14ac:dyDescent="0.25">
      <c r="A13" s="10" t="s">
        <v>26</v>
      </c>
      <c r="B13" s="10" t="s">
        <v>27</v>
      </c>
      <c r="C13" s="10" t="s">
        <v>83</v>
      </c>
      <c r="D13" s="10"/>
      <c r="E13" s="10"/>
    </row>
    <row r="14" spans="1:8" x14ac:dyDescent="0.25">
      <c r="A14" s="10" t="s">
        <v>73</v>
      </c>
      <c r="B14" s="10" t="s">
        <v>33</v>
      </c>
      <c r="C14" s="10" t="s">
        <v>83</v>
      </c>
      <c r="D14" s="10"/>
      <c r="E14" s="10"/>
    </row>
    <row r="15" spans="1:8" x14ac:dyDescent="0.25">
      <c r="A15" s="10" t="s">
        <v>74</v>
      </c>
      <c r="B15" s="10" t="s">
        <v>36</v>
      </c>
      <c r="C15" s="10" t="s">
        <v>90</v>
      </c>
      <c r="D15" s="10" t="s">
        <v>86</v>
      </c>
      <c r="E15" s="10"/>
    </row>
    <row r="16" spans="1:8" x14ac:dyDescent="0.25">
      <c r="A16" s="10" t="s">
        <v>35</v>
      </c>
      <c r="B16" s="10" t="s">
        <v>36</v>
      </c>
      <c r="C16" s="10" t="s">
        <v>83</v>
      </c>
      <c r="D16" s="10"/>
      <c r="E16" s="10"/>
    </row>
    <row r="17" spans="1:5" x14ac:dyDescent="0.25">
      <c r="A17" s="10" t="s">
        <v>75</v>
      </c>
      <c r="B17" s="10" t="s">
        <v>36</v>
      </c>
      <c r="C17" s="10" t="s">
        <v>83</v>
      </c>
      <c r="D17" s="10"/>
      <c r="E17" s="10"/>
    </row>
    <row r="18" spans="1:5" x14ac:dyDescent="0.25">
      <c r="A18" s="10" t="s">
        <v>76</v>
      </c>
      <c r="B18" s="10" t="s">
        <v>39</v>
      </c>
      <c r="C18" s="10" t="s">
        <v>83</v>
      </c>
      <c r="D18" s="10"/>
      <c r="E18" s="10"/>
    </row>
    <row r="19" spans="1:5" x14ac:dyDescent="0.25">
      <c r="A19" s="10" t="s">
        <v>40</v>
      </c>
      <c r="B19" s="10" t="s">
        <v>41</v>
      </c>
      <c r="C19" s="10" t="s">
        <v>90</v>
      </c>
      <c r="D19" s="10" t="s">
        <v>41</v>
      </c>
      <c r="E19" s="10"/>
    </row>
    <row r="20" spans="1:5" x14ac:dyDescent="0.25">
      <c r="A20" s="10" t="s">
        <v>42</v>
      </c>
      <c r="B20" s="10" t="s">
        <v>43</v>
      </c>
      <c r="C20" s="10" t="s">
        <v>83</v>
      </c>
      <c r="D20" s="10"/>
      <c r="E20" s="10"/>
    </row>
    <row r="21" spans="1:5" x14ac:dyDescent="0.25">
      <c r="A21" s="10" t="s">
        <v>44</v>
      </c>
      <c r="B21" s="10" t="s">
        <v>9</v>
      </c>
      <c r="C21" s="10" t="s">
        <v>83</v>
      </c>
      <c r="D21" s="10"/>
      <c r="E21" s="10"/>
    </row>
    <row r="22" spans="1:5" x14ac:dyDescent="0.25">
      <c r="A22" s="10" t="s">
        <v>45</v>
      </c>
      <c r="B22" s="10" t="s">
        <v>46</v>
      </c>
      <c r="C22" s="10" t="s">
        <v>83</v>
      </c>
      <c r="D22" s="10"/>
      <c r="E22" s="10"/>
    </row>
    <row r="23" spans="1:5" x14ac:dyDescent="0.25">
      <c r="A23" s="10" t="s">
        <v>47</v>
      </c>
      <c r="B23" s="10" t="s">
        <v>48</v>
      </c>
      <c r="C23" s="10" t="s">
        <v>83</v>
      </c>
      <c r="D23" s="10"/>
      <c r="E23" s="10"/>
    </row>
    <row r="24" spans="1:5" x14ac:dyDescent="0.25">
      <c r="A24" s="10" t="s">
        <v>77</v>
      </c>
      <c r="B24" s="10" t="s">
        <v>54</v>
      </c>
      <c r="C24" s="10" t="s">
        <v>83</v>
      </c>
      <c r="D24" s="10"/>
      <c r="E24" s="10"/>
    </row>
    <row r="25" spans="1:5" x14ac:dyDescent="0.25">
      <c r="A25" s="10" t="s">
        <v>55</v>
      </c>
      <c r="B25" s="10" t="s">
        <v>56</v>
      </c>
      <c r="C25" s="10" t="s">
        <v>83</v>
      </c>
      <c r="D25" s="10"/>
      <c r="E25" s="10"/>
    </row>
    <row r="26" spans="1:5" x14ac:dyDescent="0.25">
      <c r="A26" s="10" t="s">
        <v>78</v>
      </c>
      <c r="B26" s="10" t="s">
        <v>65</v>
      </c>
      <c r="C26" s="10" t="s">
        <v>83</v>
      </c>
      <c r="D26" s="10"/>
      <c r="E26" s="10"/>
    </row>
    <row r="27" spans="1:5" x14ac:dyDescent="0.25">
      <c r="A27" s="10" t="s">
        <v>66</v>
      </c>
      <c r="B27" s="10" t="s">
        <v>67</v>
      </c>
      <c r="C27" s="10" t="s">
        <v>83</v>
      </c>
      <c r="D27" s="10"/>
      <c r="E27" s="10"/>
    </row>
    <row r="28" spans="1:5" x14ac:dyDescent="0.25">
      <c r="A28" s="10" t="s">
        <v>79</v>
      </c>
      <c r="B28" s="10" t="s">
        <v>9</v>
      </c>
      <c r="C28" s="10" t="s">
        <v>90</v>
      </c>
      <c r="D28" s="10"/>
      <c r="E28" s="10"/>
    </row>
    <row r="29" spans="1:5" x14ac:dyDescent="0.25">
      <c r="A29" s="10" t="s">
        <v>69</v>
      </c>
      <c r="B29" s="10" t="s">
        <v>9</v>
      </c>
      <c r="C29" s="10" t="s">
        <v>84</v>
      </c>
      <c r="D29" s="10" t="s">
        <v>87</v>
      </c>
      <c r="E29" s="11">
        <v>222</v>
      </c>
    </row>
    <row r="30" spans="1:5" x14ac:dyDescent="0.25">
      <c r="A30" s="10" t="s">
        <v>70</v>
      </c>
      <c r="B30" s="10" t="s">
        <v>9</v>
      </c>
      <c r="C30" s="10" t="s">
        <v>84</v>
      </c>
      <c r="D30" s="10" t="s">
        <v>88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/>
  </sheetViews>
  <sheetFormatPr defaultRowHeight="15" x14ac:dyDescent="0.25"/>
  <cols>
    <col min="1" max="1" width="84.28515625" bestFit="1" customWidth="1"/>
    <col min="2" max="2" width="76.42578125" bestFit="1" customWidth="1"/>
    <col min="3" max="3" width="7.140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80</v>
      </c>
      <c r="D1" s="2" t="s">
        <v>81</v>
      </c>
      <c r="E1" s="3" t="s">
        <v>82</v>
      </c>
      <c r="G1" s="4" t="s">
        <v>83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83</v>
      </c>
      <c r="D2" s="10"/>
      <c r="E2" s="10"/>
      <c r="G2" s="6" t="s">
        <v>84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83</v>
      </c>
      <c r="D3" s="10"/>
      <c r="E3" s="10"/>
      <c r="G3" s="8" t="s">
        <v>85</v>
      </c>
      <c r="H3" s="9">
        <f>H1/SUM(H1:H2)</f>
        <v>0.83333333333333337</v>
      </c>
    </row>
    <row r="4" spans="1:8" x14ac:dyDescent="0.25">
      <c r="A4" s="10" t="s">
        <v>6</v>
      </c>
      <c r="B4" s="10" t="s">
        <v>7</v>
      </c>
      <c r="C4" s="10" t="s">
        <v>83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83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83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84</v>
      </c>
      <c r="D7" s="10" t="s">
        <v>91</v>
      </c>
      <c r="E7" s="11">
        <v>242</v>
      </c>
    </row>
    <row r="8" spans="1:8" x14ac:dyDescent="0.25">
      <c r="A8" s="10" t="s">
        <v>14</v>
      </c>
      <c r="B8" s="10" t="s">
        <v>15</v>
      </c>
      <c r="C8" s="10" t="s">
        <v>83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83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83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83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83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83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83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83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83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83</v>
      </c>
      <c r="D17" s="10"/>
      <c r="E17" s="10"/>
    </row>
    <row r="18" spans="1:5" x14ac:dyDescent="0.25">
      <c r="A18" s="10" t="s">
        <v>34</v>
      </c>
      <c r="B18" s="10" t="s">
        <v>9</v>
      </c>
      <c r="C18" s="10" t="s">
        <v>83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83</v>
      </c>
      <c r="D19" s="10"/>
      <c r="E19" s="10"/>
    </row>
    <row r="20" spans="1:5" x14ac:dyDescent="0.25">
      <c r="A20" s="10" t="s">
        <v>37</v>
      </c>
      <c r="B20" s="10" t="s">
        <v>36</v>
      </c>
      <c r="C20" s="10" t="s">
        <v>83</v>
      </c>
      <c r="D20" s="10"/>
      <c r="E20" s="10"/>
    </row>
    <row r="21" spans="1:5" x14ac:dyDescent="0.25">
      <c r="A21" s="10" t="s">
        <v>38</v>
      </c>
      <c r="B21" s="10" t="s">
        <v>39</v>
      </c>
      <c r="C21" s="10" t="s">
        <v>83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90</v>
      </c>
      <c r="D22" s="10" t="s">
        <v>86</v>
      </c>
      <c r="E22" s="10"/>
    </row>
    <row r="23" spans="1:5" x14ac:dyDescent="0.25">
      <c r="A23" s="10" t="s">
        <v>42</v>
      </c>
      <c r="B23" s="10" t="s">
        <v>43</v>
      </c>
      <c r="C23" s="10" t="s">
        <v>83</v>
      </c>
      <c r="D23" s="10"/>
      <c r="E23" s="10"/>
    </row>
    <row r="24" spans="1:5" x14ac:dyDescent="0.25">
      <c r="A24" s="10" t="s">
        <v>44</v>
      </c>
      <c r="B24" s="10" t="s">
        <v>9</v>
      </c>
      <c r="C24" s="10" t="s">
        <v>83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83</v>
      </c>
      <c r="D25" s="10"/>
      <c r="E25" s="10"/>
    </row>
    <row r="26" spans="1:5" x14ac:dyDescent="0.25">
      <c r="A26" s="10" t="s">
        <v>47</v>
      </c>
      <c r="B26" s="10" t="s">
        <v>48</v>
      </c>
      <c r="C26" s="10" t="s">
        <v>83</v>
      </c>
      <c r="D26" s="10"/>
      <c r="E26" s="10"/>
    </row>
    <row r="27" spans="1:5" x14ac:dyDescent="0.25">
      <c r="A27" s="10" t="s">
        <v>49</v>
      </c>
      <c r="B27" s="10" t="s">
        <v>50</v>
      </c>
      <c r="C27" s="10" t="s">
        <v>83</v>
      </c>
      <c r="D27" s="10"/>
      <c r="E27" s="10"/>
    </row>
    <row r="28" spans="1:5" x14ac:dyDescent="0.25">
      <c r="A28" s="10" t="s">
        <v>51</v>
      </c>
      <c r="B28" s="10" t="s">
        <v>52</v>
      </c>
      <c r="C28" s="10" t="s">
        <v>83</v>
      </c>
      <c r="D28" s="10"/>
      <c r="E28" s="10"/>
    </row>
    <row r="29" spans="1:5" x14ac:dyDescent="0.25">
      <c r="A29" s="10" t="s">
        <v>53</v>
      </c>
      <c r="B29" s="10" t="s">
        <v>54</v>
      </c>
      <c r="C29" s="10" t="s">
        <v>83</v>
      </c>
      <c r="D29" s="10"/>
      <c r="E29" s="10"/>
    </row>
    <row r="30" spans="1:5" x14ac:dyDescent="0.25">
      <c r="A30" s="10" t="s">
        <v>55</v>
      </c>
      <c r="B30" s="10" t="s">
        <v>56</v>
      </c>
      <c r="C30" s="10" t="s">
        <v>83</v>
      </c>
      <c r="D30" s="10"/>
      <c r="E30" s="10"/>
    </row>
    <row r="31" spans="1:5" x14ac:dyDescent="0.25">
      <c r="A31" s="10" t="s">
        <v>57</v>
      </c>
      <c r="B31" s="10" t="s">
        <v>58</v>
      </c>
      <c r="C31" s="10" t="s">
        <v>84</v>
      </c>
      <c r="D31" s="10" t="s">
        <v>86</v>
      </c>
      <c r="E31" s="10"/>
    </row>
    <row r="32" spans="1:5" x14ac:dyDescent="0.25">
      <c r="A32" s="10" t="s">
        <v>59</v>
      </c>
      <c r="B32" s="10" t="s">
        <v>60</v>
      </c>
      <c r="C32" s="10" t="s">
        <v>83</v>
      </c>
      <c r="D32" s="10" t="s">
        <v>60</v>
      </c>
      <c r="E32" s="10">
        <v>22299</v>
      </c>
    </row>
    <row r="33" spans="1:5" x14ac:dyDescent="0.25">
      <c r="A33" s="10" t="s">
        <v>61</v>
      </c>
      <c r="B33" s="10" t="s">
        <v>9</v>
      </c>
      <c r="C33" s="10" t="s">
        <v>84</v>
      </c>
      <c r="D33" s="10" t="s">
        <v>89</v>
      </c>
      <c r="E33" s="11">
        <v>22298</v>
      </c>
    </row>
    <row r="34" spans="1:5" x14ac:dyDescent="0.25">
      <c r="A34" s="10" t="s">
        <v>62</v>
      </c>
      <c r="B34" s="10" t="s">
        <v>9</v>
      </c>
      <c r="C34" s="10" t="s">
        <v>83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83</v>
      </c>
      <c r="D35" s="10" t="s">
        <v>60</v>
      </c>
      <c r="E35" s="11">
        <v>22291</v>
      </c>
    </row>
    <row r="36" spans="1:5" x14ac:dyDescent="0.25">
      <c r="A36" s="10" t="s">
        <v>61</v>
      </c>
      <c r="B36" s="10" t="s">
        <v>9</v>
      </c>
      <c r="C36" s="10" t="s">
        <v>84</v>
      </c>
      <c r="D36" s="10" t="s">
        <v>89</v>
      </c>
      <c r="E36" s="11">
        <v>22290</v>
      </c>
    </row>
    <row r="37" spans="1:5" x14ac:dyDescent="0.25">
      <c r="A37" s="10" t="s">
        <v>63</v>
      </c>
      <c r="B37" s="10" t="s">
        <v>9</v>
      </c>
      <c r="C37" s="10" t="s">
        <v>83</v>
      </c>
      <c r="D37" s="10"/>
      <c r="E37" s="10"/>
    </row>
    <row r="38" spans="1:5" x14ac:dyDescent="0.25">
      <c r="A38" s="10" t="s">
        <v>59</v>
      </c>
      <c r="B38" s="10" t="s">
        <v>60</v>
      </c>
      <c r="C38" s="10" t="s">
        <v>83</v>
      </c>
      <c r="D38" s="10" t="s">
        <v>60</v>
      </c>
      <c r="E38" s="11">
        <v>22303</v>
      </c>
    </row>
    <row r="39" spans="1:5" x14ac:dyDescent="0.25">
      <c r="A39" s="10" t="s">
        <v>61</v>
      </c>
      <c r="B39" s="10" t="s">
        <v>9</v>
      </c>
      <c r="C39" s="10" t="s">
        <v>84</v>
      </c>
      <c r="D39" s="10" t="s">
        <v>89</v>
      </c>
      <c r="E39" s="11">
        <v>22302</v>
      </c>
    </row>
    <row r="40" spans="1:5" x14ac:dyDescent="0.25">
      <c r="A40" s="10" t="s">
        <v>64</v>
      </c>
      <c r="B40" s="10" t="s">
        <v>65</v>
      </c>
      <c r="C40" s="10" t="s">
        <v>83</v>
      </c>
      <c r="D40" s="10"/>
      <c r="E40" s="10"/>
    </row>
    <row r="41" spans="1:5" x14ac:dyDescent="0.25">
      <c r="A41" s="10" t="s">
        <v>66</v>
      </c>
      <c r="B41" s="10" t="s">
        <v>67</v>
      </c>
      <c r="C41" s="10" t="s">
        <v>83</v>
      </c>
      <c r="D41" s="10"/>
      <c r="E41" s="10"/>
    </row>
    <row r="42" spans="1:5" x14ac:dyDescent="0.25">
      <c r="A42" s="10" t="s">
        <v>68</v>
      </c>
      <c r="B42" s="10" t="s">
        <v>9</v>
      </c>
      <c r="C42" s="10" t="s">
        <v>83</v>
      </c>
      <c r="D42" s="10"/>
      <c r="E42" s="10"/>
    </row>
    <row r="43" spans="1:5" x14ac:dyDescent="0.25">
      <c r="A43" s="10" t="s">
        <v>69</v>
      </c>
      <c r="B43" s="10" t="s">
        <v>9</v>
      </c>
      <c r="C43" s="10" t="s">
        <v>84</v>
      </c>
      <c r="D43" s="10" t="s">
        <v>87</v>
      </c>
      <c r="E43" s="11">
        <v>222</v>
      </c>
    </row>
    <row r="44" spans="1:5" x14ac:dyDescent="0.25">
      <c r="A44" s="10" t="s">
        <v>70</v>
      </c>
      <c r="B44" s="10" t="s">
        <v>9</v>
      </c>
      <c r="C44" s="10" t="s">
        <v>84</v>
      </c>
      <c r="D44" s="10" t="s">
        <v>88</v>
      </c>
      <c r="E4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 Profit &amp; Loss</vt:lpstr>
      <vt:lpstr>Consolided 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2026-03-16T08:00:34Z</dcterms:created>
  <dcterms:modified xsi:type="dcterms:W3CDTF">2026-03-24T10:38:31Z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2026-03-23T05:44:00Z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e7eb094e-a56d-46cf-961e-4f910b8b03cf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