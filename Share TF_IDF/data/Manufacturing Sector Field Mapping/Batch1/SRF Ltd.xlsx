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0-03-2026\"/>
    </mc:Choice>
  </mc:AlternateContent>
  <xr:revisionPtr revIDLastSave="0" documentId="13_ncr:1_{10E5BC7E-9AE7-443D-8634-2646E5EFBF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3" r:id="rId3"/>
    <sheet name="Consolidated Balance Sheet" sheetId="6" r:id="rId4"/>
    <sheet name="Standalone Cash Flow" sheetId="2" r:id="rId5"/>
    <sheet name="Consolidated Cash Flow" sheetId="5" r:id="rId6"/>
  </sheets>
  <definedNames>
    <definedName name="_xlnm._FilterDatabase" localSheetId="3" hidden="1">'Consolidated Balance Sheet'!$A$1:$E$55</definedName>
    <definedName name="_xlnm._FilterDatabase" localSheetId="0" hidden="1">'Standalone Profit &amp; Loss'!$A$1:$H$39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5" l="1"/>
  <c r="H1" i="5"/>
  <c r="H3" i="5" l="1"/>
  <c r="H2" i="2"/>
  <c r="H1" i="2"/>
  <c r="H3" i="2" l="1"/>
  <c r="H2" i="3" l="1"/>
  <c r="H1" i="3"/>
  <c r="H2" i="4"/>
  <c r="H1" i="4"/>
  <c r="H3" i="4" s="1"/>
  <c r="H2" i="6" l="1"/>
  <c r="H1" i="6"/>
  <c r="H3" i="3"/>
  <c r="H2" i="1"/>
  <c r="H1" i="1"/>
  <c r="H3" i="6" l="1"/>
  <c r="H3" i="1"/>
</calcChain>
</file>

<file path=xl/sharedStrings.xml><?xml version="1.0" encoding="utf-8"?>
<sst xmlns="http://schemas.openxmlformats.org/spreadsheetml/2006/main" count="985" uniqueCount="270">
  <si>
    <t>Particulars</t>
  </si>
  <si>
    <t>Cogencis Field</t>
  </si>
  <si>
    <t>Sale of products</t>
  </si>
  <si>
    <t>Gross Sales/Income from Operations</t>
  </si>
  <si>
    <t>Other operating revenues</t>
  </si>
  <si>
    <t>Other Operating Income</t>
  </si>
  <si>
    <t>Total Revenue from operations</t>
  </si>
  <si>
    <t>Total Income from Operations (net)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</si>
  <si>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</si>
  <si>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</si>
  <si>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</si>
  <si>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</si>
  <si>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</si>
  <si>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</si>
  <si>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</si>
  <si>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</si>
  <si>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</si>
  <si>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 work - in - progress and stock in trade</t>
  </si>
  <si>
    <t>Changes in Inventories of Finished Goods, Work-In-Progress and Stock-In-Trade</t>
  </si>
  <si>
    <t>Employee benefits expense</t>
  </si>
  <si>
    <t>Employee Benefit Expense</t>
  </si>
  <si>
    <t>Finance cost</t>
  </si>
  <si>
    <t>Finance Costs</t>
  </si>
  <si>
    <t>Depreciation and amortisation expense</t>
  </si>
  <si>
    <t>Depreciation, Depletion and Amortisation Expense</t>
  </si>
  <si>
    <t>Power and fuel</t>
  </si>
  <si>
    <t>Power and Fuel</t>
  </si>
  <si>
    <t>Exchange currency fluctuation ( gain ) / loss</t>
  </si>
  <si>
    <t>Foreign Exchange (Gain)/Loss (Finance Cost)</t>
  </si>
  <si>
    <t>Other expenses</t>
  </si>
  <si>
    <t>Other Expenses</t>
  </si>
  <si>
    <t>Total expenses</t>
  </si>
  <si>
    <t>Total Expenses</t>
  </si>
  <si>
    <t>Profit before tax for the period</t>
  </si>
  <si>
    <t>Profit/(Loss) From Ordinary Activities before Tax</t>
  </si>
  <si>
    <t>Tax expense</t>
  </si>
  <si>
    <t>Tax adjustment related to earlier years</t>
  </si>
  <si>
    <t>Tax Expense</t>
  </si>
  <si>
    <t>Net Profit after tax for the period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</si>
  <si>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</si>
  <si>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</si>
  <si>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</si>
  <si>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</si>
  <si>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Gain / ( loss ) on remeasurement of defined benefit obligation</t>
  </si>
  <si>
    <t>Income tax on item (i)(a) above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</si>
  <si>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</si>
  <si>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</si>
  <si>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</si>
  <si>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Effective portion of gain / ( loss ) on hedging instruments In a cash flow hedge</t>
  </si>
  <si>
    <t>Income tax on item above</t>
  </si>
  <si>
    <t>Cost of hedging reserve</t>
  </si>
  <si>
    <t>Income tax on item (ii)(a) above</t>
  </si>
  <si>
    <t>Total Other Comprehensive Income / (loss) for the period</t>
  </si>
  <si>
    <t>Total Comprehensive Income for the period</t>
  </si>
  <si>
    <t>Total Comprehensive Gain (Loss) For the Year</t>
  </si>
  <si>
    <t>Paid up equity share capital ( Rs.10 each fully paid up )</t>
  </si>
  <si>
    <t>Paid-Up Equity Share Capital</t>
  </si>
  <si>
    <t>Other equity excluding revaluation reserve</t>
  </si>
  <si>
    <t>Reserve excluding Revaluation Reserves (as per Balance Sheet of Previous Accounting Year)</t>
  </si>
  <si>
    <t>Net Worth *</t>
  </si>
  <si>
    <t>Capital Redemption Reserve</t>
  </si>
  <si>
    <t>Basic and Diluted EPS for the period ( not annualised )</t>
  </si>
  <si>
    <t>Basic EPS</t>
  </si>
  <si>
    <t>Profit before tax</t>
  </si>
  <si>
    <t>Net Profit Before Tax And Exceptional Item</t>
  </si>
  <si>
    <t>Adjustments for :</t>
  </si>
  <si>
    <t>Finance costs</t>
  </si>
  <si>
    <t>Interest Expense</t>
  </si>
  <si>
    <t>Interest Income</t>
  </si>
  <si>
    <t>Interest Received</t>
  </si>
  <si>
    <t>Net gain on sale of property plant and equipment</t>
  </si>
  <si>
    <t>Profit On Sale Of Fixed Assets</t>
  </si>
  <si>
    <t>Net gain on financial assets measured at fair value through profit and loss</t>
  </si>
  <si>
    <t>Credit impaired assets provided / written off / ( written back )</t>
  </si>
  <si>
    <t>Provision For Doubtful Debts</t>
  </si>
  <si>
    <t>Amortisation of grant income</t>
  </si>
  <si>
    <t>Payments of lease liabilities</t>
  </si>
  <si>
    <t>Depreciation and Amortisation Expense</t>
  </si>
  <si>
    <t>Property plant and equipment and inventory discarded / provided / ( written back )</t>
  </si>
  <si>
    <t>Miscellaneous Expenditure Written Off</t>
  </si>
  <si>
    <t>Insurance income against Property plant and equipment</t>
  </si>
  <si>
    <t>Fin Lease &amp; Rental Charges</t>
  </si>
  <si>
    <t>Provision/ liabilities no longer required written back</t>
  </si>
  <si>
    <t>Other Provisions Written Off</t>
  </si>
  <si>
    <t>Net exchange currency fluctuation loss</t>
  </si>
  <si>
    <t>Foreign Exchange Gain / Loss</t>
  </si>
  <si>
    <t>Employee share based payment expense</t>
  </si>
  <si>
    <t>Others-Before Working Capital Changes</t>
  </si>
  <si>
    <t>Stamp duty on purchase of investments</t>
  </si>
  <si>
    <t>Adjustments for ( increase ) / decrease in operating assets</t>
  </si>
  <si>
    <t>Trade receivables</t>
  </si>
  <si>
    <t>Trade And Other Receivables</t>
  </si>
  <si>
    <t>Inventories</t>
  </si>
  <si>
    <t>Loans</t>
  </si>
  <si>
    <t>Loans And Advances</t>
  </si>
  <si>
    <t>Other assets</t>
  </si>
  <si>
    <t>Other Current and Non Current Assets</t>
  </si>
  <si>
    <t>Adjustments for increase/ ( decrease ) in operating liabilities:-</t>
  </si>
  <si>
    <t>Trade payables</t>
  </si>
  <si>
    <t>Trade Payables And Others</t>
  </si>
  <si>
    <t>Provisions</t>
  </si>
  <si>
    <t>Other liabilities</t>
  </si>
  <si>
    <t>Other Current and Non Current Liabilities</t>
  </si>
  <si>
    <t>Cash generated from operations</t>
  </si>
  <si>
    <t>Cash Generated From Operations</t>
  </si>
  <si>
    <t>Income taxes paid ( net of refunds )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</si>
  <si>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</si>
  <si>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</si>
  <si>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</si>
  <si>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</si>
  <si>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</si>
  <si>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Net ( purchase)/ sale of current investments</t>
  </si>
  <si>
    <t>Sale Of Investments</t>
  </si>
  <si>
    <t>Income tax paid on sale of investments</t>
  </si>
  <si>
    <t>Others-Investing Activities</t>
  </si>
  <si>
    <t>Purchase of non - current investments</t>
  </si>
  <si>
    <t>Purchase Of Investments</t>
  </si>
  <si>
    <t>Interest received</t>
  </si>
  <si>
    <t>Bank balances not considered as cash and cash equivalents</t>
  </si>
  <si>
    <t>Deposit made with Non Banking Financial Company ( NBFC )</t>
  </si>
  <si>
    <t>Payment for purchase of property plant and equipment capital work - in­ progress and other intangible assets</t>
  </si>
  <si>
    <t>Purchase Of Fixed Assets (Tangible / Intangible)</t>
  </si>
  <si>
    <t>Proceeds from disposal of property plant and equipment</t>
  </si>
  <si>
    <t>Sale Of Fixed Assets (Tangible / Intangible)</t>
  </si>
  <si>
    <t>Government grant received</t>
  </si>
  <si>
    <t>Others-Financing Activities</t>
  </si>
  <si>
    <t>Loans given to subsidiary</t>
  </si>
  <si>
    <t>Loans To Subsidiaries</t>
  </si>
  <si>
    <t>Repayment of loans by subsidiaries</t>
  </si>
  <si>
    <t>Cash Receipts from Repayment of Advances and Loans Made to Other Parties</t>
  </si>
  <si>
    <t>Net cash used in investing activities</t>
  </si>
  <si>
    <t>CASH FLOW FROM FINANCING ACTIVITIES</t>
  </si>
  <si>
    <t>Proceeds from long term borrowings</t>
  </si>
  <si>
    <t>Proceeds From Long Term Borrowings</t>
  </si>
  <si>
    <t>Repayment of long term borrowings</t>
  </si>
  <si>
    <t>Repayment Of Long Term Borrowings</t>
  </si>
  <si>
    <t>Net proceeds from / ( repayment of ) short term borrowings</t>
  </si>
  <si>
    <t>Dividends on equity share capital paid</t>
  </si>
  <si>
    <t>Dividend Paid</t>
  </si>
  <si>
    <t>Payment towards lease liability</t>
  </si>
  <si>
    <t>Finance costs paid</t>
  </si>
  <si>
    <t>Interest Paid</t>
  </si>
  <si>
    <t>Net cash used in financing activities</t>
  </si>
  <si>
    <t>Net Cash Flow From Financing Activities</t>
  </si>
  <si>
    <t>Net decrease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</si>
  <si>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</si>
  <si>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</si>
  <si>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</si>
  <si>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period</t>
  </si>
  <si>
    <t>Cash and Cash Equivalents at the End of the Year</t>
  </si>
  <si>
    <t>Non - current assets</t>
  </si>
  <si>
    <t>Property plant and equipment</t>
  </si>
  <si>
    <t>Property, Plant &amp; Equipment</t>
  </si>
  <si>
    <t>Right - of - use assets</t>
  </si>
  <si>
    <t>Right-of-use asset</t>
  </si>
  <si>
    <t>Capital work - in - progress</t>
  </si>
  <si>
    <t>Capital Work-In-Progress</t>
  </si>
  <si>
    <t>Other intangible assets</t>
  </si>
  <si>
    <t>Other Intangible Assets</t>
  </si>
  <si>
    <t>Financial assets</t>
  </si>
  <si>
    <t>Investments</t>
  </si>
  <si>
    <t>Non-Current Investments</t>
  </si>
  <si>
    <t>Loans, Current</t>
  </si>
  <si>
    <t>Others financial assets</t>
  </si>
  <si>
    <t>Other Current Financial Assets</t>
  </si>
  <si>
    <t>Other tax assets ( net )</t>
  </si>
  <si>
    <t>Income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</si>
  <si>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</si>
  <si>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</si>
  <si>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</si>
  <si>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</si>
  <si>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</si>
  <si>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</si>
  <si>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</si>
  <si>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</si>
  <si>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</si>
  <si>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</si>
  <si>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financial assets</t>
  </si>
  <si>
    <t>Other Non-Current Financial Assets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</si>
  <si>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</si>
  <si>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</si>
  <si>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</si>
  <si>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</si>
  <si>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</si>
  <si>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</si>
  <si>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</si>
  <si>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</si>
  <si>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</si>
  <si>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</si>
  <si>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</si>
  <si>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</si>
  <si>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</si>
  <si>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</si>
  <si>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</si>
  <si>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</si>
  <si>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</si>
  <si>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</si>
  <si>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</si>
  <si>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Other financial liabilities</t>
  </si>
  <si>
    <t>Other Non Current Financial Liabilities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</si>
  <si>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</si>
  <si>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</si>
  <si>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</si>
  <si>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</si>
  <si>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</si>
  <si>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</si>
  <si>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</si>
  <si>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</si>
  <si>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</si>
  <si>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</si>
  <si>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</si>
  <si>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</si>
  <si>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Current tax liabilities ( net )</t>
  </si>
  <si>
    <t>Current Tax Liabilities (Net)</t>
  </si>
  <si>
    <t>Total current liabilities</t>
  </si>
  <si>
    <t>Total Current Liabilities</t>
  </si>
  <si>
    <t>Total liabilities</t>
  </si>
  <si>
    <t>Total Field</t>
  </si>
  <si>
    <t>Total equity and liabilities</t>
  </si>
  <si>
    <t>Total Equity And Liabilities</t>
  </si>
  <si>
    <t>Gain /(loss ) on remeasurements of the defined benefit obligation</t>
  </si>
  <si>
    <t>Income tax on item (i) (a) above</t>
  </si>
  <si>
    <t>Effective portion of gain/ ( loss ) on hedging instruments in a cash flow hedge</t>
  </si>
  <si>
    <t>Income tax on item (ii) (a) above</t>
  </si>
  <si>
    <t>Exchange differences on translation of foreign operations</t>
  </si>
  <si>
    <t>Total Other Comprehensive Income /(loss ) for the period</t>
  </si>
  <si>
    <t>Total Comprehensive Income / ( loss ) for the period</t>
  </si>
  <si>
    <t>Net (gain) / loss on sale of property, plant and equipment</t>
  </si>
  <si>
    <t>Credit impaired assets provided/ ( written back )</t>
  </si>
  <si>
    <t>Property plant and equipment /inventory and other assets provided /written off ( written back )</t>
  </si>
  <si>
    <t>Provision / liabilities no longer required written back</t>
  </si>
  <si>
    <t>Net exchange currency fluctuations ( gain)/ loss</t>
  </si>
  <si>
    <t>Stamp duty on purchase of Investments</t>
  </si>
  <si>
    <t>Changes in working capital :</t>
  </si>
  <si>
    <t>Adjustments for ( increase)/ decrease in operating assets :</t>
  </si>
  <si>
    <t>Adjustments for increase/ ( decrease ) in operating liabilities :</t>
  </si>
  <si>
    <t>Net ( purchase ) / Sale of current investments</t>
  </si>
  <si>
    <t>Payment for purchase of property plant equipment capital work - in - progress and intangible assets</t>
  </si>
  <si>
    <t>Deposits made with Non Banking Financial Company</t>
  </si>
  <si>
    <t>Net proceeds of short term borrowings</t>
  </si>
  <si>
    <t>Net cash generated from/ ( used in ) financing activities</t>
  </si>
  <si>
    <t>EFFECT OF EXCHANGE RATE MOVEMENTS</t>
  </si>
  <si>
    <t>Effect of Exchange Fluctuation Translation Reserve</t>
  </si>
  <si>
    <t>Net increase/ ( decrease ) in cash and cash equivalents</t>
  </si>
  <si>
    <t>Deferred tax assets</t>
  </si>
  <si>
    <t>Deferred Tax Assets (Net)</t>
  </si>
  <si>
    <t>Non Current tax assets ( net )</t>
  </si>
  <si>
    <t>Financial Assets</t>
  </si>
  <si>
    <t>Financial Liabilities</t>
  </si>
  <si>
    <t>Status</t>
  </si>
  <si>
    <t>Field id</t>
  </si>
  <si>
    <t>Correct</t>
  </si>
  <si>
    <t>Incorrect</t>
  </si>
  <si>
    <t>Accuracy %</t>
  </si>
  <si>
    <t>Income Tax related to items that will be reclassified to Profit or Loss</t>
  </si>
  <si>
    <t>Basic EPS / Diluted EPS</t>
  </si>
  <si>
    <t>222 / 234</t>
  </si>
  <si>
    <t>Correct Field Mapping</t>
  </si>
  <si>
    <t>Ignore this field</t>
  </si>
  <si>
    <t>Current Investments</t>
  </si>
  <si>
    <t>Other Current Financial Liabilities</t>
  </si>
  <si>
    <t>Short-Term Provisions</t>
  </si>
  <si>
    <t>Employees Stock Options Grants</t>
  </si>
  <si>
    <t>Fixed Deposits</t>
  </si>
  <si>
    <t>Exchange (Gain)/Loss</t>
  </si>
  <si>
    <t>Revenue from operations</t>
  </si>
  <si>
    <t>This field was not captured, added manually</t>
  </si>
  <si>
    <t>Loans Non-Current</t>
  </si>
  <si>
    <t>Repayment Of Short Term Borrowings</t>
  </si>
  <si>
    <t>Proceeds from Government Grants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</si>
</sst>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4" fillId="3" borderId="0" xfId="0" applyFont="1" applyFill="1" applyAlignment="1">
      <alignment horizontal="left" vertical="top"/>
    </xf>
    <xf numFmtId="0" fontId="1" fillId="3" borderId="0" xfId="0" applyFont="1" applyFill="1" applyAlignment="1">
      <alignment horizontal="center" vertical="top"/>
    </xf>
    <xf numFmtId="0" fontId="0" fillId="3" borderId="0" xfId="0" applyFill="1"/>
    <xf numFmtId="0" fontId="3" fillId="3" borderId="0" xfId="0" applyFont="1" applyFill="1" applyAlignment="1">
      <alignment horizontal="center"/>
    </xf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/>
  </sheetViews>
  <sheetFormatPr defaultRowHeight="15" x14ac:dyDescent="0.25"/>
  <cols>
    <col min="1" max="1" width="45.7109375" customWidth="1"/>
    <col min="2" max="2" width="50.42578125" customWidth="1"/>
    <col min="4" max="4" width="26" customWidth="1"/>
  </cols>
  <sheetData>
    <row r="1" spans="1:8" x14ac:dyDescent="0.25">
      <c r="A1" s="1" t="s">
        <v>0</v>
      </c>
      <c r="B1" s="1" t="s">
        <v>1</v>
      </c>
      <c r="C1" s="2" t="s">
        <v>249</v>
      </c>
      <c r="D1" s="2" t="s">
        <v>257</v>
      </c>
      <c r="E1" s="3" t="s">
        <v>250</v>
      </c>
      <c r="G1" s="4" t="s">
        <v>251</v>
      </c>
      <c r="H1" s="5">
        <f>COUNTIF(C:C,G1)</f>
        <v>27</v>
      </c>
    </row>
    <row r="2" spans="1:8" x14ac:dyDescent="0.25">
      <c r="A2" s="10" t="s">
        <v>265</v>
      </c>
      <c r="B2" s="11"/>
      <c r="C2" s="12" t="s">
        <v>252</v>
      </c>
      <c r="D2" s="12" t="s">
        <v>12</v>
      </c>
      <c r="E2" s="13"/>
      <c r="F2" s="12" t="s">
        <v>266</v>
      </c>
      <c r="G2" s="6" t="s">
        <v>252</v>
      </c>
      <c r="H2" s="7">
        <f>COUNTIF(C:C,G2)</f>
        <v>11</v>
      </c>
    </row>
    <row r="3" spans="1:8" ht="15.75" thickBot="1" x14ac:dyDescent="0.3">
      <c r="A3" t="s">
        <v>2</v>
      </c>
      <c r="B3" t="s">
        <v>3</v>
      </c>
      <c r="C3" t="s">
        <v>251</v>
      </c>
      <c r="G3" s="8" t="s">
        <v>253</v>
      </c>
      <c r="H3" s="9">
        <f>H1/SUM(H1:H2)</f>
        <v>0.71052631578947367</v>
      </c>
    </row>
    <row r="4" spans="1:8" x14ac:dyDescent="0.25">
      <c r="A4" t="s">
        <v>4</v>
      </c>
      <c r="B4" t="s">
        <v>5</v>
      </c>
      <c r="C4" t="s">
        <v>251</v>
      </c>
    </row>
    <row r="5" spans="1:8" x14ac:dyDescent="0.25">
      <c r="A5" t="s">
        <v>6</v>
      </c>
      <c r="B5" t="s">
        <v>7</v>
      </c>
      <c r="C5" t="s">
        <v>251</v>
      </c>
    </row>
    <row r="6" spans="1:8" x14ac:dyDescent="0.25">
      <c r="A6" t="s">
        <v>8</v>
      </c>
      <c r="B6" t="s">
        <v>9</v>
      </c>
      <c r="C6" t="s">
        <v>251</v>
      </c>
    </row>
    <row r="7" spans="1:8" x14ac:dyDescent="0.25">
      <c r="A7" t="s">
        <v>10</v>
      </c>
      <c r="B7" t="s">
        <v>10</v>
      </c>
      <c r="C7" t="s">
        <v>251</v>
      </c>
    </row>
    <row r="8" spans="1:8" x14ac:dyDescent="0.25">
      <c r="A8" t="s">
        <v>11</v>
      </c>
      <c r="B8" t="s">
        <v>12</v>
      </c>
      <c r="C8" t="s">
        <v>251</v>
      </c>
    </row>
    <row r="9" spans="1:8" x14ac:dyDescent="0.25">
      <c r="A9" t="s">
        <v>13</v>
      </c>
      <c r="B9" t="s">
        <v>14</v>
      </c>
      <c r="C9" t="s">
        <v>251</v>
      </c>
    </row>
    <row r="10" spans="1:8" x14ac:dyDescent="0.25">
      <c r="A10" t="s">
        <v>15</v>
      </c>
      <c r="B10" t="s">
        <v>16</v>
      </c>
      <c r="C10" t="s">
        <v>251</v>
      </c>
    </row>
    <row r="11" spans="1:8" x14ac:dyDescent="0.25">
      <c r="A11" t="s">
        <v>17</v>
      </c>
      <c r="B11" t="s">
        <v>18</v>
      </c>
      <c r="C11" t="s">
        <v>251</v>
      </c>
    </row>
    <row r="12" spans="1:8" x14ac:dyDescent="0.25">
      <c r="A12" t="s">
        <v>19</v>
      </c>
      <c r="B12" t="s">
        <v>20</v>
      </c>
      <c r="C12" t="s">
        <v>251</v>
      </c>
    </row>
    <row r="13" spans="1:8" x14ac:dyDescent="0.25">
      <c r="A13" t="s">
        <v>21</v>
      </c>
      <c r="B13" t="s">
        <v>22</v>
      </c>
      <c r="C13" t="s">
        <v>251</v>
      </c>
    </row>
    <row r="14" spans="1:8" x14ac:dyDescent="0.25">
      <c r="A14" t="s">
        <v>23</v>
      </c>
      <c r="B14" t="s">
        <v>24</v>
      </c>
      <c r="C14" t="s">
        <v>251</v>
      </c>
    </row>
    <row r="15" spans="1:8" x14ac:dyDescent="0.25">
      <c r="A15" t="s">
        <v>25</v>
      </c>
      <c r="B15" t="s">
        <v>26</v>
      </c>
      <c r="C15" t="s">
        <v>251</v>
      </c>
    </row>
    <row r="16" spans="1:8" x14ac:dyDescent="0.25">
      <c r="A16" t="s">
        <v>27</v>
      </c>
      <c r="B16" t="s">
        <v>28</v>
      </c>
      <c r="C16" t="s">
        <v>252</v>
      </c>
      <c r="D16" t="s">
        <v>264</v>
      </c>
      <c r="E16">
        <v>240</v>
      </c>
    </row>
    <row r="17" spans="1:5" x14ac:dyDescent="0.25">
      <c r="A17" t="s">
        <v>29</v>
      </c>
      <c r="B17" t="s">
        <v>30</v>
      </c>
      <c r="C17" t="s">
        <v>251</v>
      </c>
    </row>
    <row r="18" spans="1:5" x14ac:dyDescent="0.25">
      <c r="A18" t="s">
        <v>31</v>
      </c>
      <c r="B18" t="s">
        <v>32</v>
      </c>
      <c r="C18" t="s">
        <v>251</v>
      </c>
    </row>
    <row r="19" spans="1:5" x14ac:dyDescent="0.25">
      <c r="A19" t="s">
        <v>33</v>
      </c>
      <c r="B19" t="s">
        <v>34</v>
      </c>
      <c r="C19" t="s">
        <v>251</v>
      </c>
    </row>
    <row r="20" spans="1:5" x14ac:dyDescent="0.25">
      <c r="A20" t="s">
        <v>35</v>
      </c>
      <c r="B20" t="s">
        <v>12</v>
      </c>
      <c r="C20" t="s">
        <v>251</v>
      </c>
    </row>
    <row r="21" spans="1:5" x14ac:dyDescent="0.25">
      <c r="A21" t="s">
        <v>35</v>
      </c>
      <c r="B21" t="s">
        <v>12</v>
      </c>
      <c r="C21" t="s">
        <v>252</v>
      </c>
      <c r="D21" t="s">
        <v>37</v>
      </c>
      <c r="E21">
        <v>318</v>
      </c>
    </row>
    <row r="22" spans="1:5" x14ac:dyDescent="0.25">
      <c r="A22" t="s">
        <v>36</v>
      </c>
      <c r="B22" t="s">
        <v>37</v>
      </c>
      <c r="C22" t="s">
        <v>251</v>
      </c>
    </row>
    <row r="23" spans="1:5" x14ac:dyDescent="0.25">
      <c r="A23" t="s">
        <v>38</v>
      </c>
      <c r="B23" t="s">
        <v>39</v>
      </c>
      <c r="C23" t="s">
        <v>251</v>
      </c>
    </row>
    <row r="24" spans="1:5" x14ac:dyDescent="0.25">
      <c r="A24" t="s">
        <v>40</v>
      </c>
      <c r="B24" t="s">
        <v>12</v>
      </c>
      <c r="C24" t="s">
        <v>251</v>
      </c>
    </row>
    <row r="25" spans="1:5" x14ac:dyDescent="0.25">
      <c r="A25" t="s">
        <v>41</v>
      </c>
      <c r="B25" t="s">
        <v>42</v>
      </c>
      <c r="C25" t="s">
        <v>252</v>
      </c>
      <c r="D25" t="s">
        <v>12</v>
      </c>
    </row>
    <row r="26" spans="1:5" x14ac:dyDescent="0.25">
      <c r="A26" t="s">
        <v>43</v>
      </c>
      <c r="B26" t="s">
        <v>42</v>
      </c>
      <c r="C26" t="s">
        <v>251</v>
      </c>
    </row>
    <row r="27" spans="1:5" x14ac:dyDescent="0.25">
      <c r="A27" t="s">
        <v>44</v>
      </c>
      <c r="B27" t="s">
        <v>45</v>
      </c>
      <c r="C27" t="s">
        <v>251</v>
      </c>
    </row>
    <row r="28" spans="1:5" x14ac:dyDescent="0.25">
      <c r="A28" t="s">
        <v>46</v>
      </c>
      <c r="B28" t="s">
        <v>47</v>
      </c>
      <c r="C28" t="s">
        <v>252</v>
      </c>
      <c r="D28" t="s">
        <v>12</v>
      </c>
    </row>
    <row r="29" spans="1:5" x14ac:dyDescent="0.25">
      <c r="A29" t="s">
        <v>48</v>
      </c>
      <c r="B29" t="s">
        <v>47</v>
      </c>
      <c r="C29" t="s">
        <v>251</v>
      </c>
    </row>
    <row r="30" spans="1:5" x14ac:dyDescent="0.25">
      <c r="A30" t="s">
        <v>49</v>
      </c>
      <c r="B30" t="s">
        <v>45</v>
      </c>
      <c r="C30" t="s">
        <v>252</v>
      </c>
      <c r="D30" t="s">
        <v>254</v>
      </c>
      <c r="E30">
        <v>22296</v>
      </c>
    </row>
    <row r="31" spans="1:5" x14ac:dyDescent="0.25">
      <c r="A31" t="s">
        <v>50</v>
      </c>
      <c r="B31" t="s">
        <v>37</v>
      </c>
      <c r="C31" t="s">
        <v>252</v>
      </c>
      <c r="D31" t="s">
        <v>47</v>
      </c>
      <c r="E31">
        <v>22294</v>
      </c>
    </row>
    <row r="32" spans="1:5" x14ac:dyDescent="0.25">
      <c r="A32" t="s">
        <v>51</v>
      </c>
      <c r="B32" t="s">
        <v>45</v>
      </c>
      <c r="C32" t="s">
        <v>252</v>
      </c>
      <c r="D32" t="s">
        <v>254</v>
      </c>
      <c r="E32">
        <v>22296</v>
      </c>
    </row>
    <row r="33" spans="1:5" x14ac:dyDescent="0.25">
      <c r="A33" t="s">
        <v>52</v>
      </c>
      <c r="B33" t="s">
        <v>40</v>
      </c>
      <c r="C33" t="s">
        <v>251</v>
      </c>
    </row>
    <row r="34" spans="1:5" x14ac:dyDescent="0.25">
      <c r="A34" t="s">
        <v>53</v>
      </c>
      <c r="B34" t="s">
        <v>54</v>
      </c>
      <c r="C34" t="s">
        <v>251</v>
      </c>
    </row>
    <row r="35" spans="1:5" x14ac:dyDescent="0.25">
      <c r="A35" t="s">
        <v>55</v>
      </c>
      <c r="B35" t="s">
        <v>56</v>
      </c>
      <c r="C35" t="s">
        <v>251</v>
      </c>
    </row>
    <row r="36" spans="1:5" x14ac:dyDescent="0.25">
      <c r="A36" t="s">
        <v>57</v>
      </c>
      <c r="B36" t="s">
        <v>58</v>
      </c>
      <c r="C36" t="s">
        <v>251</v>
      </c>
    </row>
    <row r="37" spans="1:5" x14ac:dyDescent="0.25">
      <c r="A37" t="s">
        <v>59</v>
      </c>
      <c r="B37" t="s">
        <v>56</v>
      </c>
      <c r="C37" t="s">
        <v>252</v>
      </c>
      <c r="D37" t="s">
        <v>258</v>
      </c>
    </row>
    <row r="38" spans="1:5" x14ac:dyDescent="0.25">
      <c r="A38" t="s">
        <v>60</v>
      </c>
      <c r="B38" t="s">
        <v>56</v>
      </c>
      <c r="C38" t="s">
        <v>252</v>
      </c>
      <c r="D38" t="s">
        <v>258</v>
      </c>
    </row>
    <row r="39" spans="1:5" x14ac:dyDescent="0.25">
      <c r="A39" t="s">
        <v>61</v>
      </c>
      <c r="B39" t="s">
        <v>62</v>
      </c>
      <c r="C39" t="s">
        <v>252</v>
      </c>
      <c r="D39" t="s">
        <v>255</v>
      </c>
      <c r="E39" t="s">
        <v>256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workbookViewId="0"/>
  </sheetViews>
  <sheetFormatPr defaultRowHeight="15" x14ac:dyDescent="0.25"/>
  <cols>
    <col min="1" max="1" width="56.140625" customWidth="1"/>
    <col min="2" max="2" width="43" customWidth="1"/>
    <col min="4" max="4" width="20.85546875" bestFit="1" customWidth="1"/>
  </cols>
  <sheetData>
    <row r="1" spans="1:8" x14ac:dyDescent="0.25">
      <c r="A1" s="1" t="s">
        <v>0</v>
      </c>
      <c r="B1" s="1" t="s">
        <v>1</v>
      </c>
      <c r="C1" s="2" t="s">
        <v>249</v>
      </c>
      <c r="D1" s="2" t="s">
        <v>257</v>
      </c>
      <c r="E1" s="3" t="s">
        <v>250</v>
      </c>
      <c r="G1" s="4" t="s">
        <v>251</v>
      </c>
      <c r="H1" s="5">
        <f>COUNTIF(C:C,G1)</f>
        <v>28</v>
      </c>
    </row>
    <row r="2" spans="1:8" x14ac:dyDescent="0.25">
      <c r="A2" s="10" t="s">
        <v>265</v>
      </c>
      <c r="B2" s="11"/>
      <c r="C2" s="12" t="s">
        <v>252</v>
      </c>
      <c r="D2" s="12" t="s">
        <v>12</v>
      </c>
      <c r="E2" s="13"/>
      <c r="F2" s="12" t="s">
        <v>266</v>
      </c>
      <c r="G2" s="6" t="s">
        <v>252</v>
      </c>
      <c r="H2" s="7">
        <f>COUNTIF(C:C,G2)</f>
        <v>11</v>
      </c>
    </row>
    <row r="3" spans="1:8" ht="15.75" thickBot="1" x14ac:dyDescent="0.3">
      <c r="A3" t="s">
        <v>2</v>
      </c>
      <c r="B3" t="s">
        <v>3</v>
      </c>
      <c r="C3" t="s">
        <v>251</v>
      </c>
      <c r="G3" s="8" t="s">
        <v>253</v>
      </c>
      <c r="H3" s="9">
        <f>H1/SUM(H1:H2)</f>
        <v>0.71794871794871795</v>
      </c>
    </row>
    <row r="4" spans="1:8" x14ac:dyDescent="0.25">
      <c r="A4" t="s">
        <v>4</v>
      </c>
      <c r="B4" t="s">
        <v>5</v>
      </c>
      <c r="C4" t="s">
        <v>251</v>
      </c>
    </row>
    <row r="5" spans="1:8" x14ac:dyDescent="0.25">
      <c r="A5" t="s">
        <v>6</v>
      </c>
      <c r="B5" t="s">
        <v>7</v>
      </c>
      <c r="C5" t="s">
        <v>251</v>
      </c>
    </row>
    <row r="6" spans="1:8" x14ac:dyDescent="0.25">
      <c r="A6" t="s">
        <v>8</v>
      </c>
      <c r="B6" t="s">
        <v>9</v>
      </c>
      <c r="C6" t="s">
        <v>251</v>
      </c>
    </row>
    <row r="7" spans="1:8" x14ac:dyDescent="0.25">
      <c r="A7" t="s">
        <v>10</v>
      </c>
      <c r="B7" t="s">
        <v>10</v>
      </c>
      <c r="C7" t="s">
        <v>251</v>
      </c>
    </row>
    <row r="8" spans="1:8" x14ac:dyDescent="0.25">
      <c r="A8" t="s">
        <v>11</v>
      </c>
      <c r="B8" t="s">
        <v>12</v>
      </c>
      <c r="C8" t="s">
        <v>251</v>
      </c>
    </row>
    <row r="9" spans="1:8" x14ac:dyDescent="0.25">
      <c r="A9" t="s">
        <v>13</v>
      </c>
      <c r="B9" t="s">
        <v>14</v>
      </c>
      <c r="C9" t="s">
        <v>251</v>
      </c>
    </row>
    <row r="10" spans="1:8" x14ac:dyDescent="0.25">
      <c r="A10" t="s">
        <v>15</v>
      </c>
      <c r="B10" t="s">
        <v>16</v>
      </c>
      <c r="C10" t="s">
        <v>251</v>
      </c>
    </row>
    <row r="11" spans="1:8" x14ac:dyDescent="0.25">
      <c r="A11" t="s">
        <v>17</v>
      </c>
      <c r="B11" t="s">
        <v>18</v>
      </c>
      <c r="C11" t="s">
        <v>251</v>
      </c>
    </row>
    <row r="12" spans="1:8" x14ac:dyDescent="0.25">
      <c r="A12" t="s">
        <v>19</v>
      </c>
      <c r="B12" t="s">
        <v>20</v>
      </c>
      <c r="C12" t="s">
        <v>251</v>
      </c>
    </row>
    <row r="13" spans="1:8" x14ac:dyDescent="0.25">
      <c r="A13" t="s">
        <v>66</v>
      </c>
      <c r="B13" t="s">
        <v>22</v>
      </c>
      <c r="C13" t="s">
        <v>251</v>
      </c>
    </row>
    <row r="14" spans="1:8" x14ac:dyDescent="0.25">
      <c r="A14" t="s">
        <v>23</v>
      </c>
      <c r="B14" t="s">
        <v>24</v>
      </c>
      <c r="C14" t="s">
        <v>251</v>
      </c>
    </row>
    <row r="15" spans="1:8" x14ac:dyDescent="0.25">
      <c r="A15" t="s">
        <v>25</v>
      </c>
      <c r="B15" t="s">
        <v>26</v>
      </c>
      <c r="C15" t="s">
        <v>251</v>
      </c>
    </row>
    <row r="16" spans="1:8" x14ac:dyDescent="0.25">
      <c r="A16" t="s">
        <v>27</v>
      </c>
      <c r="B16" t="s">
        <v>28</v>
      </c>
      <c r="C16" t="s">
        <v>252</v>
      </c>
      <c r="D16" t="s">
        <v>264</v>
      </c>
      <c r="E16">
        <v>240</v>
      </c>
    </row>
    <row r="17" spans="1:5" x14ac:dyDescent="0.25">
      <c r="A17" t="s">
        <v>29</v>
      </c>
      <c r="B17" t="s">
        <v>30</v>
      </c>
      <c r="C17" t="s">
        <v>251</v>
      </c>
    </row>
    <row r="18" spans="1:5" x14ac:dyDescent="0.25">
      <c r="A18" t="s">
        <v>31</v>
      </c>
      <c r="B18" t="s">
        <v>32</v>
      </c>
      <c r="C18" t="s">
        <v>251</v>
      </c>
    </row>
    <row r="19" spans="1:5" x14ac:dyDescent="0.25">
      <c r="A19" t="s">
        <v>33</v>
      </c>
      <c r="B19" t="s">
        <v>34</v>
      </c>
      <c r="C19" t="s">
        <v>251</v>
      </c>
    </row>
    <row r="20" spans="1:5" x14ac:dyDescent="0.25">
      <c r="A20" t="s">
        <v>35</v>
      </c>
      <c r="B20" t="s">
        <v>12</v>
      </c>
      <c r="C20" t="s">
        <v>251</v>
      </c>
    </row>
    <row r="21" spans="1:5" x14ac:dyDescent="0.25">
      <c r="A21" t="s">
        <v>35</v>
      </c>
      <c r="B21" t="s">
        <v>12</v>
      </c>
      <c r="C21" t="s">
        <v>252</v>
      </c>
      <c r="D21" t="s">
        <v>37</v>
      </c>
      <c r="E21">
        <v>318</v>
      </c>
    </row>
    <row r="22" spans="1:5" x14ac:dyDescent="0.25">
      <c r="A22" t="s">
        <v>36</v>
      </c>
      <c r="B22" t="s">
        <v>37</v>
      </c>
      <c r="C22" t="s">
        <v>251</v>
      </c>
    </row>
    <row r="23" spans="1:5" x14ac:dyDescent="0.25">
      <c r="A23" t="s">
        <v>38</v>
      </c>
      <c r="B23" t="s">
        <v>39</v>
      </c>
      <c r="C23" t="s">
        <v>251</v>
      </c>
    </row>
    <row r="24" spans="1:5" x14ac:dyDescent="0.25">
      <c r="A24" t="s">
        <v>40</v>
      </c>
      <c r="B24" t="s">
        <v>12</v>
      </c>
      <c r="C24" t="s">
        <v>251</v>
      </c>
    </row>
    <row r="25" spans="1:5" x14ac:dyDescent="0.25">
      <c r="A25" t="s">
        <v>41</v>
      </c>
      <c r="B25" t="s">
        <v>42</v>
      </c>
      <c r="C25" t="s">
        <v>252</v>
      </c>
      <c r="D25" t="s">
        <v>12</v>
      </c>
    </row>
    <row r="26" spans="1:5" x14ac:dyDescent="0.25">
      <c r="A26" t="s">
        <v>220</v>
      </c>
      <c r="B26" t="s">
        <v>42</v>
      </c>
      <c r="C26" t="s">
        <v>251</v>
      </c>
    </row>
    <row r="27" spans="1:5" x14ac:dyDescent="0.25">
      <c r="A27" t="s">
        <v>221</v>
      </c>
      <c r="B27" t="s">
        <v>45</v>
      </c>
      <c r="C27" t="s">
        <v>251</v>
      </c>
    </row>
    <row r="28" spans="1:5" x14ac:dyDescent="0.25">
      <c r="A28" t="s">
        <v>46</v>
      </c>
      <c r="B28" t="s">
        <v>47</v>
      </c>
      <c r="C28" t="s">
        <v>252</v>
      </c>
      <c r="D28" t="s">
        <v>12</v>
      </c>
    </row>
    <row r="29" spans="1:5" x14ac:dyDescent="0.25">
      <c r="A29" t="s">
        <v>222</v>
      </c>
      <c r="B29" t="s">
        <v>47</v>
      </c>
      <c r="C29" t="s">
        <v>251</v>
      </c>
    </row>
    <row r="30" spans="1:5" x14ac:dyDescent="0.25">
      <c r="A30" t="s">
        <v>221</v>
      </c>
      <c r="B30" t="s">
        <v>45</v>
      </c>
      <c r="C30" t="s">
        <v>252</v>
      </c>
      <c r="D30" t="s">
        <v>254</v>
      </c>
      <c r="E30">
        <v>22296</v>
      </c>
    </row>
    <row r="31" spans="1:5" x14ac:dyDescent="0.25">
      <c r="A31" t="s">
        <v>50</v>
      </c>
      <c r="B31" t="s">
        <v>37</v>
      </c>
      <c r="C31" t="s">
        <v>252</v>
      </c>
      <c r="D31" t="s">
        <v>47</v>
      </c>
      <c r="E31">
        <v>22294</v>
      </c>
    </row>
    <row r="32" spans="1:5" x14ac:dyDescent="0.25">
      <c r="A32" t="s">
        <v>223</v>
      </c>
      <c r="B32" t="s">
        <v>45</v>
      </c>
      <c r="C32" t="s">
        <v>252</v>
      </c>
      <c r="D32" t="s">
        <v>254</v>
      </c>
      <c r="E32">
        <v>22296</v>
      </c>
    </row>
    <row r="33" spans="1:5" x14ac:dyDescent="0.25">
      <c r="A33" t="s">
        <v>224</v>
      </c>
      <c r="B33" t="s">
        <v>47</v>
      </c>
      <c r="C33" t="s">
        <v>251</v>
      </c>
      <c r="D33" t="s">
        <v>47</v>
      </c>
      <c r="E33">
        <v>22294</v>
      </c>
    </row>
    <row r="34" spans="1:5" x14ac:dyDescent="0.25">
      <c r="A34" t="s">
        <v>225</v>
      </c>
      <c r="B34" t="s">
        <v>40</v>
      </c>
      <c r="C34" t="s">
        <v>251</v>
      </c>
    </row>
    <row r="35" spans="1:5" x14ac:dyDescent="0.25">
      <c r="A35" t="s">
        <v>226</v>
      </c>
      <c r="B35" t="s">
        <v>54</v>
      </c>
      <c r="C35" t="s">
        <v>251</v>
      </c>
    </row>
    <row r="36" spans="1:5" x14ac:dyDescent="0.25">
      <c r="A36" t="s">
        <v>55</v>
      </c>
      <c r="B36" t="s">
        <v>56</v>
      </c>
      <c r="C36" t="s">
        <v>251</v>
      </c>
    </row>
    <row r="37" spans="1:5" x14ac:dyDescent="0.25">
      <c r="A37" t="s">
        <v>57</v>
      </c>
      <c r="B37" t="s">
        <v>58</v>
      </c>
      <c r="C37" t="s">
        <v>251</v>
      </c>
    </row>
    <row r="38" spans="1:5" x14ac:dyDescent="0.25">
      <c r="A38" t="s">
        <v>59</v>
      </c>
      <c r="B38" t="s">
        <v>56</v>
      </c>
      <c r="C38" t="s">
        <v>252</v>
      </c>
      <c r="D38" t="s">
        <v>258</v>
      </c>
    </row>
    <row r="39" spans="1:5" x14ac:dyDescent="0.25">
      <c r="A39" t="s">
        <v>60</v>
      </c>
      <c r="B39" t="s">
        <v>56</v>
      </c>
      <c r="C39" t="s">
        <v>252</v>
      </c>
      <c r="D39" t="s">
        <v>258</v>
      </c>
    </row>
    <row r="40" spans="1:5" x14ac:dyDescent="0.25">
      <c r="A40" t="s">
        <v>61</v>
      </c>
      <c r="B40" t="s">
        <v>62</v>
      </c>
      <c r="C40" t="s">
        <v>252</v>
      </c>
      <c r="D40" t="s">
        <v>255</v>
      </c>
      <c r="E40" t="s">
        <v>256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workbookViewId="0"/>
  </sheetViews>
  <sheetFormatPr defaultRowHeight="15" x14ac:dyDescent="0.25"/>
  <cols>
    <col min="1" max="1" width="35.28515625" customWidth="1"/>
    <col min="2" max="2" width="46.7109375" bestFit="1" customWidth="1"/>
    <col min="4" max="4" width="32.85546875" bestFit="1" customWidth="1"/>
  </cols>
  <sheetData>
    <row r="1" spans="1:8" x14ac:dyDescent="0.25">
      <c r="A1" s="1" t="s">
        <v>0</v>
      </c>
      <c r="B1" s="1" t="s">
        <v>1</v>
      </c>
      <c r="C1" s="2" t="s">
        <v>249</v>
      </c>
      <c r="D1" s="2" t="s">
        <v>257</v>
      </c>
      <c r="E1" s="3" t="s">
        <v>250</v>
      </c>
      <c r="G1" s="4" t="s">
        <v>251</v>
      </c>
      <c r="H1" s="5">
        <f>COUNTIF(C:C,G1)</f>
        <v>45</v>
      </c>
    </row>
    <row r="2" spans="1:8" x14ac:dyDescent="0.25">
      <c r="A2" t="s">
        <v>150</v>
      </c>
      <c r="B2" t="s">
        <v>12</v>
      </c>
      <c r="C2" t="s">
        <v>251</v>
      </c>
      <c r="G2" s="6" t="s">
        <v>252</v>
      </c>
      <c r="H2" s="7">
        <f>COUNTIF(C:C,G2)</f>
        <v>7</v>
      </c>
    </row>
    <row r="3" spans="1:8" ht="15.75" thickBot="1" x14ac:dyDescent="0.3">
      <c r="A3" t="s">
        <v>151</v>
      </c>
      <c r="B3" t="s">
        <v>152</v>
      </c>
      <c r="C3" t="s">
        <v>251</v>
      </c>
      <c r="G3" s="8" t="s">
        <v>253</v>
      </c>
      <c r="H3" s="9">
        <f>H1/SUM(H1:H2)</f>
        <v>0.86538461538461542</v>
      </c>
    </row>
    <row r="4" spans="1:8" x14ac:dyDescent="0.25">
      <c r="A4" t="s">
        <v>153</v>
      </c>
      <c r="B4" t="s">
        <v>154</v>
      </c>
      <c r="C4" t="s">
        <v>251</v>
      </c>
    </row>
    <row r="5" spans="1:8" x14ac:dyDescent="0.25">
      <c r="A5" t="s">
        <v>155</v>
      </c>
      <c r="B5" t="s">
        <v>156</v>
      </c>
      <c r="C5" t="s">
        <v>251</v>
      </c>
    </row>
    <row r="6" spans="1:8" x14ac:dyDescent="0.25">
      <c r="A6" t="s">
        <v>157</v>
      </c>
      <c r="B6" t="s">
        <v>158</v>
      </c>
      <c r="C6" t="s">
        <v>251</v>
      </c>
    </row>
    <row r="7" spans="1:8" x14ac:dyDescent="0.25">
      <c r="A7" t="s">
        <v>159</v>
      </c>
      <c r="B7" t="s">
        <v>12</v>
      </c>
      <c r="C7" t="s">
        <v>251</v>
      </c>
    </row>
    <row r="8" spans="1:8" x14ac:dyDescent="0.25">
      <c r="A8" t="s">
        <v>160</v>
      </c>
      <c r="B8" t="s">
        <v>161</v>
      </c>
      <c r="C8" t="s">
        <v>251</v>
      </c>
    </row>
    <row r="9" spans="1:8" x14ac:dyDescent="0.25">
      <c r="A9" t="s">
        <v>93</v>
      </c>
      <c r="B9" t="s">
        <v>162</v>
      </c>
      <c r="C9" t="s">
        <v>252</v>
      </c>
      <c r="D9" t="s">
        <v>267</v>
      </c>
      <c r="E9">
        <v>20217</v>
      </c>
    </row>
    <row r="10" spans="1:8" x14ac:dyDescent="0.25">
      <c r="A10" t="s">
        <v>163</v>
      </c>
      <c r="B10" t="s">
        <v>164</v>
      </c>
      <c r="C10" t="s">
        <v>252</v>
      </c>
      <c r="D10" t="s">
        <v>178</v>
      </c>
      <c r="E10">
        <v>20216</v>
      </c>
    </row>
    <row r="11" spans="1:8" x14ac:dyDescent="0.25">
      <c r="A11" t="s">
        <v>165</v>
      </c>
      <c r="B11" t="s">
        <v>166</v>
      </c>
      <c r="C11" t="s">
        <v>251</v>
      </c>
    </row>
    <row r="12" spans="1:8" x14ac:dyDescent="0.25">
      <c r="A12" t="s">
        <v>167</v>
      </c>
      <c r="B12" t="s">
        <v>168</v>
      </c>
      <c r="C12" t="s">
        <v>251</v>
      </c>
    </row>
    <row r="13" spans="1:8" x14ac:dyDescent="0.25">
      <c r="A13" t="s">
        <v>169</v>
      </c>
      <c r="B13" t="s">
        <v>170</v>
      </c>
      <c r="C13" t="s">
        <v>251</v>
      </c>
    </row>
    <row r="14" spans="1:8" x14ac:dyDescent="0.25">
      <c r="A14" t="s">
        <v>171</v>
      </c>
      <c r="B14" t="s">
        <v>12</v>
      </c>
      <c r="C14" t="s">
        <v>251</v>
      </c>
    </row>
    <row r="15" spans="1:8" x14ac:dyDescent="0.25">
      <c r="A15" t="s">
        <v>92</v>
      </c>
      <c r="B15" t="s">
        <v>92</v>
      </c>
      <c r="C15" t="s">
        <v>251</v>
      </c>
    </row>
    <row r="16" spans="1:8" x14ac:dyDescent="0.25">
      <c r="A16" t="s">
        <v>159</v>
      </c>
      <c r="B16" t="s">
        <v>12</v>
      </c>
      <c r="C16" t="s">
        <v>251</v>
      </c>
    </row>
    <row r="17" spans="1:5" x14ac:dyDescent="0.25">
      <c r="A17" t="s">
        <v>160</v>
      </c>
      <c r="B17" t="s">
        <v>161</v>
      </c>
      <c r="C17" t="s">
        <v>252</v>
      </c>
      <c r="D17" t="s">
        <v>259</v>
      </c>
      <c r="E17">
        <v>13724</v>
      </c>
    </row>
    <row r="18" spans="1:5" x14ac:dyDescent="0.25">
      <c r="A18" t="s">
        <v>90</v>
      </c>
      <c r="B18" t="s">
        <v>172</v>
      </c>
      <c r="C18" t="s">
        <v>251</v>
      </c>
    </row>
    <row r="19" spans="1:5" x14ac:dyDescent="0.25">
      <c r="A19" t="s">
        <v>173</v>
      </c>
      <c r="B19" t="s">
        <v>174</v>
      </c>
      <c r="C19" t="s">
        <v>251</v>
      </c>
    </row>
    <row r="20" spans="1:5" x14ac:dyDescent="0.25">
      <c r="A20" t="s">
        <v>175</v>
      </c>
      <c r="B20" t="s">
        <v>176</v>
      </c>
      <c r="C20" t="s">
        <v>251</v>
      </c>
    </row>
    <row r="21" spans="1:5" x14ac:dyDescent="0.25">
      <c r="A21" t="s">
        <v>93</v>
      </c>
      <c r="B21" t="s">
        <v>162</v>
      </c>
      <c r="C21" t="s">
        <v>251</v>
      </c>
    </row>
    <row r="22" spans="1:5" x14ac:dyDescent="0.25">
      <c r="A22" t="s">
        <v>177</v>
      </c>
      <c r="B22" t="s">
        <v>178</v>
      </c>
      <c r="C22" t="s">
        <v>252</v>
      </c>
      <c r="D22" t="s">
        <v>164</v>
      </c>
      <c r="E22">
        <v>20231</v>
      </c>
    </row>
    <row r="23" spans="1:5" x14ac:dyDescent="0.25">
      <c r="A23" t="s">
        <v>179</v>
      </c>
      <c r="B23" t="s">
        <v>180</v>
      </c>
      <c r="C23" t="s">
        <v>251</v>
      </c>
    </row>
    <row r="24" spans="1:5" x14ac:dyDescent="0.25">
      <c r="A24" t="s">
        <v>181</v>
      </c>
      <c r="B24" t="s">
        <v>182</v>
      </c>
      <c r="C24" t="s">
        <v>251</v>
      </c>
    </row>
    <row r="25" spans="1:5" x14ac:dyDescent="0.25">
      <c r="A25" t="s">
        <v>183</v>
      </c>
      <c r="B25" t="s">
        <v>184</v>
      </c>
      <c r="C25" t="s">
        <v>251</v>
      </c>
    </row>
    <row r="26" spans="1:5" x14ac:dyDescent="0.25">
      <c r="A26" t="s">
        <v>185</v>
      </c>
      <c r="B26" t="s">
        <v>12</v>
      </c>
      <c r="C26" t="s">
        <v>251</v>
      </c>
    </row>
    <row r="27" spans="1:5" x14ac:dyDescent="0.25">
      <c r="A27" t="s">
        <v>186</v>
      </c>
      <c r="B27" t="s">
        <v>12</v>
      </c>
      <c r="C27" t="s">
        <v>251</v>
      </c>
    </row>
    <row r="28" spans="1:5" x14ac:dyDescent="0.25">
      <c r="A28" t="s">
        <v>187</v>
      </c>
      <c r="B28" t="s">
        <v>188</v>
      </c>
      <c r="C28" t="s">
        <v>251</v>
      </c>
    </row>
    <row r="29" spans="1:5" x14ac:dyDescent="0.25">
      <c r="A29" t="s">
        <v>189</v>
      </c>
      <c r="B29" t="s">
        <v>190</v>
      </c>
      <c r="C29" t="s">
        <v>251</v>
      </c>
    </row>
    <row r="30" spans="1:5" x14ac:dyDescent="0.25">
      <c r="A30" t="s">
        <v>191</v>
      </c>
      <c r="B30" t="s">
        <v>192</v>
      </c>
      <c r="C30" t="s">
        <v>251</v>
      </c>
    </row>
    <row r="31" spans="1:5" x14ac:dyDescent="0.25">
      <c r="A31" t="s">
        <v>193</v>
      </c>
      <c r="B31" t="s">
        <v>12</v>
      </c>
      <c r="C31" t="s">
        <v>251</v>
      </c>
    </row>
    <row r="32" spans="1:5" x14ac:dyDescent="0.25">
      <c r="A32" t="s">
        <v>194</v>
      </c>
      <c r="B32" t="s">
        <v>12</v>
      </c>
      <c r="C32" t="s">
        <v>251</v>
      </c>
    </row>
    <row r="33" spans="1:5" x14ac:dyDescent="0.25">
      <c r="A33" t="s">
        <v>195</v>
      </c>
      <c r="B33" t="s">
        <v>12</v>
      </c>
      <c r="C33" t="s">
        <v>251</v>
      </c>
    </row>
    <row r="34" spans="1:5" x14ac:dyDescent="0.25">
      <c r="A34" t="s">
        <v>196</v>
      </c>
      <c r="B34" t="s">
        <v>196</v>
      </c>
      <c r="C34" t="s">
        <v>251</v>
      </c>
      <c r="D34" t="s">
        <v>196</v>
      </c>
      <c r="E34">
        <v>20223</v>
      </c>
    </row>
    <row r="35" spans="1:5" x14ac:dyDescent="0.25">
      <c r="A35" t="s">
        <v>197</v>
      </c>
      <c r="B35" t="s">
        <v>197</v>
      </c>
      <c r="C35" t="s">
        <v>251</v>
      </c>
      <c r="D35" t="s">
        <v>197</v>
      </c>
      <c r="E35">
        <v>30340</v>
      </c>
    </row>
    <row r="36" spans="1:5" x14ac:dyDescent="0.25">
      <c r="A36" t="s">
        <v>198</v>
      </c>
      <c r="B36" t="s">
        <v>199</v>
      </c>
      <c r="C36" t="s">
        <v>251</v>
      </c>
    </row>
    <row r="37" spans="1:5" x14ac:dyDescent="0.25">
      <c r="A37" t="s">
        <v>100</v>
      </c>
      <c r="B37" t="s">
        <v>200</v>
      </c>
      <c r="C37" t="s">
        <v>251</v>
      </c>
    </row>
    <row r="38" spans="1:5" x14ac:dyDescent="0.25">
      <c r="A38" t="s">
        <v>201</v>
      </c>
      <c r="B38" t="s">
        <v>202</v>
      </c>
      <c r="C38" t="s">
        <v>251</v>
      </c>
    </row>
    <row r="39" spans="1:5" x14ac:dyDescent="0.25">
      <c r="A39" t="s">
        <v>203</v>
      </c>
      <c r="B39" t="s">
        <v>204</v>
      </c>
      <c r="C39" t="s">
        <v>251</v>
      </c>
    </row>
    <row r="40" spans="1:5" x14ac:dyDescent="0.25">
      <c r="A40" t="s">
        <v>205</v>
      </c>
      <c r="B40" t="s">
        <v>206</v>
      </c>
      <c r="C40" t="s">
        <v>251</v>
      </c>
    </row>
    <row r="41" spans="1:5" x14ac:dyDescent="0.25">
      <c r="A41" t="s">
        <v>207</v>
      </c>
      <c r="B41" t="s">
        <v>12</v>
      </c>
      <c r="C41" t="s">
        <v>251</v>
      </c>
    </row>
    <row r="42" spans="1:5" x14ac:dyDescent="0.25">
      <c r="A42" t="s">
        <v>195</v>
      </c>
      <c r="B42" t="s">
        <v>12</v>
      </c>
      <c r="C42" t="s">
        <v>251</v>
      </c>
    </row>
    <row r="43" spans="1:5" x14ac:dyDescent="0.25">
      <c r="A43" t="s">
        <v>196</v>
      </c>
      <c r="B43" t="s">
        <v>196</v>
      </c>
      <c r="C43" t="s">
        <v>251</v>
      </c>
      <c r="D43" t="s">
        <v>196</v>
      </c>
      <c r="E43">
        <v>20209</v>
      </c>
    </row>
    <row r="44" spans="1:5" x14ac:dyDescent="0.25">
      <c r="A44" t="s">
        <v>197</v>
      </c>
      <c r="B44" t="s">
        <v>197</v>
      </c>
      <c r="C44" t="s">
        <v>251</v>
      </c>
      <c r="D44" t="s">
        <v>197</v>
      </c>
      <c r="E44">
        <v>25716</v>
      </c>
    </row>
    <row r="45" spans="1:5" x14ac:dyDescent="0.25">
      <c r="A45" t="s">
        <v>98</v>
      </c>
      <c r="B45" t="s">
        <v>208</v>
      </c>
      <c r="C45" t="s">
        <v>252</v>
      </c>
      <c r="D45" t="s">
        <v>12</v>
      </c>
    </row>
    <row r="46" spans="1:5" x14ac:dyDescent="0.25">
      <c r="A46" t="s">
        <v>209</v>
      </c>
      <c r="B46" t="s">
        <v>208</v>
      </c>
      <c r="C46" t="s">
        <v>251</v>
      </c>
      <c r="D46" t="s">
        <v>208</v>
      </c>
      <c r="E46">
        <v>13779</v>
      </c>
    </row>
    <row r="47" spans="1:5" x14ac:dyDescent="0.25">
      <c r="A47" t="s">
        <v>210</v>
      </c>
      <c r="B47" t="s">
        <v>208</v>
      </c>
      <c r="C47" t="s">
        <v>251</v>
      </c>
      <c r="D47" t="s">
        <v>208</v>
      </c>
      <c r="E47">
        <v>13779</v>
      </c>
    </row>
    <row r="48" spans="1:5" x14ac:dyDescent="0.25">
      <c r="A48" t="s">
        <v>198</v>
      </c>
      <c r="B48" t="s">
        <v>199</v>
      </c>
      <c r="C48" t="s">
        <v>252</v>
      </c>
      <c r="D48" t="s">
        <v>260</v>
      </c>
      <c r="E48">
        <v>20214</v>
      </c>
    </row>
    <row r="49" spans="1:5" x14ac:dyDescent="0.25">
      <c r="A49" t="s">
        <v>211</v>
      </c>
      <c r="B49" t="s">
        <v>101</v>
      </c>
      <c r="C49" t="s">
        <v>251</v>
      </c>
    </row>
    <row r="50" spans="1:5" x14ac:dyDescent="0.25">
      <c r="A50" t="s">
        <v>100</v>
      </c>
      <c r="B50" t="s">
        <v>200</v>
      </c>
      <c r="C50" t="s">
        <v>252</v>
      </c>
      <c r="D50" t="s">
        <v>261</v>
      </c>
      <c r="E50">
        <v>13767</v>
      </c>
    </row>
    <row r="51" spans="1:5" x14ac:dyDescent="0.25">
      <c r="A51" t="s">
        <v>212</v>
      </c>
      <c r="B51" t="s">
        <v>213</v>
      </c>
      <c r="C51" t="s">
        <v>251</v>
      </c>
    </row>
    <row r="52" spans="1:5" x14ac:dyDescent="0.25">
      <c r="A52" t="s">
        <v>214</v>
      </c>
      <c r="B52" t="s">
        <v>215</v>
      </c>
      <c r="C52" t="s">
        <v>251</v>
      </c>
    </row>
    <row r="53" spans="1:5" x14ac:dyDescent="0.25">
      <c r="A53" t="s">
        <v>216</v>
      </c>
      <c r="B53" t="s">
        <v>217</v>
      </c>
    </row>
    <row r="54" spans="1:5" x14ac:dyDescent="0.25">
      <c r="A54" t="s">
        <v>218</v>
      </c>
      <c r="B54" t="s">
        <v>219</v>
      </c>
      <c r="C54" t="s">
        <v>251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workbookViewId="0"/>
  </sheetViews>
  <sheetFormatPr defaultRowHeight="15" x14ac:dyDescent="0.25"/>
  <cols>
    <col min="1" max="1" width="41.28515625" customWidth="1"/>
    <col min="2" max="2" width="46.7109375" bestFit="1" customWidth="1"/>
    <col min="4" max="4" width="32.85546875" bestFit="1" customWidth="1"/>
  </cols>
  <sheetData>
    <row r="1" spans="1:8" x14ac:dyDescent="0.25">
      <c r="A1" s="1" t="s">
        <v>0</v>
      </c>
      <c r="B1" s="1" t="s">
        <v>1</v>
      </c>
      <c r="C1" s="2" t="s">
        <v>249</v>
      </c>
      <c r="D1" s="2" t="s">
        <v>257</v>
      </c>
      <c r="E1" s="3" t="s">
        <v>250</v>
      </c>
      <c r="G1" s="4" t="s">
        <v>251</v>
      </c>
      <c r="H1" s="5">
        <f>COUNTIF(C:C,G1)</f>
        <v>46</v>
      </c>
    </row>
    <row r="2" spans="1:8" x14ac:dyDescent="0.25">
      <c r="A2" t="s">
        <v>150</v>
      </c>
      <c r="B2" t="s">
        <v>12</v>
      </c>
      <c r="C2" t="s">
        <v>251</v>
      </c>
      <c r="G2" s="6" t="s">
        <v>252</v>
      </c>
      <c r="H2" s="7">
        <f>COUNTIF(C:C,G2)</f>
        <v>7</v>
      </c>
    </row>
    <row r="3" spans="1:8" ht="15.75" thickBot="1" x14ac:dyDescent="0.3">
      <c r="A3" t="s">
        <v>151</v>
      </c>
      <c r="B3" t="s">
        <v>152</v>
      </c>
      <c r="C3" t="s">
        <v>251</v>
      </c>
      <c r="G3" s="8" t="s">
        <v>253</v>
      </c>
      <c r="H3" s="9">
        <f>H1/SUM(H1:H2)</f>
        <v>0.86792452830188682</v>
      </c>
    </row>
    <row r="4" spans="1:8" x14ac:dyDescent="0.25">
      <c r="A4" t="s">
        <v>153</v>
      </c>
      <c r="B4" t="s">
        <v>154</v>
      </c>
      <c r="C4" t="s">
        <v>251</v>
      </c>
    </row>
    <row r="5" spans="1:8" x14ac:dyDescent="0.25">
      <c r="A5" t="s">
        <v>155</v>
      </c>
      <c r="B5" t="s">
        <v>156</v>
      </c>
      <c r="C5" t="s">
        <v>251</v>
      </c>
    </row>
    <row r="6" spans="1:8" x14ac:dyDescent="0.25">
      <c r="A6" t="s">
        <v>157</v>
      </c>
      <c r="B6" t="s">
        <v>158</v>
      </c>
      <c r="C6" t="s">
        <v>251</v>
      </c>
    </row>
    <row r="7" spans="1:8" x14ac:dyDescent="0.25">
      <c r="A7" t="s">
        <v>159</v>
      </c>
      <c r="B7" t="s">
        <v>12</v>
      </c>
      <c r="C7" t="s">
        <v>251</v>
      </c>
    </row>
    <row r="8" spans="1:8" x14ac:dyDescent="0.25">
      <c r="A8" t="s">
        <v>160</v>
      </c>
      <c r="B8" t="s">
        <v>161</v>
      </c>
      <c r="C8" t="s">
        <v>251</v>
      </c>
    </row>
    <row r="9" spans="1:8" x14ac:dyDescent="0.25">
      <c r="A9" t="s">
        <v>93</v>
      </c>
      <c r="B9" t="s">
        <v>162</v>
      </c>
      <c r="C9" t="s">
        <v>252</v>
      </c>
      <c r="D9" t="s">
        <v>267</v>
      </c>
      <c r="E9">
        <v>20217</v>
      </c>
    </row>
    <row r="10" spans="1:8" x14ac:dyDescent="0.25">
      <c r="A10" t="s">
        <v>163</v>
      </c>
      <c r="B10" t="s">
        <v>164</v>
      </c>
      <c r="C10" t="s">
        <v>252</v>
      </c>
      <c r="D10" t="s">
        <v>178</v>
      </c>
      <c r="E10">
        <v>20216</v>
      </c>
    </row>
    <row r="11" spans="1:8" x14ac:dyDescent="0.25">
      <c r="A11" t="s">
        <v>244</v>
      </c>
      <c r="B11" t="s">
        <v>245</v>
      </c>
      <c r="C11" t="s">
        <v>251</v>
      </c>
    </row>
    <row r="12" spans="1:8" x14ac:dyDescent="0.25">
      <c r="A12" t="s">
        <v>246</v>
      </c>
      <c r="B12" t="s">
        <v>166</v>
      </c>
      <c r="C12" t="s">
        <v>251</v>
      </c>
    </row>
    <row r="13" spans="1:8" x14ac:dyDescent="0.25">
      <c r="A13" t="s">
        <v>167</v>
      </c>
      <c r="B13" t="s">
        <v>168</v>
      </c>
      <c r="C13" t="s">
        <v>251</v>
      </c>
    </row>
    <row r="14" spans="1:8" x14ac:dyDescent="0.25">
      <c r="A14" t="s">
        <v>169</v>
      </c>
      <c r="B14" t="s">
        <v>170</v>
      </c>
      <c r="C14" t="s">
        <v>251</v>
      </c>
    </row>
    <row r="15" spans="1:8" x14ac:dyDescent="0.25">
      <c r="A15" t="s">
        <v>171</v>
      </c>
      <c r="B15" t="s">
        <v>12</v>
      </c>
      <c r="C15" t="s">
        <v>251</v>
      </c>
    </row>
    <row r="16" spans="1:8" x14ac:dyDescent="0.25">
      <c r="A16" t="s">
        <v>92</v>
      </c>
      <c r="B16" t="s">
        <v>92</v>
      </c>
      <c r="C16" t="s">
        <v>251</v>
      </c>
    </row>
    <row r="17" spans="1:5" x14ac:dyDescent="0.25">
      <c r="A17" t="s">
        <v>247</v>
      </c>
      <c r="B17" t="s">
        <v>12</v>
      </c>
      <c r="C17" t="s">
        <v>251</v>
      </c>
    </row>
    <row r="18" spans="1:5" x14ac:dyDescent="0.25">
      <c r="A18" t="s">
        <v>160</v>
      </c>
      <c r="B18" t="s">
        <v>161</v>
      </c>
      <c r="C18" t="s">
        <v>252</v>
      </c>
      <c r="D18" t="s">
        <v>259</v>
      </c>
      <c r="E18">
        <v>13724</v>
      </c>
    </row>
    <row r="19" spans="1:5" x14ac:dyDescent="0.25">
      <c r="A19" t="s">
        <v>90</v>
      </c>
      <c r="B19" t="s">
        <v>172</v>
      </c>
      <c r="C19" t="s">
        <v>251</v>
      </c>
    </row>
    <row r="20" spans="1:5" x14ac:dyDescent="0.25">
      <c r="A20" t="s">
        <v>173</v>
      </c>
      <c r="B20" t="s">
        <v>174</v>
      </c>
      <c r="C20" t="s">
        <v>251</v>
      </c>
    </row>
    <row r="21" spans="1:5" x14ac:dyDescent="0.25">
      <c r="A21" t="s">
        <v>175</v>
      </c>
      <c r="B21" t="s">
        <v>176</v>
      </c>
      <c r="C21" t="s">
        <v>251</v>
      </c>
    </row>
    <row r="22" spans="1:5" x14ac:dyDescent="0.25">
      <c r="A22" t="s">
        <v>93</v>
      </c>
      <c r="B22" t="s">
        <v>162</v>
      </c>
      <c r="C22" t="s">
        <v>251</v>
      </c>
    </row>
    <row r="23" spans="1:5" x14ac:dyDescent="0.25">
      <c r="A23" t="s">
        <v>177</v>
      </c>
      <c r="B23" t="s">
        <v>178</v>
      </c>
      <c r="C23" t="s">
        <v>252</v>
      </c>
      <c r="D23" t="s">
        <v>164</v>
      </c>
      <c r="E23">
        <v>20231</v>
      </c>
    </row>
    <row r="24" spans="1:5" x14ac:dyDescent="0.25">
      <c r="A24" t="s">
        <v>179</v>
      </c>
      <c r="B24" t="s">
        <v>180</v>
      </c>
      <c r="C24" t="s">
        <v>251</v>
      </c>
    </row>
    <row r="25" spans="1:5" x14ac:dyDescent="0.25">
      <c r="A25" t="s">
        <v>181</v>
      </c>
      <c r="B25" t="s">
        <v>182</v>
      </c>
      <c r="C25" t="s">
        <v>251</v>
      </c>
    </row>
    <row r="26" spans="1:5" x14ac:dyDescent="0.25">
      <c r="A26" t="s">
        <v>183</v>
      </c>
      <c r="B26" t="s">
        <v>184</v>
      </c>
      <c r="C26" t="s">
        <v>251</v>
      </c>
    </row>
    <row r="27" spans="1:5" x14ac:dyDescent="0.25">
      <c r="A27" t="s">
        <v>185</v>
      </c>
      <c r="B27" t="s">
        <v>12</v>
      </c>
      <c r="C27" t="s">
        <v>251</v>
      </c>
    </row>
    <row r="28" spans="1:5" x14ac:dyDescent="0.25">
      <c r="A28" t="s">
        <v>186</v>
      </c>
      <c r="B28" t="s">
        <v>12</v>
      </c>
      <c r="C28" t="s">
        <v>251</v>
      </c>
    </row>
    <row r="29" spans="1:5" x14ac:dyDescent="0.25">
      <c r="A29" t="s">
        <v>187</v>
      </c>
      <c r="B29" t="s">
        <v>188</v>
      </c>
      <c r="C29" t="s">
        <v>251</v>
      </c>
    </row>
    <row r="30" spans="1:5" x14ac:dyDescent="0.25">
      <c r="A30" t="s">
        <v>189</v>
      </c>
      <c r="B30" t="s">
        <v>190</v>
      </c>
      <c r="C30" t="s">
        <v>251</v>
      </c>
    </row>
    <row r="31" spans="1:5" x14ac:dyDescent="0.25">
      <c r="A31" t="s">
        <v>191</v>
      </c>
      <c r="B31" t="s">
        <v>192</v>
      </c>
      <c r="C31" t="s">
        <v>251</v>
      </c>
    </row>
    <row r="32" spans="1:5" x14ac:dyDescent="0.25">
      <c r="A32" t="s">
        <v>193</v>
      </c>
      <c r="B32" t="s">
        <v>12</v>
      </c>
      <c r="C32" t="s">
        <v>251</v>
      </c>
    </row>
    <row r="33" spans="1:5" x14ac:dyDescent="0.25">
      <c r="A33" t="s">
        <v>194</v>
      </c>
      <c r="B33" t="s">
        <v>12</v>
      </c>
      <c r="C33" t="s">
        <v>251</v>
      </c>
    </row>
    <row r="34" spans="1:5" x14ac:dyDescent="0.25">
      <c r="A34" t="s">
        <v>195</v>
      </c>
      <c r="B34" t="s">
        <v>12</v>
      </c>
      <c r="C34" t="s">
        <v>251</v>
      </c>
    </row>
    <row r="35" spans="1:5" x14ac:dyDescent="0.25">
      <c r="A35" t="s">
        <v>196</v>
      </c>
      <c r="B35" t="s">
        <v>196</v>
      </c>
      <c r="C35" t="s">
        <v>251</v>
      </c>
      <c r="D35" t="s">
        <v>196</v>
      </c>
      <c r="E35">
        <v>20223</v>
      </c>
    </row>
    <row r="36" spans="1:5" x14ac:dyDescent="0.25">
      <c r="A36" t="s">
        <v>197</v>
      </c>
      <c r="B36" t="s">
        <v>197</v>
      </c>
      <c r="C36" t="s">
        <v>251</v>
      </c>
      <c r="D36" t="s">
        <v>197</v>
      </c>
      <c r="E36">
        <v>30340</v>
      </c>
    </row>
    <row r="37" spans="1:5" x14ac:dyDescent="0.25">
      <c r="A37" t="s">
        <v>198</v>
      </c>
      <c r="B37" t="s">
        <v>199</v>
      </c>
      <c r="C37" t="s">
        <v>251</v>
      </c>
    </row>
    <row r="38" spans="1:5" x14ac:dyDescent="0.25">
      <c r="A38" t="s">
        <v>100</v>
      </c>
      <c r="B38" t="s">
        <v>200</v>
      </c>
      <c r="C38" t="s">
        <v>251</v>
      </c>
    </row>
    <row r="39" spans="1:5" x14ac:dyDescent="0.25">
      <c r="A39" t="s">
        <v>201</v>
      </c>
      <c r="B39" t="s">
        <v>202</v>
      </c>
      <c r="C39" t="s">
        <v>251</v>
      </c>
    </row>
    <row r="40" spans="1:5" x14ac:dyDescent="0.25">
      <c r="A40" t="s">
        <v>203</v>
      </c>
      <c r="B40" t="s">
        <v>204</v>
      </c>
      <c r="C40" t="s">
        <v>251</v>
      </c>
    </row>
    <row r="41" spans="1:5" x14ac:dyDescent="0.25">
      <c r="A41" t="s">
        <v>205</v>
      </c>
      <c r="B41" t="s">
        <v>206</v>
      </c>
      <c r="C41" t="s">
        <v>251</v>
      </c>
    </row>
    <row r="42" spans="1:5" x14ac:dyDescent="0.25">
      <c r="A42" t="s">
        <v>207</v>
      </c>
      <c r="B42" t="s">
        <v>12</v>
      </c>
      <c r="C42" t="s">
        <v>251</v>
      </c>
    </row>
    <row r="43" spans="1:5" x14ac:dyDescent="0.25">
      <c r="A43" t="s">
        <v>248</v>
      </c>
      <c r="B43" t="s">
        <v>12</v>
      </c>
      <c r="C43" t="s">
        <v>251</v>
      </c>
    </row>
    <row r="44" spans="1:5" x14ac:dyDescent="0.25">
      <c r="A44" t="s">
        <v>196</v>
      </c>
      <c r="B44" t="s">
        <v>196</v>
      </c>
      <c r="C44" t="s">
        <v>251</v>
      </c>
      <c r="D44" t="s">
        <v>196</v>
      </c>
      <c r="E44">
        <v>20209</v>
      </c>
    </row>
    <row r="45" spans="1:5" x14ac:dyDescent="0.25">
      <c r="A45" t="s">
        <v>197</v>
      </c>
      <c r="B45" t="s">
        <v>197</v>
      </c>
      <c r="C45" t="s">
        <v>251</v>
      </c>
      <c r="D45" t="s">
        <v>197</v>
      </c>
      <c r="E45">
        <v>25716</v>
      </c>
    </row>
    <row r="46" spans="1:5" x14ac:dyDescent="0.25">
      <c r="A46" t="s">
        <v>98</v>
      </c>
      <c r="B46" t="s">
        <v>208</v>
      </c>
      <c r="C46" t="s">
        <v>252</v>
      </c>
      <c r="D46" t="s">
        <v>12</v>
      </c>
    </row>
    <row r="47" spans="1:5" x14ac:dyDescent="0.25">
      <c r="A47" t="s">
        <v>209</v>
      </c>
      <c r="B47" t="s">
        <v>208</v>
      </c>
      <c r="C47" t="s">
        <v>251</v>
      </c>
      <c r="D47" t="s">
        <v>208</v>
      </c>
      <c r="E47">
        <v>13779</v>
      </c>
    </row>
    <row r="48" spans="1:5" x14ac:dyDescent="0.25">
      <c r="A48" t="s">
        <v>210</v>
      </c>
      <c r="B48" t="s">
        <v>208</v>
      </c>
      <c r="C48" t="s">
        <v>251</v>
      </c>
      <c r="D48" t="s">
        <v>208</v>
      </c>
      <c r="E48">
        <v>13779</v>
      </c>
    </row>
    <row r="49" spans="1:5" x14ac:dyDescent="0.25">
      <c r="A49" t="s">
        <v>198</v>
      </c>
      <c r="B49" t="s">
        <v>199</v>
      </c>
      <c r="C49" t="s">
        <v>252</v>
      </c>
      <c r="D49" t="s">
        <v>260</v>
      </c>
      <c r="E49">
        <v>20214</v>
      </c>
    </row>
    <row r="50" spans="1:5" x14ac:dyDescent="0.25">
      <c r="A50" t="s">
        <v>211</v>
      </c>
      <c r="B50" t="s">
        <v>101</v>
      </c>
      <c r="C50" t="s">
        <v>251</v>
      </c>
    </row>
    <row r="51" spans="1:5" x14ac:dyDescent="0.25">
      <c r="A51" t="s">
        <v>100</v>
      </c>
      <c r="B51" t="s">
        <v>200</v>
      </c>
      <c r="C51" t="s">
        <v>252</v>
      </c>
      <c r="D51" t="s">
        <v>261</v>
      </c>
      <c r="E51">
        <v>13767</v>
      </c>
    </row>
    <row r="52" spans="1:5" x14ac:dyDescent="0.25">
      <c r="A52" t="s">
        <v>212</v>
      </c>
      <c r="B52" t="s">
        <v>213</v>
      </c>
      <c r="C52" t="s">
        <v>251</v>
      </c>
    </row>
    <row r="53" spans="1:5" x14ac:dyDescent="0.25">
      <c r="A53" t="s">
        <v>214</v>
      </c>
      <c r="B53" t="s">
        <v>215</v>
      </c>
      <c r="C53" t="s">
        <v>251</v>
      </c>
    </row>
    <row r="54" spans="1:5" x14ac:dyDescent="0.25">
      <c r="A54" t="s">
        <v>216</v>
      </c>
      <c r="B54" t="s">
        <v>217</v>
      </c>
    </row>
    <row r="55" spans="1:5" x14ac:dyDescent="0.25">
      <c r="A55" t="s">
        <v>218</v>
      </c>
      <c r="B55" t="s">
        <v>219</v>
      </c>
      <c r="C55" t="s">
        <v>251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3"/>
  <sheetViews>
    <sheetView workbookViewId="0"/>
  </sheetViews>
  <sheetFormatPr defaultRowHeight="15" x14ac:dyDescent="0.25"/>
  <cols>
    <col min="1" max="1" width="43.42578125" customWidth="1"/>
    <col min="2" max="2" width="49.42578125" customWidth="1"/>
    <col min="4" max="4" width="29.7109375" customWidth="1"/>
  </cols>
  <sheetData>
    <row r="1" spans="1:8" x14ac:dyDescent="0.25">
      <c r="A1" s="1" t="s">
        <v>0</v>
      </c>
      <c r="B1" s="1" t="s">
        <v>1</v>
      </c>
      <c r="C1" s="2" t="s">
        <v>249</v>
      </c>
      <c r="D1" s="2" t="s">
        <v>257</v>
      </c>
      <c r="E1" s="3" t="s">
        <v>250</v>
      </c>
      <c r="G1" s="4" t="s">
        <v>251</v>
      </c>
      <c r="H1" s="5">
        <f>COUNTIF(C:C,G1)</f>
        <v>40</v>
      </c>
    </row>
    <row r="2" spans="1:8" x14ac:dyDescent="0.25">
      <c r="A2" t="s">
        <v>63</v>
      </c>
      <c r="B2" t="s">
        <v>64</v>
      </c>
      <c r="C2" t="s">
        <v>251</v>
      </c>
      <c r="G2" s="6" t="s">
        <v>252</v>
      </c>
      <c r="H2" s="7">
        <f>COUNTIF(C:C,G2)</f>
        <v>12</v>
      </c>
    </row>
    <row r="3" spans="1:8" ht="15.75" thickBot="1" x14ac:dyDescent="0.3">
      <c r="A3" t="s">
        <v>65</v>
      </c>
      <c r="B3" t="s">
        <v>12</v>
      </c>
      <c r="C3" t="s">
        <v>251</v>
      </c>
      <c r="G3" s="8" t="s">
        <v>253</v>
      </c>
      <c r="H3" s="9">
        <f>H1/SUM(H1:H2)</f>
        <v>0.76923076923076927</v>
      </c>
    </row>
    <row r="4" spans="1:8" x14ac:dyDescent="0.25">
      <c r="A4" t="s">
        <v>66</v>
      </c>
      <c r="B4" t="s">
        <v>67</v>
      </c>
      <c r="C4" t="s">
        <v>251</v>
      </c>
    </row>
    <row r="5" spans="1:8" x14ac:dyDescent="0.25">
      <c r="A5" t="s">
        <v>68</v>
      </c>
      <c r="B5" t="s">
        <v>69</v>
      </c>
      <c r="C5" t="s">
        <v>252</v>
      </c>
      <c r="D5" t="s">
        <v>68</v>
      </c>
      <c r="E5">
        <v>30481</v>
      </c>
    </row>
    <row r="6" spans="1:8" x14ac:dyDescent="0.25">
      <c r="A6" t="s">
        <v>70</v>
      </c>
      <c r="B6" t="s">
        <v>71</v>
      </c>
      <c r="C6" t="s">
        <v>251</v>
      </c>
    </row>
    <row r="7" spans="1:8" x14ac:dyDescent="0.25">
      <c r="A7" t="s">
        <v>72</v>
      </c>
      <c r="B7" t="s">
        <v>71</v>
      </c>
      <c r="C7" t="s">
        <v>252</v>
      </c>
      <c r="D7" t="s">
        <v>87</v>
      </c>
      <c r="E7">
        <v>17542</v>
      </c>
    </row>
    <row r="8" spans="1:8" x14ac:dyDescent="0.25">
      <c r="A8" t="s">
        <v>73</v>
      </c>
      <c r="B8" t="s">
        <v>74</v>
      </c>
      <c r="C8" t="s">
        <v>251</v>
      </c>
    </row>
    <row r="9" spans="1:8" x14ac:dyDescent="0.25">
      <c r="A9" t="s">
        <v>75</v>
      </c>
      <c r="B9" t="s">
        <v>76</v>
      </c>
      <c r="C9" t="s">
        <v>252</v>
      </c>
      <c r="D9" t="s">
        <v>87</v>
      </c>
      <c r="E9">
        <v>17542</v>
      </c>
    </row>
    <row r="10" spans="1:8" x14ac:dyDescent="0.25">
      <c r="A10" t="s">
        <v>23</v>
      </c>
      <c r="B10" t="s">
        <v>77</v>
      </c>
      <c r="C10" t="s">
        <v>251</v>
      </c>
    </row>
    <row r="11" spans="1:8" x14ac:dyDescent="0.25">
      <c r="A11" t="s">
        <v>78</v>
      </c>
      <c r="B11" t="s">
        <v>79</v>
      </c>
      <c r="C11" t="s">
        <v>251</v>
      </c>
    </row>
    <row r="12" spans="1:8" x14ac:dyDescent="0.25">
      <c r="A12" t="s">
        <v>80</v>
      </c>
      <c r="B12" t="s">
        <v>81</v>
      </c>
      <c r="C12" t="s">
        <v>252</v>
      </c>
      <c r="D12" t="s">
        <v>87</v>
      </c>
      <c r="E12">
        <v>17542</v>
      </c>
    </row>
    <row r="13" spans="1:8" x14ac:dyDescent="0.25">
      <c r="A13" t="s">
        <v>82</v>
      </c>
      <c r="B13" t="s">
        <v>83</v>
      </c>
      <c r="C13" t="s">
        <v>251</v>
      </c>
    </row>
    <row r="14" spans="1:8" x14ac:dyDescent="0.25">
      <c r="A14" t="s">
        <v>84</v>
      </c>
      <c r="B14" t="s">
        <v>85</v>
      </c>
      <c r="C14" t="s">
        <v>251</v>
      </c>
    </row>
    <row r="15" spans="1:8" x14ac:dyDescent="0.25">
      <c r="A15" t="s">
        <v>86</v>
      </c>
      <c r="B15" t="s">
        <v>87</v>
      </c>
      <c r="C15" t="s">
        <v>252</v>
      </c>
      <c r="D15" t="s">
        <v>262</v>
      </c>
      <c r="E15">
        <v>30407</v>
      </c>
    </row>
    <row r="16" spans="1:8" x14ac:dyDescent="0.25">
      <c r="A16" t="s">
        <v>88</v>
      </c>
      <c r="B16" t="s">
        <v>69</v>
      </c>
      <c r="C16" t="s">
        <v>252</v>
      </c>
      <c r="D16" t="s">
        <v>87</v>
      </c>
      <c r="E16">
        <v>17542</v>
      </c>
    </row>
    <row r="17" spans="1:5" x14ac:dyDescent="0.25">
      <c r="A17" t="s">
        <v>89</v>
      </c>
      <c r="B17" t="s">
        <v>12</v>
      </c>
      <c r="C17" t="s">
        <v>251</v>
      </c>
    </row>
    <row r="18" spans="1:5" x14ac:dyDescent="0.25">
      <c r="A18" t="s">
        <v>90</v>
      </c>
      <c r="B18" t="s">
        <v>91</v>
      </c>
      <c r="C18" t="s">
        <v>251</v>
      </c>
    </row>
    <row r="19" spans="1:5" x14ac:dyDescent="0.25">
      <c r="A19" t="s">
        <v>92</v>
      </c>
      <c r="B19" t="s">
        <v>92</v>
      </c>
      <c r="C19" t="s">
        <v>251</v>
      </c>
    </row>
    <row r="20" spans="1:5" x14ac:dyDescent="0.25">
      <c r="A20" t="s">
        <v>93</v>
      </c>
      <c r="B20" t="s">
        <v>94</v>
      </c>
      <c r="C20" t="s">
        <v>251</v>
      </c>
    </row>
    <row r="21" spans="1:5" x14ac:dyDescent="0.25">
      <c r="A21" t="s">
        <v>95</v>
      </c>
      <c r="B21" t="s">
        <v>96</v>
      </c>
      <c r="C21" t="s">
        <v>251</v>
      </c>
    </row>
    <row r="22" spans="1:5" x14ac:dyDescent="0.25">
      <c r="A22" t="s">
        <v>97</v>
      </c>
      <c r="B22" t="s">
        <v>12</v>
      </c>
      <c r="C22" t="s">
        <v>251</v>
      </c>
    </row>
    <row r="23" spans="1:5" x14ac:dyDescent="0.25">
      <c r="A23" t="s">
        <v>98</v>
      </c>
      <c r="B23" t="s">
        <v>99</v>
      </c>
      <c r="C23" t="s">
        <v>251</v>
      </c>
    </row>
    <row r="24" spans="1:5" x14ac:dyDescent="0.25">
      <c r="A24" t="s">
        <v>100</v>
      </c>
      <c r="B24" t="s">
        <v>100</v>
      </c>
      <c r="C24" t="s">
        <v>251</v>
      </c>
    </row>
    <row r="25" spans="1:5" x14ac:dyDescent="0.25">
      <c r="A25" t="s">
        <v>101</v>
      </c>
      <c r="B25" t="s">
        <v>102</v>
      </c>
      <c r="C25" t="s">
        <v>251</v>
      </c>
    </row>
    <row r="26" spans="1:5" x14ac:dyDescent="0.25">
      <c r="A26" t="s">
        <v>103</v>
      </c>
      <c r="B26" t="s">
        <v>104</v>
      </c>
      <c r="C26" t="s">
        <v>251</v>
      </c>
    </row>
    <row r="27" spans="1:5" x14ac:dyDescent="0.25">
      <c r="A27" t="s">
        <v>105</v>
      </c>
      <c r="B27" t="s">
        <v>106</v>
      </c>
      <c r="C27" t="s">
        <v>251</v>
      </c>
    </row>
    <row r="28" spans="1:5" x14ac:dyDescent="0.25">
      <c r="A28" t="s">
        <v>107</v>
      </c>
      <c r="B28" t="s">
        <v>108</v>
      </c>
      <c r="C28" t="s">
        <v>251</v>
      </c>
    </row>
    <row r="29" spans="1:5" x14ac:dyDescent="0.25">
      <c r="A29" t="s">
        <v>109</v>
      </c>
      <c r="B29" t="s">
        <v>110</v>
      </c>
      <c r="C29" t="s">
        <v>251</v>
      </c>
    </row>
    <row r="30" spans="1:5" x14ac:dyDescent="0.25">
      <c r="A30" t="s">
        <v>111</v>
      </c>
      <c r="B30" t="s">
        <v>112</v>
      </c>
      <c r="C30" t="s">
        <v>251</v>
      </c>
    </row>
    <row r="31" spans="1:5" x14ac:dyDescent="0.25">
      <c r="A31" t="s">
        <v>113</v>
      </c>
      <c r="B31" t="s">
        <v>114</v>
      </c>
      <c r="C31" t="s">
        <v>251</v>
      </c>
    </row>
    <row r="32" spans="1:5" x14ac:dyDescent="0.25">
      <c r="A32" t="s">
        <v>88</v>
      </c>
      <c r="B32" t="s">
        <v>69</v>
      </c>
      <c r="C32" t="s">
        <v>252</v>
      </c>
      <c r="D32" t="s">
        <v>116</v>
      </c>
      <c r="E32">
        <v>17557</v>
      </c>
    </row>
    <row r="33" spans="1:5" x14ac:dyDescent="0.25">
      <c r="A33" t="s">
        <v>115</v>
      </c>
      <c r="B33" t="s">
        <v>116</v>
      </c>
      <c r="C33" t="s">
        <v>251</v>
      </c>
    </row>
    <row r="34" spans="1:5" x14ac:dyDescent="0.25">
      <c r="A34" t="s">
        <v>117</v>
      </c>
      <c r="B34" t="s">
        <v>68</v>
      </c>
      <c r="C34" t="s">
        <v>252</v>
      </c>
      <c r="D34" t="s">
        <v>69</v>
      </c>
      <c r="E34">
        <v>30485</v>
      </c>
    </row>
    <row r="35" spans="1:5" x14ac:dyDescent="0.25">
      <c r="A35" t="s">
        <v>118</v>
      </c>
      <c r="B35" t="s">
        <v>12</v>
      </c>
      <c r="C35" t="s">
        <v>252</v>
      </c>
      <c r="D35" t="s">
        <v>263</v>
      </c>
      <c r="E35">
        <v>30412</v>
      </c>
    </row>
    <row r="36" spans="1:5" x14ac:dyDescent="0.25">
      <c r="A36" t="s">
        <v>119</v>
      </c>
      <c r="B36" t="s">
        <v>114</v>
      </c>
      <c r="C36" t="s">
        <v>252</v>
      </c>
      <c r="D36" t="s">
        <v>263</v>
      </c>
      <c r="E36">
        <v>30412</v>
      </c>
    </row>
    <row r="37" spans="1:5" x14ac:dyDescent="0.25">
      <c r="A37" t="s">
        <v>120</v>
      </c>
      <c r="B37" t="s">
        <v>121</v>
      </c>
      <c r="C37" t="s">
        <v>251</v>
      </c>
    </row>
    <row r="38" spans="1:5" x14ac:dyDescent="0.25">
      <c r="A38" t="s">
        <v>122</v>
      </c>
      <c r="B38" t="s">
        <v>123</v>
      </c>
      <c r="C38" t="s">
        <v>251</v>
      </c>
    </row>
    <row r="39" spans="1:5" x14ac:dyDescent="0.25">
      <c r="A39" t="s">
        <v>124</v>
      </c>
      <c r="B39" t="s">
        <v>125</v>
      </c>
      <c r="C39" t="s">
        <v>252</v>
      </c>
      <c r="D39" t="s">
        <v>269</v>
      </c>
      <c r="E39">
        <v>30601</v>
      </c>
    </row>
    <row r="40" spans="1:5" x14ac:dyDescent="0.25">
      <c r="A40" t="s">
        <v>126</v>
      </c>
      <c r="B40" t="s">
        <v>127</v>
      </c>
      <c r="C40" t="s">
        <v>251</v>
      </c>
    </row>
    <row r="41" spans="1:5" x14ac:dyDescent="0.25">
      <c r="A41" t="s">
        <v>128</v>
      </c>
      <c r="B41" t="s">
        <v>129</v>
      </c>
      <c r="C41" t="s">
        <v>251</v>
      </c>
    </row>
    <row r="42" spans="1:5" x14ac:dyDescent="0.25">
      <c r="A42" t="s">
        <v>130</v>
      </c>
      <c r="B42" t="s">
        <v>110</v>
      </c>
      <c r="C42" t="s">
        <v>251</v>
      </c>
    </row>
    <row r="43" spans="1:5" x14ac:dyDescent="0.25">
      <c r="A43" t="s">
        <v>131</v>
      </c>
      <c r="B43" t="s">
        <v>12</v>
      </c>
      <c r="C43" t="s">
        <v>251</v>
      </c>
    </row>
    <row r="44" spans="1:5" x14ac:dyDescent="0.25">
      <c r="A44" t="s">
        <v>132</v>
      </c>
      <c r="B44" t="s">
        <v>133</v>
      </c>
      <c r="C44" t="s">
        <v>251</v>
      </c>
    </row>
    <row r="45" spans="1:5" x14ac:dyDescent="0.25">
      <c r="A45" t="s">
        <v>134</v>
      </c>
      <c r="B45" t="s">
        <v>135</v>
      </c>
      <c r="C45" t="s">
        <v>251</v>
      </c>
    </row>
    <row r="46" spans="1:5" x14ac:dyDescent="0.25">
      <c r="A46" t="s">
        <v>136</v>
      </c>
      <c r="B46" t="s">
        <v>133</v>
      </c>
      <c r="C46" t="s">
        <v>252</v>
      </c>
      <c r="D46" t="s">
        <v>268</v>
      </c>
      <c r="E46">
        <v>30659</v>
      </c>
    </row>
    <row r="47" spans="1:5" x14ac:dyDescent="0.25">
      <c r="A47" t="s">
        <v>137</v>
      </c>
      <c r="B47" t="s">
        <v>138</v>
      </c>
      <c r="C47" t="s">
        <v>251</v>
      </c>
    </row>
    <row r="48" spans="1:5" x14ac:dyDescent="0.25">
      <c r="A48" t="s">
        <v>139</v>
      </c>
      <c r="B48" t="s">
        <v>76</v>
      </c>
      <c r="C48" t="s">
        <v>251</v>
      </c>
    </row>
    <row r="49" spans="1:3" x14ac:dyDescent="0.25">
      <c r="A49" t="s">
        <v>140</v>
      </c>
      <c r="B49" t="s">
        <v>141</v>
      </c>
      <c r="C49" t="s">
        <v>251</v>
      </c>
    </row>
    <row r="50" spans="1:3" x14ac:dyDescent="0.25">
      <c r="A50" t="s">
        <v>142</v>
      </c>
      <c r="B50" t="s">
        <v>143</v>
      </c>
      <c r="C50" t="s">
        <v>251</v>
      </c>
    </row>
    <row r="51" spans="1:3" x14ac:dyDescent="0.25">
      <c r="A51" t="s">
        <v>144</v>
      </c>
      <c r="B51" t="s">
        <v>145</v>
      </c>
      <c r="C51" t="s">
        <v>251</v>
      </c>
    </row>
    <row r="52" spans="1:3" x14ac:dyDescent="0.25">
      <c r="A52" t="s">
        <v>146</v>
      </c>
      <c r="B52" t="s">
        <v>147</v>
      </c>
      <c r="C52" t="s">
        <v>251</v>
      </c>
    </row>
    <row r="53" spans="1:3" x14ac:dyDescent="0.25">
      <c r="A53" t="s">
        <v>148</v>
      </c>
      <c r="B53" t="s">
        <v>149</v>
      </c>
      <c r="C53" t="s">
        <v>251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/>
  </sheetViews>
  <sheetFormatPr defaultRowHeight="15" x14ac:dyDescent="0.25"/>
  <cols>
    <col min="1" max="1" width="53.140625" customWidth="1"/>
    <col min="2" max="2" width="50.42578125" bestFit="1" customWidth="1"/>
    <col min="4" max="4" width="23.28515625" customWidth="1"/>
  </cols>
  <sheetData>
    <row r="1" spans="1:8" x14ac:dyDescent="0.25">
      <c r="A1" s="1" t="s">
        <v>0</v>
      </c>
      <c r="B1" s="1" t="s">
        <v>1</v>
      </c>
      <c r="C1" s="2" t="s">
        <v>249</v>
      </c>
      <c r="D1" s="2" t="s">
        <v>257</v>
      </c>
      <c r="E1" s="3" t="s">
        <v>250</v>
      </c>
      <c r="G1" s="4" t="s">
        <v>251</v>
      </c>
      <c r="H1" s="5">
        <f>COUNTIF(C:C,G1)</f>
        <v>40</v>
      </c>
    </row>
    <row r="2" spans="1:8" x14ac:dyDescent="0.25">
      <c r="A2" t="s">
        <v>63</v>
      </c>
      <c r="B2" t="s">
        <v>64</v>
      </c>
      <c r="C2" t="s">
        <v>251</v>
      </c>
      <c r="G2" s="6" t="s">
        <v>252</v>
      </c>
      <c r="H2" s="7">
        <f>COUNTIF(C:C,G2)</f>
        <v>12</v>
      </c>
    </row>
    <row r="3" spans="1:8" ht="15.75" thickBot="1" x14ac:dyDescent="0.3">
      <c r="A3" t="s">
        <v>65</v>
      </c>
      <c r="B3" t="s">
        <v>12</v>
      </c>
      <c r="C3" t="s">
        <v>251</v>
      </c>
      <c r="G3" s="8" t="s">
        <v>253</v>
      </c>
      <c r="H3" s="9">
        <f>H1/SUM(H1:H2)</f>
        <v>0.76923076923076927</v>
      </c>
    </row>
    <row r="4" spans="1:8" x14ac:dyDescent="0.25">
      <c r="A4" t="s">
        <v>66</v>
      </c>
      <c r="B4" t="s">
        <v>67</v>
      </c>
      <c r="C4" t="s">
        <v>251</v>
      </c>
    </row>
    <row r="5" spans="1:8" x14ac:dyDescent="0.25">
      <c r="A5" t="s">
        <v>68</v>
      </c>
      <c r="B5" t="s">
        <v>69</v>
      </c>
      <c r="C5" t="s">
        <v>252</v>
      </c>
      <c r="D5" t="s">
        <v>68</v>
      </c>
      <c r="E5">
        <v>30481</v>
      </c>
    </row>
    <row r="6" spans="1:8" x14ac:dyDescent="0.25">
      <c r="A6" t="s">
        <v>227</v>
      </c>
      <c r="B6" t="s">
        <v>71</v>
      </c>
      <c r="C6" t="s">
        <v>251</v>
      </c>
    </row>
    <row r="7" spans="1:8" x14ac:dyDescent="0.25">
      <c r="A7" t="s">
        <v>72</v>
      </c>
      <c r="B7" t="s">
        <v>71</v>
      </c>
      <c r="C7" t="s">
        <v>252</v>
      </c>
      <c r="D7" t="s">
        <v>87</v>
      </c>
      <c r="E7">
        <v>17542</v>
      </c>
    </row>
    <row r="8" spans="1:8" x14ac:dyDescent="0.25">
      <c r="A8" t="s">
        <v>228</v>
      </c>
      <c r="B8" t="s">
        <v>74</v>
      </c>
      <c r="C8" t="s">
        <v>251</v>
      </c>
      <c r="D8" s="14"/>
      <c r="E8" s="14"/>
    </row>
    <row r="9" spans="1:8" x14ac:dyDescent="0.25">
      <c r="A9" t="s">
        <v>75</v>
      </c>
      <c r="B9" t="s">
        <v>76</v>
      </c>
      <c r="C9" t="s">
        <v>252</v>
      </c>
      <c r="D9" t="s">
        <v>87</v>
      </c>
      <c r="E9">
        <v>17542</v>
      </c>
    </row>
    <row r="10" spans="1:8" x14ac:dyDescent="0.25">
      <c r="A10" t="s">
        <v>23</v>
      </c>
      <c r="B10" t="s">
        <v>77</v>
      </c>
      <c r="C10" t="s">
        <v>251</v>
      </c>
    </row>
    <row r="11" spans="1:8" x14ac:dyDescent="0.25">
      <c r="A11" t="s">
        <v>229</v>
      </c>
      <c r="B11" t="s">
        <v>79</v>
      </c>
      <c r="C11" t="s">
        <v>251</v>
      </c>
    </row>
    <row r="12" spans="1:8" x14ac:dyDescent="0.25">
      <c r="A12" t="s">
        <v>230</v>
      </c>
      <c r="B12" t="s">
        <v>83</v>
      </c>
      <c r="C12" t="s">
        <v>251</v>
      </c>
    </row>
    <row r="13" spans="1:8" x14ac:dyDescent="0.25">
      <c r="A13" t="s">
        <v>231</v>
      </c>
      <c r="B13" t="s">
        <v>85</v>
      </c>
      <c r="C13" t="s">
        <v>251</v>
      </c>
    </row>
    <row r="14" spans="1:8" x14ac:dyDescent="0.25">
      <c r="A14" t="s">
        <v>86</v>
      </c>
      <c r="B14" t="s">
        <v>87</v>
      </c>
      <c r="C14" t="s">
        <v>252</v>
      </c>
      <c r="D14" t="s">
        <v>262</v>
      </c>
      <c r="E14">
        <v>30407</v>
      </c>
    </row>
    <row r="15" spans="1:8" x14ac:dyDescent="0.25">
      <c r="A15" t="s">
        <v>232</v>
      </c>
      <c r="B15" t="s">
        <v>69</v>
      </c>
      <c r="C15" t="s">
        <v>252</v>
      </c>
      <c r="D15" t="s">
        <v>87</v>
      </c>
      <c r="E15">
        <v>17542</v>
      </c>
    </row>
    <row r="16" spans="1:8" x14ac:dyDescent="0.25">
      <c r="A16" t="s">
        <v>80</v>
      </c>
      <c r="B16" t="s">
        <v>81</v>
      </c>
      <c r="C16" t="s">
        <v>252</v>
      </c>
      <c r="D16" t="s">
        <v>87</v>
      </c>
      <c r="E16">
        <v>17542</v>
      </c>
    </row>
    <row r="17" spans="1:3" x14ac:dyDescent="0.25">
      <c r="A17" t="s">
        <v>233</v>
      </c>
      <c r="B17" t="s">
        <v>12</v>
      </c>
      <c r="C17" t="s">
        <v>251</v>
      </c>
    </row>
    <row r="18" spans="1:3" x14ac:dyDescent="0.25">
      <c r="A18" t="s">
        <v>234</v>
      </c>
      <c r="B18" t="s">
        <v>12</v>
      </c>
      <c r="C18" t="s">
        <v>251</v>
      </c>
    </row>
    <row r="19" spans="1:3" x14ac:dyDescent="0.25">
      <c r="A19" t="s">
        <v>90</v>
      </c>
      <c r="B19" t="s">
        <v>91</v>
      </c>
      <c r="C19" t="s">
        <v>251</v>
      </c>
    </row>
    <row r="20" spans="1:3" x14ac:dyDescent="0.25">
      <c r="A20" t="s">
        <v>92</v>
      </c>
      <c r="B20" t="s">
        <v>92</v>
      </c>
      <c r="C20" t="s">
        <v>251</v>
      </c>
    </row>
    <row r="21" spans="1:3" x14ac:dyDescent="0.25">
      <c r="A21" t="s">
        <v>93</v>
      </c>
      <c r="B21" t="s">
        <v>94</v>
      </c>
      <c r="C21" t="s">
        <v>251</v>
      </c>
    </row>
    <row r="22" spans="1:3" x14ac:dyDescent="0.25">
      <c r="A22" t="s">
        <v>95</v>
      </c>
      <c r="B22" t="s">
        <v>96</v>
      </c>
      <c r="C22" t="s">
        <v>251</v>
      </c>
    </row>
    <row r="23" spans="1:3" x14ac:dyDescent="0.25">
      <c r="A23" t="s">
        <v>235</v>
      </c>
      <c r="B23" t="s">
        <v>12</v>
      </c>
      <c r="C23" t="s">
        <v>251</v>
      </c>
    </row>
    <row r="24" spans="1:3" x14ac:dyDescent="0.25">
      <c r="A24" t="s">
        <v>98</v>
      </c>
      <c r="B24" t="s">
        <v>99</v>
      </c>
      <c r="C24" t="s">
        <v>251</v>
      </c>
    </row>
    <row r="25" spans="1:3" x14ac:dyDescent="0.25">
      <c r="A25" t="s">
        <v>100</v>
      </c>
      <c r="B25" t="s">
        <v>100</v>
      </c>
      <c r="C25" t="s">
        <v>251</v>
      </c>
    </row>
    <row r="26" spans="1:3" x14ac:dyDescent="0.25">
      <c r="A26" t="s">
        <v>101</v>
      </c>
      <c r="B26" t="s">
        <v>102</v>
      </c>
      <c r="C26" t="s">
        <v>251</v>
      </c>
    </row>
    <row r="27" spans="1:3" x14ac:dyDescent="0.25">
      <c r="A27" t="s">
        <v>103</v>
      </c>
      <c r="B27" t="s">
        <v>104</v>
      </c>
      <c r="C27" t="s">
        <v>251</v>
      </c>
    </row>
    <row r="28" spans="1:3" x14ac:dyDescent="0.25">
      <c r="A28" t="s">
        <v>105</v>
      </c>
      <c r="B28" t="s">
        <v>106</v>
      </c>
      <c r="C28" t="s">
        <v>251</v>
      </c>
    </row>
    <row r="29" spans="1:3" x14ac:dyDescent="0.25">
      <c r="A29" t="s">
        <v>107</v>
      </c>
      <c r="B29" t="s">
        <v>108</v>
      </c>
      <c r="C29" t="s">
        <v>251</v>
      </c>
    </row>
    <row r="30" spans="1:3" x14ac:dyDescent="0.25">
      <c r="A30" t="s">
        <v>109</v>
      </c>
      <c r="B30" t="s">
        <v>110</v>
      </c>
      <c r="C30" t="s">
        <v>251</v>
      </c>
    </row>
    <row r="31" spans="1:3" x14ac:dyDescent="0.25">
      <c r="A31" t="s">
        <v>115</v>
      </c>
      <c r="B31" t="s">
        <v>116</v>
      </c>
      <c r="C31" t="s">
        <v>251</v>
      </c>
    </row>
    <row r="32" spans="1:3" x14ac:dyDescent="0.25">
      <c r="A32" t="s">
        <v>236</v>
      </c>
      <c r="B32" t="s">
        <v>112</v>
      </c>
      <c r="C32" t="s">
        <v>251</v>
      </c>
    </row>
    <row r="33" spans="1:5" x14ac:dyDescent="0.25">
      <c r="A33" t="s">
        <v>113</v>
      </c>
      <c r="B33" t="s">
        <v>114</v>
      </c>
      <c r="C33" t="s">
        <v>251</v>
      </c>
    </row>
    <row r="34" spans="1:5" x14ac:dyDescent="0.25">
      <c r="A34" t="s">
        <v>232</v>
      </c>
      <c r="B34" t="s">
        <v>69</v>
      </c>
      <c r="C34" t="s">
        <v>252</v>
      </c>
      <c r="D34" t="s">
        <v>116</v>
      </c>
      <c r="E34">
        <v>17557</v>
      </c>
    </row>
    <row r="35" spans="1:5" x14ac:dyDescent="0.25">
      <c r="A35" t="s">
        <v>117</v>
      </c>
      <c r="B35" t="s">
        <v>68</v>
      </c>
      <c r="C35" t="s">
        <v>252</v>
      </c>
      <c r="D35" t="s">
        <v>69</v>
      </c>
      <c r="E35">
        <v>30485</v>
      </c>
    </row>
    <row r="36" spans="1:5" x14ac:dyDescent="0.25">
      <c r="A36" t="s">
        <v>118</v>
      </c>
      <c r="B36" t="s">
        <v>12</v>
      </c>
      <c r="C36" t="s">
        <v>252</v>
      </c>
      <c r="D36" t="s">
        <v>263</v>
      </c>
      <c r="E36">
        <v>30412</v>
      </c>
    </row>
    <row r="37" spans="1:5" x14ac:dyDescent="0.25">
      <c r="A37" t="s">
        <v>237</v>
      </c>
      <c r="B37" t="s">
        <v>121</v>
      </c>
      <c r="C37" t="s">
        <v>251</v>
      </c>
    </row>
    <row r="38" spans="1:5" x14ac:dyDescent="0.25">
      <c r="A38" t="s">
        <v>238</v>
      </c>
      <c r="B38" t="s">
        <v>12</v>
      </c>
      <c r="C38" t="s">
        <v>252</v>
      </c>
      <c r="D38" t="s">
        <v>263</v>
      </c>
      <c r="E38">
        <v>30412</v>
      </c>
    </row>
    <row r="39" spans="1:5" x14ac:dyDescent="0.25">
      <c r="A39" t="s">
        <v>124</v>
      </c>
      <c r="B39" t="s">
        <v>125</v>
      </c>
      <c r="C39" t="s">
        <v>252</v>
      </c>
      <c r="D39" t="s">
        <v>269</v>
      </c>
      <c r="E39">
        <v>30601</v>
      </c>
    </row>
    <row r="40" spans="1:5" x14ac:dyDescent="0.25">
      <c r="A40" t="s">
        <v>122</v>
      </c>
      <c r="B40" t="s">
        <v>123</v>
      </c>
      <c r="C40" t="s">
        <v>251</v>
      </c>
    </row>
    <row r="41" spans="1:5" x14ac:dyDescent="0.25">
      <c r="A41" t="s">
        <v>130</v>
      </c>
      <c r="B41" t="s">
        <v>110</v>
      </c>
      <c r="C41" t="s">
        <v>251</v>
      </c>
    </row>
    <row r="42" spans="1:5" x14ac:dyDescent="0.25">
      <c r="A42" t="s">
        <v>131</v>
      </c>
      <c r="B42" t="s">
        <v>12</v>
      </c>
      <c r="C42" t="s">
        <v>251</v>
      </c>
    </row>
    <row r="43" spans="1:5" x14ac:dyDescent="0.25">
      <c r="A43" t="s">
        <v>132</v>
      </c>
      <c r="B43" t="s">
        <v>133</v>
      </c>
      <c r="C43" t="s">
        <v>251</v>
      </c>
    </row>
    <row r="44" spans="1:5" x14ac:dyDescent="0.25">
      <c r="A44" t="s">
        <v>134</v>
      </c>
      <c r="B44" t="s">
        <v>135</v>
      </c>
      <c r="C44" t="s">
        <v>251</v>
      </c>
    </row>
    <row r="45" spans="1:5" x14ac:dyDescent="0.25">
      <c r="A45" t="s">
        <v>239</v>
      </c>
      <c r="B45" t="s">
        <v>133</v>
      </c>
      <c r="C45" t="s">
        <v>252</v>
      </c>
      <c r="D45" t="s">
        <v>268</v>
      </c>
      <c r="E45">
        <v>30659</v>
      </c>
    </row>
    <row r="46" spans="1:5" x14ac:dyDescent="0.25">
      <c r="A46" t="s">
        <v>137</v>
      </c>
      <c r="B46" t="s">
        <v>138</v>
      </c>
      <c r="C46" t="s">
        <v>251</v>
      </c>
    </row>
    <row r="47" spans="1:5" x14ac:dyDescent="0.25">
      <c r="A47" t="s">
        <v>139</v>
      </c>
      <c r="B47" t="s">
        <v>76</v>
      </c>
      <c r="C47" t="s">
        <v>251</v>
      </c>
    </row>
    <row r="48" spans="1:5" x14ac:dyDescent="0.25">
      <c r="A48" t="s">
        <v>140</v>
      </c>
      <c r="B48" t="s">
        <v>141</v>
      </c>
      <c r="C48" t="s">
        <v>251</v>
      </c>
    </row>
    <row r="49" spans="1:3" x14ac:dyDescent="0.25">
      <c r="A49" t="s">
        <v>240</v>
      </c>
      <c r="B49" t="s">
        <v>143</v>
      </c>
      <c r="C49" t="s">
        <v>251</v>
      </c>
    </row>
    <row r="50" spans="1:3" x14ac:dyDescent="0.25">
      <c r="A50" t="s">
        <v>241</v>
      </c>
      <c r="B50" t="s">
        <v>242</v>
      </c>
      <c r="C50" t="s">
        <v>251</v>
      </c>
    </row>
    <row r="51" spans="1:3" x14ac:dyDescent="0.25">
      <c r="A51" t="s">
        <v>243</v>
      </c>
      <c r="B51" t="s">
        <v>145</v>
      </c>
      <c r="C51" t="s">
        <v>251</v>
      </c>
    </row>
    <row r="52" spans="1:3" x14ac:dyDescent="0.25">
      <c r="A52" t="s">
        <v>146</v>
      </c>
      <c r="B52" t="s">
        <v>147</v>
      </c>
      <c r="C52" t="s">
        <v>251</v>
      </c>
    </row>
    <row r="53" spans="1:3" x14ac:dyDescent="0.25">
      <c r="A53" t="s">
        <v>148</v>
      </c>
      <c r="B53" t="s">
        <v>149</v>
      </c>
      <c r="C53" t="s">
        <v>251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2026-03-18T05:36:49Z</dcterms:created>
  <dcterms:modified xsi:type="dcterms:W3CDTF">2026-03-24T13:10:24Z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2026-03-20T04:28:58Z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4a518c42-9a73-4a27-96a4-ae257e0e69d8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