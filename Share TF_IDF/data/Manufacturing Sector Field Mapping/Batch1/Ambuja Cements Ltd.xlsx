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3-03-2026\"/>
    </mc:Choice>
  </mc:AlternateContent>
  <xr:revisionPtr revIDLastSave="0" documentId="13_ncr:1_{B907905F-687A-49F2-B676-62FE9A5510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and Loss" sheetId="1" r:id="rId1"/>
    <sheet name="Consolidated Profit and Loss" sheetId="4" r:id="rId2"/>
    <sheet name="Standalone Balance Sheet" sheetId="2" r:id="rId3"/>
    <sheet name="Consolidated Balance Sheet" sheetId="6" r:id="rId4"/>
    <sheet name="Standalone Cash Flows" sheetId="3" r:id="rId5"/>
    <sheet name="Consolidated Cash Flows" sheetId="7" r:id="rId6"/>
    <sheet name="Consolidated Segment Reporting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/>
  <c r="H1" i="5"/>
  <c r="H3" i="5" s="1"/>
  <c r="H2" i="3"/>
  <c r="H1" i="3"/>
  <c r="H2" i="6"/>
  <c r="H1" i="6"/>
  <c r="H2" i="2"/>
  <c r="H1" i="2"/>
  <c r="H2" i="4"/>
  <c r="H1" i="4"/>
  <c r="H2" i="1"/>
  <c r="H1" i="1"/>
  <c r="H2" i="7" l="1"/>
  <c r="H1" i="7"/>
  <c r="H3" i="3"/>
  <c r="H3" i="4"/>
  <c r="H3" i="1"/>
  <c r="H3" i="6"/>
  <c r="H3" i="2"/>
  <c r="H3" i="7" l="1"/>
</calcChain>
</file>

<file path=xl/sharedStrings.xml><?xml version="1.0" encoding="utf-8"?>
<sst xmlns="http://schemas.openxmlformats.org/spreadsheetml/2006/main" count="1164" uniqueCount="358">
  <si>
    <t>Particulars</t>
  </si>
  <si>
    <t>Cogencis Field</t>
  </si>
  <si>
    <t>Government Grants including duty credits / refunds</t>
  </si>
  <si>
    <t>Reserve excluding Revaluation Reserves (as per Balance Sheet of Previous Accounting Year)</t>
  </si>
  <si>
    <t xml:space="preserve">Other income </t>
  </si>
  <si>
    <t>Miscellaneous Income</t>
  </si>
  <si>
    <t>Total Income</t>
  </si>
  <si>
    <t>Expenses</t>
  </si>
  <si>
    <t>Lable</t>
  </si>
  <si>
    <t>Cost of materials consumed</t>
  </si>
  <si>
    <t>Cost of Materials Consumed</t>
  </si>
  <si>
    <t>Purchase of stock - in - trade</t>
  </si>
  <si>
    <t>Purchase of Stock-in-Trade</t>
  </si>
  <si>
    <t>Changes in inventories of finished goods work - in - progress and stock - in - trade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</si>
  <si>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</si>
  <si>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</si>
  <si>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</si>
  <si>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</si>
  <si>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</si>
  <si>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</si>
  <si>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</si>
  <si>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Power and fuel</t>
  </si>
  <si>
    <t>Power and Fuel</t>
  </si>
  <si>
    <t>Freight and forwarding expense</t>
  </si>
  <si>
    <t>Other Expenses</t>
  </si>
  <si>
    <t>Other expenses</t>
  </si>
  <si>
    <t>Total Expenses</t>
  </si>
  <si>
    <t>Profit before exceptional items and tax</t>
  </si>
  <si>
    <t>Profit/(Loss) from Ordinary Activities after Finance Costs but before Exceptional Items</t>
  </si>
  <si>
    <t>Exceptional items -Expense</t>
  </si>
  <si>
    <t>Total Exceptional Items</t>
  </si>
  <si>
    <t>Profit before tax</t>
  </si>
  <si>
    <t>Profit/(Loss) From Ordinary Activities before Tax</t>
  </si>
  <si>
    <t>Tax expense</t>
  </si>
  <si>
    <t>Tax Expense</t>
  </si>
  <si>
    <t>Current tax ( net )</t>
  </si>
  <si>
    <t>Tax adjustment / ( write back ) relating to earlier periods ( net )</t>
  </si>
  <si>
    <t>Deferred tax charge</t>
  </si>
  <si>
    <t>Deferred Tax</t>
  </si>
  <si>
    <t>Total Tax ( Credit ) / Expenses</t>
  </si>
  <si>
    <t>Total Field</t>
  </si>
  <si>
    <t>Profit after tax</t>
  </si>
  <si>
    <t>Net Profit/(Loss) for the Period</t>
  </si>
  <si>
    <t>Other comprehensive income / ( loss )</t>
  </si>
  <si>
    <t>Other Comprehensive Income</t>
  </si>
  <si>
    <t>Items that will not be reclassified to profit or loss in subsequent periods :</t>
  </si>
  <si>
    <t>Remeasurement gain / ( losses ) on defined benefit plans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</si>
  <si>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</si>
  <si>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</si>
  <si>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</si>
  <si>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Total other comprehensive income / ( loss ) ( net of tax )</t>
  </si>
  <si>
    <t>Total comprehensive income ( net of tax )</t>
  </si>
  <si>
    <t>Total Comprehensive Gain (Loss) For the Year</t>
  </si>
  <si>
    <t>Paid - up equity share capital ( Face value { 2 each )</t>
  </si>
  <si>
    <t>Paid-Up Equity Share Capital</t>
  </si>
  <si>
    <t>Other equity</t>
  </si>
  <si>
    <t>Earnings per share of { 2 each ( not annualised )</t>
  </si>
  <si>
    <t>Basic</t>
  </si>
  <si>
    <t>Diluted</t>
  </si>
  <si>
    <t>Property plant and equipment</t>
  </si>
  <si>
    <t>Property, Plant &amp; Equipment</t>
  </si>
  <si>
    <t>Right of use assets</t>
  </si>
  <si>
    <t>Right-of-use asset</t>
  </si>
  <si>
    <t>Capital work - in - progress</t>
  </si>
  <si>
    <t>Capital Work-In-Progress</t>
  </si>
  <si>
    <t>Goodwill</t>
  </si>
  <si>
    <t>Other intangible assets</t>
  </si>
  <si>
    <t>Other Intangible Assets</t>
  </si>
  <si>
    <t>Intangible Assets under Development</t>
  </si>
  <si>
    <t>Intangible assets under development</t>
  </si>
  <si>
    <t>Financial assets</t>
  </si>
  <si>
    <t>Investments in subsidiaries and joint ventures</t>
  </si>
  <si>
    <t>Non-Current Investments</t>
  </si>
  <si>
    <t>Investments</t>
  </si>
  <si>
    <t>Loans</t>
  </si>
  <si>
    <t>Loans, Current</t>
  </si>
  <si>
    <t>Other financial assets</t>
  </si>
  <si>
    <t>Other Non-Current Financial Assets</t>
  </si>
  <si>
    <t>Non - current tax assets ( net )</t>
  </si>
  <si>
    <t>Income Tax assets (net)</t>
  </si>
  <si>
    <t>Other non - current assets</t>
  </si>
  <si>
    <t>Other Non-Current Assets</t>
  </si>
  <si>
    <t>Total  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</si>
  <si>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</si>
  <si>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</si>
  <si>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</si>
  <si>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</si>
  <si>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</si>
  <si>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</si>
  <si>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</si>
  <si>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cash and cash equivalents</t>
  </si>
  <si>
    <t>Bank balance other than cash and cash equivalents</t>
  </si>
  <si>
    <t>Current tax assets ( net )</t>
  </si>
  <si>
    <t>Current Tax Assets (Net)</t>
  </si>
  <si>
    <t>Other current assets</t>
  </si>
  <si>
    <t>Other Current Assets</t>
  </si>
  <si>
    <t>Total   Current assets</t>
  </si>
  <si>
    <t>Total Current Assets</t>
  </si>
  <si>
    <t>Non - current assets classified as held for sale</t>
  </si>
  <si>
    <t>Assets classified as held for sale</t>
  </si>
  <si>
    <t>TOTAL -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</si>
  <si>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</si>
  <si>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</si>
  <si>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</si>
  <si>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</si>
  <si>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</si>
  <si>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</si>
  <si>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</si>
  <si>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</si>
  <si>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</si>
  <si>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</si>
  <si>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</si>
  <si>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</si>
  <si>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</si>
  <si>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Provisions</t>
  </si>
  <si>
    <t>Long-Term Provisions</t>
  </si>
  <si>
    <t>Deferred tax liabilities ( net )</t>
  </si>
  <si>
    <t>Deferred Tax Liability (Net)</t>
  </si>
  <si>
    <t>Total - Non - current liabilities</t>
  </si>
  <si>
    <t>Total Non-Current Liabilities</t>
  </si>
  <si>
    <t>Current liabilities</t>
  </si>
  <si>
    <t>Trade payables</t>
  </si>
  <si>
    <t>Trade Payables</t>
  </si>
  <si>
    <t>Total outstanding dues of micro and small enterprises</t>
  </si>
  <si>
    <t>Total outstanding dues of creditors other than micro and small enterprises</t>
  </si>
  <si>
    <t>Other financial liabilities</t>
  </si>
  <si>
    <t>Other Non Current Financial Liabilities</t>
  </si>
  <si>
    <t>Other current liabilities</t>
  </si>
  <si>
    <t>Other liabilities</t>
  </si>
  <si>
    <t>Current tax liabilities ( net)</t>
  </si>
  <si>
    <t>Current Tax Liabilities (Net)</t>
  </si>
  <si>
    <t>Total - Current liabilities</t>
  </si>
  <si>
    <t>Total Current Liabilities</t>
  </si>
  <si>
    <t>Total Liabilities</t>
  </si>
  <si>
    <t>TOTAL· EQUITY AND LIABILITIES</t>
  </si>
  <si>
    <t>Adjustments to reconcile profit before tax to net cash flows</t>
  </si>
  <si>
    <t>Depreciation and amortisation expense ( net )</t>
  </si>
  <si>
    <t>Depreciation and Amortisation Expense</t>
  </si>
  <si>
    <t>Other Extra-Ordinary Income/Expense</t>
  </si>
  <si>
    <t>Loss on sale / write off of Property plant and equipments and other intangible assets</t>
  </si>
  <si>
    <t>Profit On Sale Of Fixed Assets</t>
  </si>
  <si>
    <t>Gain on sale of current financial assets measured at FVTPL</t>
  </si>
  <si>
    <t>Others-Before Working Capital Changes</t>
  </si>
  <si>
    <t>Interest income</t>
  </si>
  <si>
    <t>Interest Received</t>
  </si>
  <si>
    <t>Interest Expense</t>
  </si>
  <si>
    <t>Expected credit ( reversal ) / losses on trade 8- other receivable ( net )</t>
  </si>
  <si>
    <t>Provision For Doubtful Debts</t>
  </si>
  <si>
    <t>Provision for slow and non moving store and spares ( net )</t>
  </si>
  <si>
    <t>Provisions no longer required written back</t>
  </si>
  <si>
    <t>Other Provisions Written Off</t>
  </si>
  <si>
    <t>Net gain on fair valuation of current financial assets measured at FVTPL</t>
  </si>
  <si>
    <t>Fair value movement in derivative instruments</t>
  </si>
  <si>
    <t>Profit On Sale Of Investments</t>
  </si>
  <si>
    <t>Unrealised exchange loss ( net )</t>
  </si>
  <si>
    <t>Foreign Exchange Gain / Loss</t>
  </si>
  <si>
    <t>Dividend income from subsidiary</t>
  </si>
  <si>
    <t>Dividend Received</t>
  </si>
  <si>
    <t>Dividend income from joint venture</t>
  </si>
  <si>
    <t>Other non - cash items</t>
  </si>
  <si>
    <t>Operating profit before working capital changes</t>
  </si>
  <si>
    <t>Operating Profit Before Working Capital Changes</t>
  </si>
  <si>
    <t>Changes in Working Capital</t>
  </si>
  <si>
    <t>Adjustments for Decrease / ( Increase ) in operating assets</t>
  </si>
  <si>
    <t>Trade receivable</t>
  </si>
  <si>
    <t>Trade And Other Receivables</t>
  </si>
  <si>
    <t>Adjustments for other financial assets, non-current</t>
  </si>
  <si>
    <t>Other assets</t>
  </si>
  <si>
    <t>Other Current and Non Current Assets</t>
  </si>
  <si>
    <t>Adjustments for Increase / ( Decrease ) in operating liabilities</t>
  </si>
  <si>
    <t>Trade Payables And Others</t>
  </si>
  <si>
    <t>Adjustments for other financial liabilities, non-current</t>
  </si>
  <si>
    <t>Other Current and Non Current Liabilities</t>
  </si>
  <si>
    <t>Net Working Capital Changes</t>
  </si>
  <si>
    <t>Cash generated from / ( used in ) operations</t>
  </si>
  <si>
    <t>Cash Generated From Operations</t>
  </si>
  <si>
    <t>Income taxes refund / ( paid ) ( net )</t>
  </si>
  <si>
    <t>Income Tax Refunds</t>
  </si>
  <si>
    <t>Net cash generated from / ( used in ) operating activities</t>
  </si>
  <si>
    <t>Net Cash Flow From Operating Activities</t>
  </si>
  <si>
    <t>Cash flow from investing activities</t>
  </si>
  <si>
    <t>Net Cash Flow From Investing Activities</t>
  </si>
  <si>
    <t>Payment made on purchase of Property plant and equipment("PPE " ) and other intangible assets ( Including capital work - in - progress other intangible assets under development capital advances and capital creditors )</t>
  </si>
  <si>
    <t>Purchase Of Fixed Assets (Tangible / Intangible)</t>
  </si>
  <si>
    <t>Proceeds from sale of property plant and equipment and other intangible assets</t>
  </si>
  <si>
    <t>Sale Of Fixed Assets (Tangible / Intangible)</t>
  </si>
  <si>
    <t>Proceeds from sale of PPE from subsidiary company</t>
  </si>
  <si>
    <t>Others-Investing Activities</t>
  </si>
  <si>
    <t>Proceeds on sale of units of mutual funds ( net )</t>
  </si>
  <si>
    <t>Sale Of Investments</t>
  </si>
  <si>
    <t>Inter corporate deposits given</t>
  </si>
  <si>
    <t>Inter Corporate Deposits</t>
  </si>
  <si>
    <t>Intercorporate deposits received back</t>
  </si>
  <si>
    <t>Others-Financing Activities</t>
  </si>
  <si>
    <t>Redemption of bank and margin money deposits ( having original maturity for more than 3 months )</t>
  </si>
  <si>
    <t>Fixed Deposits</t>
  </si>
  <si>
    <t>Proceeds / ( Investment ) in Government securities ( net )</t>
  </si>
  <si>
    <t>Payment made towards acquisition of Subsidiary Company</t>
  </si>
  <si>
    <t>Acquisition Of Companies</t>
  </si>
  <si>
    <t>Payment made towards acquisition of Business unit</t>
  </si>
  <si>
    <t>Proceeds from sale of equity shares of Subsidiary Company</t>
  </si>
  <si>
    <t>Investment In Subsidiaries</t>
  </si>
  <si>
    <t>Investment in preference shares of Subsidiary Company</t>
  </si>
  <si>
    <t>Investment in optionally convertible debenture of Subsidiary Company ( including step down Subsidiary Company )</t>
  </si>
  <si>
    <t>Dividend received from subsidiary companies</t>
  </si>
  <si>
    <t>Dividend received from joint venture</t>
  </si>
  <si>
    <t>Interest received</t>
  </si>
  <si>
    <t>Interest Income</t>
  </si>
  <si>
    <t>Net cash flows ( used in ) investing activities</t>
  </si>
  <si>
    <t>Cash flows from financing activities</t>
  </si>
  <si>
    <t>Repayment of non - current borrowings</t>
  </si>
  <si>
    <t>Repayment Of Long Term Borrowings</t>
  </si>
  <si>
    <t>Repayment of current borrowings</t>
  </si>
  <si>
    <t>Payment of principal portion of lease liabilities</t>
  </si>
  <si>
    <t>Payments of lease liabilities</t>
  </si>
  <si>
    <t>Finance Costs Paid</t>
  </si>
  <si>
    <t>Interest Paid</t>
  </si>
  <si>
    <t>Money received against share warrants</t>
  </si>
  <si>
    <t>Proeeds From Issue Of Share Warrants</t>
  </si>
  <si>
    <t>Dividend paid</t>
  </si>
  <si>
    <t>Dividend Paid</t>
  </si>
  <si>
    <t>Net cash (used in) / generated from financing activities</t>
  </si>
  <si>
    <t>Net Cash Flow From Financing Activities</t>
  </si>
  <si>
    <t>Net decrease in cash and cash equivalents</t>
  </si>
  <si>
    <t>Net Increase in Cash and Cash Equivalents</t>
  </si>
  <si>
    <t>cash and cash equivalents</t>
  </si>
  <si>
    <t>Ignore this field</t>
  </si>
  <si>
    <t>cash and cash equivalents at the end of the period</t>
  </si>
  <si>
    <t>Cash and Cash Equivalents at the End of the Year</t>
  </si>
  <si>
    <t>Adjustment for gain on fair valuation of liquid mutual funds measured at FVTPL (net)</t>
  </si>
  <si>
    <t>cash and cash equivalents related to entities acquired during the period</t>
  </si>
  <si>
    <t>Cash and Cash Equivalents at the Beginning of the Year</t>
  </si>
  <si>
    <t>Cash and cash equivalents at the beginning of the year</t>
  </si>
  <si>
    <t>Other Income</t>
  </si>
  <si>
    <t>Profit before share of profit of joint ventures and associate exceptional items and tax</t>
  </si>
  <si>
    <t>Profit/(Loss) from ordinary activities before finance costs and exceptional items</t>
  </si>
  <si>
    <t>Share of profit of joint ventures and associate</t>
  </si>
  <si>
    <t>Profit before exceptional Items and tax</t>
  </si>
  <si>
    <t>Exceptional Items- Expense / ( Income )</t>
  </si>
  <si>
    <t>Other Exceptional Items</t>
  </si>
  <si>
    <t>Deferred tax Charge</t>
  </si>
  <si>
    <t>Total Tax Expense</t>
  </si>
  <si>
    <t>Other comprehensive Income / ( loss )</t>
  </si>
  <si>
    <t>Items that will not be reclassified to profit or loss in subsequent periods</t>
  </si>
  <si>
    <t>Remeasurement Income / ( losses ) on defined benefit plans</t>
  </si>
  <si>
    <t>Share of remeasurement ( losses ) on defined benefit plans of joint ventures and associates ( net of tax )</t>
  </si>
  <si>
    <t>Share of Profit/(loss) of associates and Joint Ventures before ebt</t>
  </si>
  <si>
    <t>Items that will be reclassified to profit or loss in subsequent periods</t>
  </si>
  <si>
    <t>Items that will be reclassified to Profit or Loss</t>
  </si>
  <si>
    <t>Foreign Currency translation reserve</t>
  </si>
  <si>
    <t>Income tax relating to items that will be reclassified to profit or loss</t>
  </si>
  <si>
    <t>Income Tax related to items that will be reclassified to Profit or Loss</t>
  </si>
  <si>
    <t>Total other comprehensive Income / ( loss ) ( net of tax )</t>
  </si>
  <si>
    <t>Total comprehensive income for the period ( net of tax )</t>
  </si>
  <si>
    <t>Profit for the period attributable to</t>
  </si>
  <si>
    <t>Owners of the Company</t>
  </si>
  <si>
    <t>Owners of the company</t>
  </si>
  <si>
    <t>Non - controlling interest</t>
  </si>
  <si>
    <t>Profit for the period</t>
  </si>
  <si>
    <t>Other comprehensive Income / ( Loss ) attributable to</t>
  </si>
  <si>
    <t>Other Comprehensive Income / ( Loss )</t>
  </si>
  <si>
    <t>Total comprehensive income attributable to</t>
  </si>
  <si>
    <t>Total Comprehensive Income</t>
  </si>
  <si>
    <t>Total Comprehensive Income Attributable To</t>
  </si>
  <si>
    <t>Ready Mix Concrete</t>
  </si>
  <si>
    <t>Total</t>
  </si>
  <si>
    <t>Less : Inter Segment Revenue</t>
  </si>
  <si>
    <t>Basic EPS</t>
  </si>
  <si>
    <t>Total Revenue from Operations Including Government Grants</t>
  </si>
  <si>
    <t>Segment Results</t>
  </si>
  <si>
    <t>Cement</t>
  </si>
  <si>
    <t>Less : i Finance costs</t>
  </si>
  <si>
    <t>Other Un - allocable Expenditure net of Un - allocable Expense/ ( Income )</t>
  </si>
  <si>
    <t>Add : Interest and Dividend Income</t>
  </si>
  <si>
    <t>Share of Profit/(Loss) of Associates/Joint Ventures</t>
  </si>
  <si>
    <t>Total Profit before Exceptional item share of profit of associates and joint venture and tax</t>
  </si>
  <si>
    <t>Less : Exceptional Items- Expense / ( Income ) ( Refer Note 15 )</t>
  </si>
  <si>
    <t>Profit/(Loss) from ordinary activities after finance costs but before exceptional items</t>
  </si>
  <si>
    <t>Add : Share of profit of associates and joint ventures</t>
  </si>
  <si>
    <t>Total Profit before tax</t>
  </si>
  <si>
    <t>Segment Assets</t>
  </si>
  <si>
    <t>Unallocated</t>
  </si>
  <si>
    <t>Segment Liabilities</t>
  </si>
  <si>
    <t>Investments in associates and joint ventures</t>
  </si>
  <si>
    <t>Deferred tax assets ( net )</t>
  </si>
  <si>
    <t>Deferred Tax Assets (Net)</t>
  </si>
  <si>
    <t>Total - Non - current assets</t>
  </si>
  <si>
    <t>Total - Current assets</t>
  </si>
  <si>
    <t>Total   Equity attributable to owners of the company</t>
  </si>
  <si>
    <t>Non - controlling Interest</t>
  </si>
  <si>
    <t>Minority Interest</t>
  </si>
  <si>
    <t>Other non - current liabilities</t>
  </si>
  <si>
    <t>Other Non-Current Liabilities</t>
  </si>
  <si>
    <t>-Total outstanding dues of micro and small enterprises</t>
  </si>
  <si>
    <t>Current tax liabilities ( net )</t>
  </si>
  <si>
    <t>Total  Current liabilities</t>
  </si>
  <si>
    <t>Net Profit Before Tax And Exceptional Item</t>
  </si>
  <si>
    <t>Loss / ( Profit ) on sale I write off of Property Plant and Equipment and Intangible assets ( net )</t>
  </si>
  <si>
    <t>Reversal ) / Provision for slow and non moving store and spares ( net )</t>
  </si>
  <si>
    <t>Expected Credit losses on trade receivable ( net )</t>
  </si>
  <si>
    <t>Unrealised exchange loss I ( Gain ) ( net )</t>
  </si>
  <si>
    <t>Fair value gains in derivative instruments</t>
  </si>
  <si>
    <t>Share of profit in associates and joint ventures</t>
  </si>
  <si>
    <t>Share Of Profit &amp; Loss from Partnership Firm or Association of Persons Etc</t>
  </si>
  <si>
    <t>Other non cash items</t>
  </si>
  <si>
    <t>Adjustments for Decrease I ( Increase ) in operating assets</t>
  </si>
  <si>
    <t>Adjustments for ( Decrease ) / Increase in operating liabilities</t>
  </si>
  <si>
    <t>Other financial Liabilites</t>
  </si>
  <si>
    <t>Income taxes paid ( net of refunds )</t>
  </si>
  <si>
    <t>Income Tax Paid</t>
  </si>
  <si>
    <t>Purchase of PropertyPlant &amp; Equipment and other intangible assets ( Including Capital work - in - progress Intangible Assets under DevelopmentCapital Advances and Capital Creditors )</t>
  </si>
  <si>
    <t>Inter corporate deposits received back</t>
  </si>
  <si>
    <t>Proceeds/ ( Investments ) in government securities ( net )</t>
  </si>
  <si>
    <t>Payment made towards acquisition of Subsidiary Companies</t>
  </si>
  <si>
    <t>Adjustment of purchase consideration towards acquisition of subsidiaries</t>
  </si>
  <si>
    <t>Used In Obtaining Control Of Subsidiaries Or Other Businesses</t>
  </si>
  <si>
    <t>Investment in optionally convertible debenture</t>
  </si>
  <si>
    <t>Provision For Gratuity,Leave Encashment And Pensions</t>
  </si>
  <si>
    <t>Proceeds from sale of investment in Subsidiary Company</t>
  </si>
  <si>
    <t>Redemption of / ( Investment in ) bank and margin money deposits ( having original maturity for more than 3 months )</t>
  </si>
  <si>
    <t>Dividend received from associates and joint venture</t>
  </si>
  <si>
    <t>Net cash ( used in ) investing activities</t>
  </si>
  <si>
    <t>Proceeds from non current borrowings</t>
  </si>
  <si>
    <t>Proceeds From Long Term Borrowings</t>
  </si>
  <si>
    <t>Dividend paid to non - controlling Interest</t>
  </si>
  <si>
    <t>Net cash ( used in ) / generated from financing activities</t>
  </si>
  <si>
    <t>Net increase in cash and cash equivalents</t>
  </si>
  <si>
    <t>Net increase (decrease) in cash and cash equivalents before effect of exchange rate changes</t>
  </si>
  <si>
    <t>Cash and cash equivalents at the end of the period</t>
  </si>
  <si>
    <t>Adjustment for gain on fair valuation of current financial assets measured at FVTPL</t>
  </si>
  <si>
    <t>Cash and cash equivalents related to entities acquired during the period</t>
  </si>
  <si>
    <t>Status</t>
  </si>
  <si>
    <t>Revised Field Mapping</t>
  </si>
  <si>
    <t>Field id</t>
  </si>
  <si>
    <t>Correct</t>
  </si>
  <si>
    <t>Incorrect</t>
  </si>
  <si>
    <t>Accuracy %</t>
  </si>
  <si>
    <t>In Segment All data Wrongly Captured</t>
  </si>
  <si>
    <t>Loans Non-Current</t>
  </si>
  <si>
    <t>Current Investments</t>
  </si>
  <si>
    <t>Other Current Financial Assets</t>
  </si>
  <si>
    <t>Other Current Financial Liabilities</t>
  </si>
  <si>
    <t>Short-Term Provisions</t>
  </si>
  <si>
    <t xml:space="preserve"> </t>
  </si>
  <si>
    <t>Goodwill On Consolidation</t>
  </si>
  <si>
    <t>Freight &amp; Handling Expenses</t>
  </si>
  <si>
    <t>Diluted EPS</t>
  </si>
  <si>
    <t>Gross Sales/Income from Operations</t>
  </si>
  <si>
    <t>Non-Controlling Interests</t>
  </si>
  <si>
    <t>Profit (Loss) Attributable To [Total]</t>
  </si>
  <si>
    <t>Comprehensive Income Attributable To [Total]</t>
  </si>
  <si>
    <t>Repayment Of Short Term Borrowings</t>
  </si>
  <si>
    <t>Label</t>
  </si>
  <si>
    <t>Total Equity And Liabilities</t>
  </si>
  <si>
    <t>Calculated Field</t>
  </si>
  <si>
    <t>Other Adjustments</t>
  </si>
  <si>
    <t>Purchase Of Investments</t>
  </si>
  <si>
    <t>Ignored this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</si>
</sst>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3" borderId="0" xfId="0" applyFill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/>
  </sheetViews>
  <sheetFormatPr defaultRowHeight="15" x14ac:dyDescent="0.25"/>
  <cols>
    <col min="1" max="1" width="55.140625" customWidth="1"/>
    <col min="2" max="2" width="55.7109375" customWidth="1"/>
    <col min="3" max="3" width="8.85546875" bestFit="1" customWidth="1"/>
    <col min="4" max="4" width="34" customWidth="1"/>
    <col min="5" max="5" width="9.28515625" customWidth="1"/>
    <col min="7" max="7" width="10.7109375" bestFit="1" customWidth="1"/>
    <col min="8" max="8" width="4.5703125" bestFit="1" customWidth="1"/>
  </cols>
  <sheetData>
    <row r="1" spans="1:8" x14ac:dyDescent="0.25">
      <c r="A1" s="1" t="s">
        <v>0</v>
      </c>
      <c r="B1" s="1" t="s">
        <v>1</v>
      </c>
      <c r="C1" s="2" t="s">
        <v>331</v>
      </c>
      <c r="D1" s="2" t="s">
        <v>332</v>
      </c>
      <c r="E1" s="3" t="s">
        <v>333</v>
      </c>
      <c r="G1" s="4" t="s">
        <v>334</v>
      </c>
      <c r="H1" s="5">
        <f>COUNTIF(C:C,G1)</f>
        <v>26</v>
      </c>
    </row>
    <row r="2" spans="1:8" x14ac:dyDescent="0.25">
      <c r="A2" s="10" t="s">
        <v>2</v>
      </c>
      <c r="B2" s="10" t="s">
        <v>3</v>
      </c>
      <c r="C2" s="10" t="s">
        <v>335</v>
      </c>
      <c r="D2" s="10" t="s">
        <v>347</v>
      </c>
      <c r="E2" s="12">
        <v>256</v>
      </c>
      <c r="G2" s="6" t="s">
        <v>335</v>
      </c>
      <c r="H2" s="7">
        <f>COUNTIF(C:C,G2)</f>
        <v>8</v>
      </c>
    </row>
    <row r="3" spans="1:8" ht="15.75" thickBot="1" x14ac:dyDescent="0.3">
      <c r="A3" s="10" t="s">
        <v>4</v>
      </c>
      <c r="B3" s="10" t="s">
        <v>5</v>
      </c>
      <c r="C3" s="10" t="s">
        <v>334</v>
      </c>
      <c r="D3" s="10"/>
      <c r="E3" s="10"/>
      <c r="G3" s="8" t="s">
        <v>336</v>
      </c>
      <c r="H3" s="9">
        <f>H1/SUM(H1:H2)</f>
        <v>0.76470588235294112</v>
      </c>
    </row>
    <row r="4" spans="1:8" x14ac:dyDescent="0.25">
      <c r="A4" s="10" t="s">
        <v>6</v>
      </c>
      <c r="B4" s="10" t="s">
        <v>6</v>
      </c>
      <c r="C4" s="10" t="s">
        <v>334</v>
      </c>
      <c r="D4" s="10"/>
      <c r="E4" s="10"/>
    </row>
    <row r="5" spans="1:8" x14ac:dyDescent="0.25">
      <c r="A5" s="10" t="s">
        <v>7</v>
      </c>
      <c r="B5" s="10" t="s">
        <v>8</v>
      </c>
      <c r="C5" s="10" t="s">
        <v>334</v>
      </c>
      <c r="D5" s="10"/>
      <c r="E5" s="10"/>
    </row>
    <row r="6" spans="1:8" x14ac:dyDescent="0.25">
      <c r="A6" s="10" t="s">
        <v>9</v>
      </c>
      <c r="B6" s="10" t="s">
        <v>10</v>
      </c>
      <c r="C6" s="10" t="s">
        <v>334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334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334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334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334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334</v>
      </c>
      <c r="D11" s="10"/>
      <c r="E11" s="10"/>
    </row>
    <row r="12" spans="1:8" x14ac:dyDescent="0.25">
      <c r="A12" s="10" t="s">
        <v>21</v>
      </c>
      <c r="B12" s="10" t="s">
        <v>22</v>
      </c>
      <c r="C12" s="10" t="s">
        <v>334</v>
      </c>
      <c r="D12" s="10"/>
      <c r="E12" s="10"/>
    </row>
    <row r="13" spans="1:8" x14ac:dyDescent="0.25">
      <c r="A13" s="10" t="s">
        <v>23</v>
      </c>
      <c r="B13" s="10" t="s">
        <v>24</v>
      </c>
      <c r="C13" s="10" t="s">
        <v>335</v>
      </c>
      <c r="D13" s="10" t="s">
        <v>345</v>
      </c>
      <c r="E13" s="12">
        <v>248</v>
      </c>
    </row>
    <row r="14" spans="1:8" x14ac:dyDescent="0.25">
      <c r="A14" s="10" t="s">
        <v>25</v>
      </c>
      <c r="B14" s="10" t="s">
        <v>24</v>
      </c>
      <c r="C14" s="10" t="s">
        <v>334</v>
      </c>
      <c r="D14" s="10"/>
      <c r="E14" s="10"/>
    </row>
    <row r="15" spans="1:8" x14ac:dyDescent="0.25">
      <c r="A15" s="10" t="s">
        <v>26</v>
      </c>
      <c r="B15" s="10" t="s">
        <v>26</v>
      </c>
      <c r="C15" s="10" t="s">
        <v>334</v>
      </c>
      <c r="D15" s="10"/>
      <c r="E15" s="10"/>
    </row>
    <row r="16" spans="1:8" x14ac:dyDescent="0.25">
      <c r="A16" s="10" t="s">
        <v>27</v>
      </c>
      <c r="B16" s="10" t="s">
        <v>28</v>
      </c>
      <c r="C16" s="10" t="s">
        <v>334</v>
      </c>
      <c r="D16" s="10"/>
      <c r="E16" s="10"/>
    </row>
    <row r="17" spans="1:5" x14ac:dyDescent="0.25">
      <c r="A17" s="10" t="s">
        <v>29</v>
      </c>
      <c r="B17" s="10" t="s">
        <v>30</v>
      </c>
      <c r="C17" s="10" t="s">
        <v>335</v>
      </c>
      <c r="D17" s="10" t="s">
        <v>239</v>
      </c>
      <c r="E17" s="12">
        <v>278</v>
      </c>
    </row>
    <row r="18" spans="1:5" x14ac:dyDescent="0.25">
      <c r="A18" s="10" t="s">
        <v>31</v>
      </c>
      <c r="B18" s="10" t="s">
        <v>32</v>
      </c>
      <c r="C18" s="10" t="s">
        <v>334</v>
      </c>
      <c r="D18" s="10"/>
      <c r="E18" s="10"/>
    </row>
    <row r="19" spans="1:5" x14ac:dyDescent="0.25">
      <c r="A19" s="10" t="s">
        <v>33</v>
      </c>
      <c r="B19" s="10" t="s">
        <v>34</v>
      </c>
      <c r="C19" s="10" t="s">
        <v>335</v>
      </c>
      <c r="D19" s="10" t="s">
        <v>352</v>
      </c>
      <c r="E19" s="10"/>
    </row>
    <row r="20" spans="1:5" x14ac:dyDescent="0.25">
      <c r="A20" s="10" t="s">
        <v>35</v>
      </c>
      <c r="B20" s="10" t="s">
        <v>8</v>
      </c>
      <c r="C20" s="10" t="s">
        <v>335</v>
      </c>
      <c r="D20" s="10" t="s">
        <v>34</v>
      </c>
      <c r="E20" s="12">
        <v>318</v>
      </c>
    </row>
    <row r="21" spans="1:5" x14ac:dyDescent="0.25">
      <c r="A21" s="10" t="s">
        <v>36</v>
      </c>
      <c r="B21" s="10" t="s">
        <v>34</v>
      </c>
      <c r="C21" s="10" t="s">
        <v>334</v>
      </c>
      <c r="D21" s="10"/>
      <c r="E21" s="10"/>
    </row>
    <row r="22" spans="1:5" x14ac:dyDescent="0.25">
      <c r="A22" s="10" t="s">
        <v>37</v>
      </c>
      <c r="B22" s="10" t="s">
        <v>38</v>
      </c>
      <c r="C22" s="10" t="s">
        <v>334</v>
      </c>
      <c r="D22" s="10"/>
      <c r="E22" s="10"/>
    </row>
    <row r="23" spans="1:5" x14ac:dyDescent="0.25">
      <c r="A23" s="10" t="s">
        <v>39</v>
      </c>
      <c r="B23" s="10" t="s">
        <v>40</v>
      </c>
      <c r="C23" s="10" t="s">
        <v>334</v>
      </c>
      <c r="D23" s="10"/>
      <c r="E23" s="10"/>
    </row>
    <row r="24" spans="1:5" x14ac:dyDescent="0.25">
      <c r="A24" s="10" t="s">
        <v>41</v>
      </c>
      <c r="B24" s="10" t="s">
        <v>42</v>
      </c>
      <c r="C24" s="10" t="s">
        <v>334</v>
      </c>
      <c r="D24" s="10"/>
      <c r="E24" s="10"/>
    </row>
    <row r="25" spans="1:5" x14ac:dyDescent="0.25">
      <c r="A25" s="10" t="s">
        <v>43</v>
      </c>
      <c r="B25" s="10" t="s">
        <v>44</v>
      </c>
      <c r="C25" s="10" t="s">
        <v>335</v>
      </c>
      <c r="D25" s="10" t="s">
        <v>352</v>
      </c>
      <c r="E25" s="10"/>
    </row>
    <row r="26" spans="1:5" x14ac:dyDescent="0.25">
      <c r="A26" s="10" t="s">
        <v>45</v>
      </c>
      <c r="B26" s="10" t="s">
        <v>8</v>
      </c>
      <c r="C26" s="10" t="s">
        <v>334</v>
      </c>
      <c r="D26" s="10"/>
      <c r="E26" s="10"/>
    </row>
    <row r="27" spans="1:5" x14ac:dyDescent="0.25">
      <c r="A27" s="10" t="s">
        <v>46</v>
      </c>
      <c r="B27" s="10" t="s">
        <v>47</v>
      </c>
      <c r="C27" s="10" t="s">
        <v>334</v>
      </c>
      <c r="D27" s="10"/>
      <c r="E27" s="10"/>
    </row>
    <row r="28" spans="1:5" x14ac:dyDescent="0.25">
      <c r="A28" s="10" t="s">
        <v>48</v>
      </c>
      <c r="B28" s="10" t="s">
        <v>49</v>
      </c>
      <c r="C28" s="10" t="s">
        <v>334</v>
      </c>
      <c r="D28" s="10"/>
      <c r="E28" s="10"/>
    </row>
    <row r="29" spans="1:5" x14ac:dyDescent="0.25">
      <c r="A29" s="10" t="s">
        <v>50</v>
      </c>
      <c r="B29" s="10" t="s">
        <v>44</v>
      </c>
      <c r="C29" s="10" t="s">
        <v>334</v>
      </c>
      <c r="D29" s="10"/>
      <c r="E29" s="10"/>
    </row>
    <row r="30" spans="1:5" x14ac:dyDescent="0.25">
      <c r="A30" s="10" t="s">
        <v>51</v>
      </c>
      <c r="B30" s="10" t="s">
        <v>52</v>
      </c>
      <c r="C30" s="10" t="s">
        <v>334</v>
      </c>
      <c r="D30" s="10"/>
      <c r="E30" s="10"/>
    </row>
    <row r="31" spans="1:5" x14ac:dyDescent="0.25">
      <c r="A31" s="10" t="s">
        <v>53</v>
      </c>
      <c r="B31" s="10" t="s">
        <v>54</v>
      </c>
      <c r="C31" s="10" t="s">
        <v>334</v>
      </c>
      <c r="D31" s="10"/>
      <c r="E31" s="10"/>
    </row>
    <row r="32" spans="1:5" x14ac:dyDescent="0.25">
      <c r="A32" s="10" t="s">
        <v>55</v>
      </c>
      <c r="B32" s="10" t="s">
        <v>3</v>
      </c>
      <c r="C32" s="10" t="s">
        <v>334</v>
      </c>
      <c r="D32" s="10"/>
      <c r="E32" s="10"/>
    </row>
    <row r="33" spans="1:5" x14ac:dyDescent="0.25">
      <c r="A33" s="10" t="s">
        <v>56</v>
      </c>
      <c r="B33" s="10" t="s">
        <v>8</v>
      </c>
      <c r="C33" s="10" t="s">
        <v>334</v>
      </c>
      <c r="D33" s="10"/>
      <c r="E33" s="10"/>
    </row>
    <row r="34" spans="1:5" x14ac:dyDescent="0.25">
      <c r="A34" s="10" t="s">
        <v>57</v>
      </c>
      <c r="B34" s="10" t="s">
        <v>8</v>
      </c>
      <c r="C34" s="10" t="s">
        <v>335</v>
      </c>
      <c r="D34" s="10" t="s">
        <v>267</v>
      </c>
      <c r="E34" s="12">
        <v>222</v>
      </c>
    </row>
    <row r="35" spans="1:5" x14ac:dyDescent="0.25">
      <c r="A35" s="10" t="s">
        <v>58</v>
      </c>
      <c r="B35" s="10" t="s">
        <v>8</v>
      </c>
      <c r="C35" s="10" t="s">
        <v>335</v>
      </c>
      <c r="D35" s="10" t="s">
        <v>346</v>
      </c>
      <c r="E35" s="1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3"/>
  <sheetViews>
    <sheetView workbookViewId="0"/>
  </sheetViews>
  <sheetFormatPr defaultRowHeight="15" x14ac:dyDescent="0.25"/>
  <cols>
    <col min="1" max="1" width="62.140625" customWidth="1"/>
    <col min="2" max="2" width="49.5703125" customWidth="1"/>
    <col min="3" max="3" width="12.42578125" customWidth="1"/>
    <col min="4" max="4" width="46.85546875" customWidth="1"/>
    <col min="5" max="5" width="12" customWidth="1"/>
  </cols>
  <sheetData>
    <row r="1" spans="1:8" x14ac:dyDescent="0.25">
      <c r="A1" s="1" t="s">
        <v>0</v>
      </c>
      <c r="B1" s="1" t="s">
        <v>1</v>
      </c>
      <c r="C1" s="2" t="s">
        <v>331</v>
      </c>
      <c r="D1" s="2" t="s">
        <v>332</v>
      </c>
      <c r="E1" s="3" t="s">
        <v>333</v>
      </c>
      <c r="G1" s="4" t="s">
        <v>334</v>
      </c>
      <c r="H1" s="5">
        <f>COUNTIF(C:C,G1)</f>
        <v>35</v>
      </c>
    </row>
    <row r="2" spans="1:8" x14ac:dyDescent="0.25">
      <c r="A2" s="10" t="s">
        <v>2</v>
      </c>
      <c r="B2" s="10" t="s">
        <v>3</v>
      </c>
      <c r="C2" s="10" t="s">
        <v>335</v>
      </c>
      <c r="D2" s="10" t="s">
        <v>347</v>
      </c>
      <c r="E2" s="12">
        <v>256</v>
      </c>
      <c r="G2" s="6" t="s">
        <v>335</v>
      </c>
      <c r="H2" s="7">
        <f>COUNTIF(C:C,G2)</f>
        <v>17</v>
      </c>
    </row>
    <row r="3" spans="1:8" ht="15.75" thickBot="1" x14ac:dyDescent="0.3">
      <c r="A3" s="10" t="s">
        <v>233</v>
      </c>
      <c r="B3" s="10" t="s">
        <v>5</v>
      </c>
      <c r="C3" s="10" t="s">
        <v>334</v>
      </c>
      <c r="D3" s="10"/>
      <c r="E3" s="10"/>
      <c r="G3" s="8" t="s">
        <v>336</v>
      </c>
      <c r="H3" s="9">
        <f>H1/SUM(H1:H2)</f>
        <v>0.67307692307692313</v>
      </c>
    </row>
    <row r="4" spans="1:8" x14ac:dyDescent="0.25">
      <c r="A4" s="10" t="s">
        <v>6</v>
      </c>
      <c r="B4" s="10" t="s">
        <v>6</v>
      </c>
      <c r="C4" s="10" t="s">
        <v>334</v>
      </c>
      <c r="D4" s="10"/>
      <c r="E4" s="10"/>
    </row>
    <row r="5" spans="1:8" x14ac:dyDescent="0.25">
      <c r="A5" s="10" t="s">
        <v>7</v>
      </c>
      <c r="B5" s="10" t="s">
        <v>8</v>
      </c>
      <c r="C5" s="10" t="s">
        <v>334</v>
      </c>
      <c r="D5" s="10" t="s">
        <v>343</v>
      </c>
      <c r="E5" s="10"/>
    </row>
    <row r="6" spans="1:8" x14ac:dyDescent="0.25">
      <c r="A6" s="10" t="s">
        <v>9</v>
      </c>
      <c r="B6" s="10" t="s">
        <v>10</v>
      </c>
      <c r="C6" s="10" t="s">
        <v>334</v>
      </c>
      <c r="D6" s="10" t="s">
        <v>343</v>
      </c>
      <c r="E6" s="10"/>
    </row>
    <row r="7" spans="1:8" x14ac:dyDescent="0.25">
      <c r="A7" s="10" t="s">
        <v>11</v>
      </c>
      <c r="B7" s="10" t="s">
        <v>12</v>
      </c>
      <c r="C7" s="10" t="s">
        <v>334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334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334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334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334</v>
      </c>
      <c r="D11" s="10"/>
      <c r="E11" s="10"/>
    </row>
    <row r="12" spans="1:8" x14ac:dyDescent="0.25">
      <c r="A12" s="10" t="s">
        <v>21</v>
      </c>
      <c r="B12" s="10" t="s">
        <v>22</v>
      </c>
      <c r="C12" s="10" t="s">
        <v>334</v>
      </c>
      <c r="D12" s="10"/>
      <c r="E12" s="10"/>
    </row>
    <row r="13" spans="1:8" x14ac:dyDescent="0.25">
      <c r="A13" s="10" t="s">
        <v>23</v>
      </c>
      <c r="B13" s="10" t="s">
        <v>24</v>
      </c>
      <c r="C13" s="10" t="s">
        <v>335</v>
      </c>
      <c r="D13" s="10" t="s">
        <v>345</v>
      </c>
      <c r="E13" s="12">
        <v>248</v>
      </c>
    </row>
    <row r="14" spans="1:8" x14ac:dyDescent="0.25">
      <c r="A14" s="10" t="s">
        <v>25</v>
      </c>
      <c r="B14" s="10" t="s">
        <v>24</v>
      </c>
      <c r="C14" s="10" t="s">
        <v>334</v>
      </c>
      <c r="D14" s="10"/>
      <c r="E14" s="10"/>
    </row>
    <row r="15" spans="1:8" x14ac:dyDescent="0.25">
      <c r="A15" s="10" t="s">
        <v>26</v>
      </c>
      <c r="B15" s="10" t="s">
        <v>26</v>
      </c>
      <c r="C15" s="10" t="s">
        <v>334</v>
      </c>
      <c r="D15" s="10"/>
      <c r="E15" s="10"/>
    </row>
    <row r="16" spans="1:8" x14ac:dyDescent="0.25">
      <c r="A16" s="10" t="s">
        <v>234</v>
      </c>
      <c r="B16" s="10" t="s">
        <v>235</v>
      </c>
      <c r="C16" s="10" t="s">
        <v>335</v>
      </c>
      <c r="D16" s="10" t="s">
        <v>357</v>
      </c>
      <c r="E16" s="10"/>
    </row>
    <row r="17" spans="1:5" x14ac:dyDescent="0.25">
      <c r="A17" s="10" t="s">
        <v>236</v>
      </c>
      <c r="B17" s="10" t="s">
        <v>47</v>
      </c>
      <c r="C17" s="10" t="s">
        <v>335</v>
      </c>
      <c r="D17" s="10" t="s">
        <v>246</v>
      </c>
      <c r="E17" s="10">
        <v>25236</v>
      </c>
    </row>
    <row r="18" spans="1:5" x14ac:dyDescent="0.25">
      <c r="A18" s="10" t="s">
        <v>237</v>
      </c>
      <c r="B18" s="10" t="s">
        <v>28</v>
      </c>
      <c r="C18" s="10" t="s">
        <v>334</v>
      </c>
      <c r="D18" s="10"/>
      <c r="E18" s="10"/>
    </row>
    <row r="19" spans="1:5" x14ac:dyDescent="0.25">
      <c r="A19" s="10" t="s">
        <v>238</v>
      </c>
      <c r="B19" s="10" t="s">
        <v>239</v>
      </c>
      <c r="C19" s="10" t="s">
        <v>334</v>
      </c>
      <c r="D19" s="10"/>
      <c r="E19" s="10"/>
    </row>
    <row r="20" spans="1:5" x14ac:dyDescent="0.25">
      <c r="A20" s="10" t="s">
        <v>31</v>
      </c>
      <c r="B20" s="10" t="s">
        <v>32</v>
      </c>
      <c r="C20" s="10" t="s">
        <v>334</v>
      </c>
      <c r="D20" s="10"/>
      <c r="E20" s="10"/>
    </row>
    <row r="21" spans="1:5" x14ac:dyDescent="0.25">
      <c r="A21" s="10" t="s">
        <v>33</v>
      </c>
      <c r="B21" s="10" t="s">
        <v>34</v>
      </c>
      <c r="C21" s="10" t="s">
        <v>335</v>
      </c>
      <c r="D21" s="10" t="s">
        <v>352</v>
      </c>
      <c r="E21" s="10"/>
    </row>
    <row r="22" spans="1:5" x14ac:dyDescent="0.25">
      <c r="A22" s="10" t="s">
        <v>35</v>
      </c>
      <c r="B22" s="10" t="s">
        <v>8</v>
      </c>
      <c r="C22" s="10" t="s">
        <v>335</v>
      </c>
      <c r="D22" s="10" t="s">
        <v>34</v>
      </c>
      <c r="E22" s="12">
        <v>318</v>
      </c>
    </row>
    <row r="23" spans="1:5" x14ac:dyDescent="0.25">
      <c r="A23" s="10" t="s">
        <v>36</v>
      </c>
      <c r="B23" s="10" t="s">
        <v>34</v>
      </c>
      <c r="C23" s="10" t="s">
        <v>334</v>
      </c>
      <c r="D23" s="10"/>
      <c r="E23" s="10"/>
    </row>
    <row r="24" spans="1:5" x14ac:dyDescent="0.25">
      <c r="A24" s="10" t="s">
        <v>240</v>
      </c>
      <c r="B24" s="10" t="s">
        <v>38</v>
      </c>
      <c r="C24" s="10" t="s">
        <v>334</v>
      </c>
      <c r="D24" s="10"/>
      <c r="E24" s="10"/>
    </row>
    <row r="25" spans="1:5" x14ac:dyDescent="0.25">
      <c r="A25" s="10" t="s">
        <v>241</v>
      </c>
      <c r="B25" s="10" t="s">
        <v>40</v>
      </c>
      <c r="C25" s="10" t="s">
        <v>334</v>
      </c>
      <c r="D25" s="10"/>
      <c r="E25" s="10"/>
    </row>
    <row r="26" spans="1:5" x14ac:dyDescent="0.25">
      <c r="A26" s="10" t="s">
        <v>41</v>
      </c>
      <c r="B26" s="10" t="s">
        <v>42</v>
      </c>
      <c r="C26" s="10" t="s">
        <v>334</v>
      </c>
      <c r="D26" s="10"/>
      <c r="E26" s="10"/>
    </row>
    <row r="27" spans="1:5" x14ac:dyDescent="0.25">
      <c r="A27" s="10" t="s">
        <v>242</v>
      </c>
      <c r="B27" s="10" t="s">
        <v>44</v>
      </c>
      <c r="C27" s="10" t="s">
        <v>335</v>
      </c>
      <c r="D27" s="10" t="s">
        <v>352</v>
      </c>
      <c r="E27" s="10"/>
    </row>
    <row r="28" spans="1:5" x14ac:dyDescent="0.25">
      <c r="A28" s="10" t="s">
        <v>243</v>
      </c>
      <c r="B28" s="10" t="s">
        <v>47</v>
      </c>
      <c r="C28" s="10" t="s">
        <v>335</v>
      </c>
      <c r="D28" s="10" t="s">
        <v>352</v>
      </c>
      <c r="E28" s="10"/>
    </row>
    <row r="29" spans="1:5" x14ac:dyDescent="0.25">
      <c r="A29" s="10" t="s">
        <v>244</v>
      </c>
      <c r="B29" s="10" t="s">
        <v>47</v>
      </c>
      <c r="C29" s="10" t="s">
        <v>334</v>
      </c>
      <c r="D29" s="10"/>
      <c r="E29" s="10"/>
    </row>
    <row r="30" spans="1:5" x14ac:dyDescent="0.25">
      <c r="A30" s="10" t="s">
        <v>245</v>
      </c>
      <c r="B30" s="10" t="s">
        <v>246</v>
      </c>
      <c r="C30" s="10" t="s">
        <v>335</v>
      </c>
      <c r="D30" s="10" t="s">
        <v>47</v>
      </c>
      <c r="E30" s="12">
        <v>22293</v>
      </c>
    </row>
    <row r="31" spans="1:5" x14ac:dyDescent="0.25">
      <c r="A31" s="10" t="s">
        <v>48</v>
      </c>
      <c r="B31" s="10" t="s">
        <v>49</v>
      </c>
      <c r="C31" s="10" t="s">
        <v>334</v>
      </c>
      <c r="D31" s="10"/>
      <c r="E31" s="10"/>
    </row>
    <row r="32" spans="1:5" x14ac:dyDescent="0.25">
      <c r="A32" s="10" t="s">
        <v>247</v>
      </c>
      <c r="B32" s="10" t="s">
        <v>248</v>
      </c>
      <c r="C32" s="10" t="s">
        <v>335</v>
      </c>
      <c r="D32" s="10" t="s">
        <v>352</v>
      </c>
      <c r="E32" s="10"/>
    </row>
    <row r="33" spans="1:5" x14ac:dyDescent="0.25">
      <c r="A33" s="10" t="s">
        <v>249</v>
      </c>
      <c r="B33" s="10" t="s">
        <v>248</v>
      </c>
      <c r="C33" s="10" t="s">
        <v>334</v>
      </c>
      <c r="D33" s="10"/>
      <c r="E33" s="10"/>
    </row>
    <row r="34" spans="1:5" x14ac:dyDescent="0.25">
      <c r="A34" s="10" t="s">
        <v>250</v>
      </c>
      <c r="B34" s="10" t="s">
        <v>251</v>
      </c>
      <c r="C34" s="10" t="s">
        <v>334</v>
      </c>
      <c r="D34" s="10"/>
      <c r="E34" s="10"/>
    </row>
    <row r="35" spans="1:5" x14ac:dyDescent="0.25">
      <c r="A35" s="10" t="s">
        <v>252</v>
      </c>
      <c r="B35" s="10" t="s">
        <v>44</v>
      </c>
      <c r="C35" s="10" t="s">
        <v>334</v>
      </c>
      <c r="D35" s="10"/>
      <c r="E35" s="10"/>
    </row>
    <row r="36" spans="1:5" x14ac:dyDescent="0.25">
      <c r="A36" s="10" t="s">
        <v>253</v>
      </c>
      <c r="B36" s="10" t="s">
        <v>52</v>
      </c>
      <c r="C36" s="10" t="s">
        <v>334</v>
      </c>
      <c r="D36" s="10"/>
      <c r="E36" s="10"/>
    </row>
    <row r="37" spans="1:5" x14ac:dyDescent="0.25">
      <c r="A37" s="10" t="s">
        <v>254</v>
      </c>
      <c r="B37" s="10" t="s">
        <v>8</v>
      </c>
      <c r="C37" s="10" t="s">
        <v>334</v>
      </c>
      <c r="D37" s="10"/>
      <c r="E37" s="10"/>
    </row>
    <row r="38" spans="1:5" x14ac:dyDescent="0.25">
      <c r="A38" s="10" t="s">
        <v>255</v>
      </c>
      <c r="B38" s="10" t="s">
        <v>256</v>
      </c>
      <c r="C38" s="10" t="s">
        <v>334</v>
      </c>
      <c r="D38" s="10"/>
      <c r="E38" s="10"/>
    </row>
    <row r="39" spans="1:5" x14ac:dyDescent="0.25">
      <c r="A39" s="10" t="s">
        <v>257</v>
      </c>
      <c r="B39" s="10" t="s">
        <v>8</v>
      </c>
      <c r="C39" s="10" t="s">
        <v>335</v>
      </c>
      <c r="D39" s="10" t="s">
        <v>348</v>
      </c>
      <c r="E39" s="12">
        <v>22298</v>
      </c>
    </row>
    <row r="40" spans="1:5" x14ac:dyDescent="0.25">
      <c r="A40" s="10" t="s">
        <v>258</v>
      </c>
      <c r="B40" s="10" t="s">
        <v>42</v>
      </c>
      <c r="C40" s="10" t="s">
        <v>335</v>
      </c>
      <c r="D40" s="10" t="s">
        <v>349</v>
      </c>
      <c r="E40" s="12">
        <v>22300</v>
      </c>
    </row>
    <row r="41" spans="1:5" x14ac:dyDescent="0.25">
      <c r="A41" s="10" t="s">
        <v>259</v>
      </c>
      <c r="B41" s="10" t="s">
        <v>8</v>
      </c>
      <c r="C41" s="10" t="s">
        <v>334</v>
      </c>
      <c r="D41" s="10"/>
      <c r="E41" s="10"/>
    </row>
    <row r="42" spans="1:5" x14ac:dyDescent="0.25">
      <c r="A42" s="10" t="s">
        <v>255</v>
      </c>
      <c r="B42" s="10" t="s">
        <v>256</v>
      </c>
      <c r="C42" s="10" t="s">
        <v>334</v>
      </c>
      <c r="D42" s="10"/>
      <c r="E42" s="10"/>
    </row>
    <row r="43" spans="1:5" x14ac:dyDescent="0.25">
      <c r="A43" s="10" t="s">
        <v>257</v>
      </c>
      <c r="B43" s="10" t="s">
        <v>8</v>
      </c>
      <c r="C43" s="10" t="s">
        <v>335</v>
      </c>
      <c r="D43" s="10" t="s">
        <v>348</v>
      </c>
      <c r="E43" s="12">
        <v>22290</v>
      </c>
    </row>
    <row r="44" spans="1:5" x14ac:dyDescent="0.25">
      <c r="A44" s="10" t="s">
        <v>260</v>
      </c>
      <c r="B44" s="10" t="s">
        <v>44</v>
      </c>
      <c r="C44" s="10" t="s">
        <v>335</v>
      </c>
      <c r="D44" s="10" t="s">
        <v>350</v>
      </c>
      <c r="E44" s="12">
        <v>22292</v>
      </c>
    </row>
    <row r="45" spans="1:5" x14ac:dyDescent="0.25">
      <c r="A45" s="10" t="s">
        <v>261</v>
      </c>
      <c r="B45" s="10" t="s">
        <v>8</v>
      </c>
      <c r="C45" s="10" t="s">
        <v>334</v>
      </c>
      <c r="D45" s="10"/>
      <c r="E45" s="10"/>
    </row>
    <row r="46" spans="1:5" x14ac:dyDescent="0.25">
      <c r="A46" s="10" t="s">
        <v>255</v>
      </c>
      <c r="B46" s="10" t="s">
        <v>256</v>
      </c>
      <c r="C46" s="10" t="s">
        <v>334</v>
      </c>
      <c r="D46" s="10"/>
      <c r="E46" s="10"/>
    </row>
    <row r="47" spans="1:5" x14ac:dyDescent="0.25">
      <c r="A47" s="10" t="s">
        <v>257</v>
      </c>
      <c r="B47" s="10" t="s">
        <v>8</v>
      </c>
      <c r="C47" s="10" t="s">
        <v>335</v>
      </c>
      <c r="D47" s="10" t="s">
        <v>348</v>
      </c>
      <c r="E47" s="12">
        <v>22302</v>
      </c>
    </row>
    <row r="48" spans="1:5" x14ac:dyDescent="0.25">
      <c r="A48" s="10" t="s">
        <v>262</v>
      </c>
      <c r="B48" s="10" t="s">
        <v>263</v>
      </c>
      <c r="C48" s="10" t="s">
        <v>334</v>
      </c>
      <c r="D48" s="10"/>
      <c r="E48" s="12"/>
    </row>
    <row r="49" spans="1:5" x14ac:dyDescent="0.25">
      <c r="A49" s="10" t="s">
        <v>53</v>
      </c>
      <c r="B49" s="10" t="s">
        <v>54</v>
      </c>
      <c r="C49" s="10" t="s">
        <v>334</v>
      </c>
      <c r="D49" s="10"/>
      <c r="E49" s="10"/>
    </row>
    <row r="50" spans="1:5" x14ac:dyDescent="0.25">
      <c r="A50" s="10" t="s">
        <v>55</v>
      </c>
      <c r="B50" s="10" t="s">
        <v>3</v>
      </c>
      <c r="C50" s="10" t="s">
        <v>334</v>
      </c>
      <c r="D50" s="10"/>
      <c r="E50" s="10"/>
    </row>
    <row r="51" spans="1:5" x14ac:dyDescent="0.25">
      <c r="A51" s="10" t="s">
        <v>56</v>
      </c>
      <c r="B51" s="10" t="s">
        <v>8</v>
      </c>
      <c r="C51" s="10" t="s">
        <v>334</v>
      </c>
      <c r="D51" s="10"/>
      <c r="E51" s="10"/>
    </row>
    <row r="52" spans="1:5" x14ac:dyDescent="0.25">
      <c r="A52" s="10" t="s">
        <v>57</v>
      </c>
      <c r="B52" s="10" t="s">
        <v>8</v>
      </c>
      <c r="C52" s="10" t="s">
        <v>335</v>
      </c>
      <c r="D52" s="10" t="s">
        <v>267</v>
      </c>
      <c r="E52" s="12">
        <v>222</v>
      </c>
    </row>
    <row r="53" spans="1:5" x14ac:dyDescent="0.25">
      <c r="A53" s="10" t="s">
        <v>58</v>
      </c>
      <c r="B53" s="10" t="s">
        <v>8</v>
      </c>
      <c r="C53" s="10" t="s">
        <v>335</v>
      </c>
      <c r="D53" s="10" t="s">
        <v>346</v>
      </c>
      <c r="E53" s="1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"/>
  <sheetViews>
    <sheetView workbookViewId="0"/>
  </sheetViews>
  <sheetFormatPr defaultRowHeight="15" x14ac:dyDescent="0.25"/>
  <cols>
    <col min="1" max="1" width="59.7109375" customWidth="1"/>
    <col min="2" max="2" width="55.42578125" customWidth="1"/>
    <col min="3" max="3" width="12.7109375" customWidth="1"/>
    <col min="4" max="4" width="31.2851562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331</v>
      </c>
      <c r="D1" s="2" t="s">
        <v>332</v>
      </c>
      <c r="E1" s="3" t="s">
        <v>333</v>
      </c>
      <c r="G1" s="4" t="s">
        <v>334</v>
      </c>
      <c r="H1" s="5">
        <f>COUNTIF(C:C,G1)</f>
        <v>48</v>
      </c>
    </row>
    <row r="2" spans="1:8" x14ac:dyDescent="0.25">
      <c r="A2" s="10" t="s">
        <v>59</v>
      </c>
      <c r="B2" s="10" t="s">
        <v>60</v>
      </c>
      <c r="C2" s="10" t="s">
        <v>334</v>
      </c>
      <c r="D2" s="10"/>
      <c r="E2" s="10"/>
      <c r="G2" s="6" t="s">
        <v>335</v>
      </c>
      <c r="H2" s="7">
        <f>COUNTIF(C:C,G2)</f>
        <v>7</v>
      </c>
    </row>
    <row r="3" spans="1:8" ht="15.75" thickBot="1" x14ac:dyDescent="0.3">
      <c r="A3" s="10" t="s">
        <v>61</v>
      </c>
      <c r="B3" s="10" t="s">
        <v>62</v>
      </c>
      <c r="C3" s="10" t="s">
        <v>334</v>
      </c>
      <c r="D3" s="10"/>
      <c r="E3" s="10"/>
      <c r="G3" s="8" t="s">
        <v>336</v>
      </c>
      <c r="H3" s="9">
        <f>H1/SUM(H1:H2)</f>
        <v>0.87272727272727268</v>
      </c>
    </row>
    <row r="4" spans="1:8" x14ac:dyDescent="0.25">
      <c r="A4" s="10" t="s">
        <v>63</v>
      </c>
      <c r="B4" s="10" t="s">
        <v>64</v>
      </c>
      <c r="C4" s="10" t="s">
        <v>334</v>
      </c>
      <c r="D4" s="10"/>
      <c r="E4" s="10"/>
    </row>
    <row r="5" spans="1:8" x14ac:dyDescent="0.25">
      <c r="A5" s="10" t="s">
        <v>65</v>
      </c>
      <c r="B5" s="10" t="s">
        <v>65</v>
      </c>
      <c r="C5" s="10" t="s">
        <v>334</v>
      </c>
      <c r="D5" s="10"/>
      <c r="E5" s="10"/>
    </row>
    <row r="6" spans="1:8" x14ac:dyDescent="0.25">
      <c r="A6" s="10" t="s">
        <v>66</v>
      </c>
      <c r="B6" s="10" t="s">
        <v>67</v>
      </c>
      <c r="C6" s="10" t="s">
        <v>334</v>
      </c>
      <c r="D6" s="10"/>
      <c r="E6" s="10"/>
    </row>
    <row r="7" spans="1:8" x14ac:dyDescent="0.25">
      <c r="A7" s="10" t="s">
        <v>68</v>
      </c>
      <c r="B7" s="10" t="s">
        <v>69</v>
      </c>
      <c r="C7" s="10" t="s">
        <v>334</v>
      </c>
      <c r="D7" s="10"/>
      <c r="E7" s="10"/>
    </row>
    <row r="8" spans="1:8" x14ac:dyDescent="0.25">
      <c r="A8" s="10" t="s">
        <v>70</v>
      </c>
      <c r="B8" s="10" t="s">
        <v>8</v>
      </c>
      <c r="C8" s="10" t="s">
        <v>334</v>
      </c>
      <c r="D8" s="10"/>
      <c r="E8" s="10"/>
    </row>
    <row r="9" spans="1:8" x14ac:dyDescent="0.25">
      <c r="A9" s="10" t="s">
        <v>71</v>
      </c>
      <c r="B9" s="10" t="s">
        <v>72</v>
      </c>
      <c r="C9" s="10" t="s">
        <v>334</v>
      </c>
      <c r="D9" s="10"/>
      <c r="E9" s="10"/>
    </row>
    <row r="10" spans="1:8" x14ac:dyDescent="0.25">
      <c r="A10" s="10" t="s">
        <v>73</v>
      </c>
      <c r="B10" s="10" t="s">
        <v>72</v>
      </c>
      <c r="C10" s="10" t="s">
        <v>334</v>
      </c>
      <c r="D10" s="10"/>
      <c r="E10" s="10"/>
    </row>
    <row r="11" spans="1:8" x14ac:dyDescent="0.25">
      <c r="A11" s="10" t="s">
        <v>74</v>
      </c>
      <c r="B11" s="10" t="s">
        <v>75</v>
      </c>
      <c r="C11" s="10" t="s">
        <v>335</v>
      </c>
      <c r="D11" s="10" t="s">
        <v>338</v>
      </c>
      <c r="E11" s="12">
        <v>20217</v>
      </c>
    </row>
    <row r="12" spans="1:8" x14ac:dyDescent="0.25">
      <c r="A12" s="10" t="s">
        <v>76</v>
      </c>
      <c r="B12" s="10" t="s">
        <v>77</v>
      </c>
      <c r="C12" s="10" t="s">
        <v>334</v>
      </c>
      <c r="D12" s="10"/>
      <c r="E12" s="10"/>
    </row>
    <row r="13" spans="1:8" x14ac:dyDescent="0.25">
      <c r="A13" s="10" t="s">
        <v>78</v>
      </c>
      <c r="B13" s="10" t="s">
        <v>79</v>
      </c>
      <c r="C13" s="10" t="s">
        <v>334</v>
      </c>
      <c r="D13" s="10"/>
      <c r="E13" s="10"/>
    </row>
    <row r="14" spans="1:8" x14ac:dyDescent="0.25">
      <c r="A14" s="10" t="s">
        <v>80</v>
      </c>
      <c r="B14" s="10" t="s">
        <v>81</v>
      </c>
      <c r="C14" s="10" t="s">
        <v>334</v>
      </c>
      <c r="D14" s="10"/>
      <c r="E14" s="10"/>
    </row>
    <row r="15" spans="1:8" x14ac:dyDescent="0.25">
      <c r="A15" s="10" t="s">
        <v>82</v>
      </c>
      <c r="B15" s="10" t="s">
        <v>83</v>
      </c>
      <c r="C15" s="10" t="s">
        <v>334</v>
      </c>
      <c r="D15" s="10"/>
      <c r="E15" s="10"/>
    </row>
    <row r="16" spans="1:8" x14ac:dyDescent="0.25">
      <c r="A16" s="10" t="s">
        <v>84</v>
      </c>
      <c r="B16" s="10" t="s">
        <v>8</v>
      </c>
      <c r="C16" s="10" t="s">
        <v>334</v>
      </c>
      <c r="D16" s="10"/>
      <c r="E16" s="10"/>
    </row>
    <row r="17" spans="1:5" x14ac:dyDescent="0.25">
      <c r="A17" s="10" t="s">
        <v>85</v>
      </c>
      <c r="B17" s="10" t="s">
        <v>85</v>
      </c>
      <c r="C17" s="10" t="s">
        <v>334</v>
      </c>
      <c r="D17" s="10"/>
      <c r="E17" s="10"/>
    </row>
    <row r="18" spans="1:5" x14ac:dyDescent="0.25">
      <c r="A18" s="10" t="s">
        <v>70</v>
      </c>
      <c r="B18" s="10" t="s">
        <v>8</v>
      </c>
      <c r="C18" s="10" t="s">
        <v>334</v>
      </c>
      <c r="D18" s="10"/>
      <c r="E18" s="10"/>
    </row>
    <row r="19" spans="1:5" x14ac:dyDescent="0.25">
      <c r="A19" s="10" t="s">
        <v>73</v>
      </c>
      <c r="B19" s="10" t="s">
        <v>72</v>
      </c>
      <c r="C19" s="10" t="s">
        <v>335</v>
      </c>
      <c r="D19" s="10" t="s">
        <v>339</v>
      </c>
      <c r="E19" s="12">
        <v>13724</v>
      </c>
    </row>
    <row r="20" spans="1:5" x14ac:dyDescent="0.25">
      <c r="A20" s="10" t="s">
        <v>86</v>
      </c>
      <c r="B20" s="10" t="s">
        <v>87</v>
      </c>
      <c r="C20" s="10" t="s">
        <v>334</v>
      </c>
      <c r="D20" s="10"/>
      <c r="E20" s="10"/>
    </row>
    <row r="21" spans="1:5" x14ac:dyDescent="0.25">
      <c r="A21" s="10" t="s">
        <v>88</v>
      </c>
      <c r="B21" s="10" t="s">
        <v>89</v>
      </c>
      <c r="C21" s="10" t="s">
        <v>334</v>
      </c>
      <c r="D21" s="10"/>
      <c r="E21" s="10"/>
    </row>
    <row r="22" spans="1:5" x14ac:dyDescent="0.25">
      <c r="A22" s="10" t="s">
        <v>90</v>
      </c>
      <c r="B22" s="10" t="s">
        <v>91</v>
      </c>
      <c r="C22" s="10" t="s">
        <v>334</v>
      </c>
      <c r="D22" s="10"/>
      <c r="E22" s="10"/>
    </row>
    <row r="23" spans="1:5" x14ac:dyDescent="0.25">
      <c r="A23" s="10" t="s">
        <v>74</v>
      </c>
      <c r="B23" s="10" t="s">
        <v>75</v>
      </c>
      <c r="C23" s="10" t="s">
        <v>334</v>
      </c>
      <c r="D23" s="10"/>
      <c r="E23" s="10"/>
    </row>
    <row r="24" spans="1:5" x14ac:dyDescent="0.25">
      <c r="A24" s="10" t="s">
        <v>76</v>
      </c>
      <c r="B24" s="10" t="s">
        <v>77</v>
      </c>
      <c r="C24" s="10" t="s">
        <v>335</v>
      </c>
      <c r="D24" s="10" t="s">
        <v>340</v>
      </c>
      <c r="E24" s="12">
        <v>20231</v>
      </c>
    </row>
    <row r="25" spans="1:5" x14ac:dyDescent="0.25">
      <c r="A25" s="10" t="s">
        <v>92</v>
      </c>
      <c r="B25" s="10" t="s">
        <v>93</v>
      </c>
      <c r="C25" s="10" t="s">
        <v>334</v>
      </c>
      <c r="D25" s="10"/>
      <c r="E25" s="10"/>
    </row>
    <row r="26" spans="1:5" x14ac:dyDescent="0.25">
      <c r="A26" s="10" t="s">
        <v>94</v>
      </c>
      <c r="B26" s="10" t="s">
        <v>95</v>
      </c>
      <c r="C26" s="10" t="s">
        <v>334</v>
      </c>
      <c r="D26" s="10"/>
      <c r="E26" s="10"/>
    </row>
    <row r="27" spans="1:5" x14ac:dyDescent="0.25">
      <c r="A27" s="10" t="s">
        <v>96</v>
      </c>
      <c r="B27" s="10" t="s">
        <v>97</v>
      </c>
      <c r="C27" s="10" t="s">
        <v>334</v>
      </c>
      <c r="D27" s="10"/>
      <c r="E27" s="10"/>
    </row>
    <row r="28" spans="1:5" x14ac:dyDescent="0.25">
      <c r="A28" s="10" t="s">
        <v>98</v>
      </c>
      <c r="B28" s="10" t="s">
        <v>99</v>
      </c>
      <c r="C28" s="10" t="s">
        <v>334</v>
      </c>
      <c r="D28" s="10"/>
      <c r="E28" s="10"/>
    </row>
    <row r="29" spans="1:5" x14ac:dyDescent="0.25">
      <c r="A29" s="10" t="s">
        <v>100</v>
      </c>
      <c r="B29" s="10" t="s">
        <v>101</v>
      </c>
      <c r="C29" s="10" t="s">
        <v>334</v>
      </c>
      <c r="D29" s="10"/>
      <c r="E29" s="10"/>
    </row>
    <row r="30" spans="1:5" x14ac:dyDescent="0.25">
      <c r="A30" s="10" t="s">
        <v>102</v>
      </c>
      <c r="B30" s="10" t="s">
        <v>8</v>
      </c>
      <c r="C30" s="10" t="s">
        <v>334</v>
      </c>
      <c r="D30" s="10"/>
      <c r="E30" s="10"/>
    </row>
    <row r="31" spans="1:5" x14ac:dyDescent="0.25">
      <c r="A31" s="10" t="s">
        <v>103</v>
      </c>
      <c r="B31" s="10" t="s">
        <v>8</v>
      </c>
      <c r="C31" s="10" t="s">
        <v>334</v>
      </c>
      <c r="D31" s="10"/>
      <c r="E31" s="10"/>
    </row>
    <row r="32" spans="1:5" x14ac:dyDescent="0.25">
      <c r="A32" s="10" t="s">
        <v>104</v>
      </c>
      <c r="B32" s="10" t="s">
        <v>105</v>
      </c>
      <c r="C32" s="10" t="s">
        <v>334</v>
      </c>
      <c r="D32" s="10"/>
      <c r="E32" s="10"/>
    </row>
    <row r="33" spans="1:5" x14ac:dyDescent="0.25">
      <c r="A33" s="10" t="s">
        <v>55</v>
      </c>
      <c r="B33" s="10" t="s">
        <v>106</v>
      </c>
      <c r="C33" s="10" t="s">
        <v>334</v>
      </c>
      <c r="D33" s="10"/>
      <c r="E33" s="10"/>
    </row>
    <row r="34" spans="1:5" x14ac:dyDescent="0.25">
      <c r="A34" s="10" t="s">
        <v>107</v>
      </c>
      <c r="B34" s="10" t="s">
        <v>108</v>
      </c>
      <c r="C34" s="10" t="s">
        <v>334</v>
      </c>
      <c r="D34" s="10"/>
      <c r="E34" s="10"/>
    </row>
    <row r="35" spans="1:5" x14ac:dyDescent="0.25">
      <c r="A35" s="10" t="s">
        <v>109</v>
      </c>
      <c r="B35" s="10" t="s">
        <v>8</v>
      </c>
      <c r="C35" s="10" t="s">
        <v>334</v>
      </c>
      <c r="D35" s="10"/>
      <c r="E35" s="10"/>
    </row>
    <row r="36" spans="1:5" x14ac:dyDescent="0.25">
      <c r="A36" s="10" t="s">
        <v>110</v>
      </c>
      <c r="B36" s="10" t="s">
        <v>8</v>
      </c>
      <c r="C36" s="10" t="s">
        <v>334</v>
      </c>
      <c r="D36" s="10"/>
      <c r="E36" s="10"/>
    </row>
    <row r="37" spans="1:5" x14ac:dyDescent="0.25">
      <c r="A37" s="10" t="s">
        <v>111</v>
      </c>
      <c r="B37" s="10" t="s">
        <v>8</v>
      </c>
      <c r="C37" s="10" t="s">
        <v>334</v>
      </c>
      <c r="D37" s="10"/>
      <c r="E37" s="10"/>
    </row>
    <row r="38" spans="1:5" x14ac:dyDescent="0.25">
      <c r="A38" s="10" t="s">
        <v>112</v>
      </c>
      <c r="B38" s="10" t="s">
        <v>112</v>
      </c>
      <c r="C38" s="10" t="s">
        <v>334</v>
      </c>
      <c r="D38" s="10"/>
      <c r="E38" s="10"/>
    </row>
    <row r="39" spans="1:5" x14ac:dyDescent="0.25">
      <c r="A39" s="10" t="s">
        <v>113</v>
      </c>
      <c r="B39" s="10" t="s">
        <v>113</v>
      </c>
      <c r="C39" s="10" t="s">
        <v>334</v>
      </c>
      <c r="D39" s="10"/>
      <c r="E39" s="10"/>
    </row>
    <row r="40" spans="1:5" x14ac:dyDescent="0.25">
      <c r="A40" s="10" t="s">
        <v>114</v>
      </c>
      <c r="B40" s="10" t="s">
        <v>115</v>
      </c>
      <c r="C40" s="10" t="s">
        <v>334</v>
      </c>
      <c r="D40" s="10"/>
      <c r="E40" s="10"/>
    </row>
    <row r="41" spans="1:5" x14ac:dyDescent="0.25">
      <c r="A41" s="10" t="s">
        <v>116</v>
      </c>
      <c r="B41" s="10" t="s">
        <v>117</v>
      </c>
      <c r="C41" s="10" t="s">
        <v>334</v>
      </c>
      <c r="D41" s="10"/>
      <c r="E41" s="10"/>
    </row>
    <row r="42" spans="1:5" x14ac:dyDescent="0.25">
      <c r="A42" s="10" t="s">
        <v>118</v>
      </c>
      <c r="B42" s="10" t="s">
        <v>119</v>
      </c>
      <c r="C42" s="10" t="s">
        <v>334</v>
      </c>
      <c r="D42" s="10"/>
      <c r="E42" s="10"/>
    </row>
    <row r="43" spans="1:5" x14ac:dyDescent="0.25">
      <c r="A43" s="10" t="s">
        <v>120</v>
      </c>
      <c r="B43" s="10" t="s">
        <v>8</v>
      </c>
      <c r="C43" s="10" t="s">
        <v>334</v>
      </c>
      <c r="D43" s="10"/>
      <c r="E43" s="10"/>
    </row>
    <row r="44" spans="1:5" x14ac:dyDescent="0.25">
      <c r="A44" s="10" t="s">
        <v>111</v>
      </c>
      <c r="B44" s="10" t="s">
        <v>8</v>
      </c>
      <c r="C44" s="10" t="s">
        <v>334</v>
      </c>
      <c r="D44" s="10"/>
      <c r="E44" s="10"/>
    </row>
    <row r="45" spans="1:5" x14ac:dyDescent="0.25">
      <c r="A45" s="10" t="s">
        <v>112</v>
      </c>
      <c r="B45" s="10" t="s">
        <v>112</v>
      </c>
      <c r="C45" s="10" t="s">
        <v>334</v>
      </c>
      <c r="D45" s="10"/>
      <c r="E45" s="10"/>
    </row>
    <row r="46" spans="1:5" x14ac:dyDescent="0.25">
      <c r="A46" s="10" t="s">
        <v>113</v>
      </c>
      <c r="B46" s="10" t="s">
        <v>113</v>
      </c>
      <c r="C46" s="10" t="s">
        <v>334</v>
      </c>
      <c r="D46" s="10"/>
      <c r="E46" s="10"/>
    </row>
    <row r="47" spans="1:5" x14ac:dyDescent="0.25">
      <c r="A47" s="10" t="s">
        <v>121</v>
      </c>
      <c r="B47" s="10" t="s">
        <v>122</v>
      </c>
      <c r="C47" s="10" t="s">
        <v>335</v>
      </c>
      <c r="D47" s="10" t="s">
        <v>352</v>
      </c>
      <c r="E47" s="10"/>
    </row>
    <row r="48" spans="1:5" x14ac:dyDescent="0.25">
      <c r="A48" s="10" t="s">
        <v>123</v>
      </c>
      <c r="B48" s="10" t="s">
        <v>122</v>
      </c>
      <c r="C48" s="10" t="s">
        <v>334</v>
      </c>
      <c r="D48" s="10"/>
      <c r="E48" s="10"/>
    </row>
    <row r="49" spans="1:5" x14ac:dyDescent="0.25">
      <c r="A49" s="10" t="s">
        <v>124</v>
      </c>
      <c r="B49" s="10" t="s">
        <v>122</v>
      </c>
      <c r="C49" s="10" t="s">
        <v>334</v>
      </c>
      <c r="D49" s="10"/>
      <c r="E49" s="10"/>
    </row>
    <row r="50" spans="1:5" x14ac:dyDescent="0.25">
      <c r="A50" s="10" t="s">
        <v>125</v>
      </c>
      <c r="B50" s="10" t="s">
        <v>126</v>
      </c>
      <c r="C50" s="10" t="s">
        <v>335</v>
      </c>
      <c r="D50" s="10" t="s">
        <v>341</v>
      </c>
      <c r="E50" s="12">
        <v>20214</v>
      </c>
    </row>
    <row r="51" spans="1:5" x14ac:dyDescent="0.25">
      <c r="A51" s="10" t="s">
        <v>127</v>
      </c>
      <c r="B51" s="10" t="s">
        <v>128</v>
      </c>
      <c r="C51" s="10" t="s">
        <v>334</v>
      </c>
      <c r="D51" s="10"/>
      <c r="E51" s="10"/>
    </row>
    <row r="52" spans="1:5" x14ac:dyDescent="0.25">
      <c r="A52" s="10" t="s">
        <v>114</v>
      </c>
      <c r="B52" s="10" t="s">
        <v>115</v>
      </c>
      <c r="C52" s="10" t="s">
        <v>335</v>
      </c>
      <c r="D52" s="10" t="s">
        <v>342</v>
      </c>
      <c r="E52" s="12">
        <v>13767</v>
      </c>
    </row>
    <row r="53" spans="1:5" x14ac:dyDescent="0.25">
      <c r="A53" s="10" t="s">
        <v>129</v>
      </c>
      <c r="B53" s="10" t="s">
        <v>130</v>
      </c>
      <c r="C53" s="10" t="s">
        <v>334</v>
      </c>
      <c r="D53" s="10"/>
      <c r="E53" s="10"/>
    </row>
    <row r="54" spans="1:5" x14ac:dyDescent="0.25">
      <c r="A54" s="10" t="s">
        <v>131</v>
      </c>
      <c r="B54" s="10" t="s">
        <v>132</v>
      </c>
      <c r="C54" s="10" t="s">
        <v>334</v>
      </c>
      <c r="D54" s="10"/>
      <c r="E54" s="10"/>
    </row>
    <row r="55" spans="1:5" x14ac:dyDescent="0.25">
      <c r="A55" s="10" t="s">
        <v>133</v>
      </c>
      <c r="B55" s="10" t="s">
        <v>40</v>
      </c>
      <c r="C55" s="10" t="s">
        <v>334</v>
      </c>
      <c r="D55" s="10"/>
      <c r="E55" s="10"/>
    </row>
    <row r="56" spans="1:5" x14ac:dyDescent="0.25">
      <c r="A56" s="10" t="s">
        <v>134</v>
      </c>
      <c r="B56" s="10" t="s">
        <v>83</v>
      </c>
      <c r="C56" s="10" t="s">
        <v>335</v>
      </c>
      <c r="D56" s="10" t="s">
        <v>353</v>
      </c>
      <c r="E56" s="10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0"/>
  <sheetViews>
    <sheetView workbookViewId="0"/>
  </sheetViews>
  <sheetFormatPr defaultRowHeight="15" x14ac:dyDescent="0.25"/>
  <cols>
    <col min="1" max="1" width="55.7109375" customWidth="1"/>
    <col min="2" max="2" width="56" customWidth="1"/>
    <col min="3" max="3" width="12.5703125" customWidth="1"/>
    <col min="4" max="4" width="45.28515625" customWidth="1"/>
    <col min="5" max="5" width="10.85546875" customWidth="1"/>
  </cols>
  <sheetData>
    <row r="1" spans="1:8" x14ac:dyDescent="0.25">
      <c r="A1" s="1" t="s">
        <v>0</v>
      </c>
      <c r="B1" s="1" t="s">
        <v>1</v>
      </c>
      <c r="C1" s="2" t="s">
        <v>331</v>
      </c>
      <c r="D1" s="2" t="s">
        <v>332</v>
      </c>
      <c r="E1" s="3" t="s">
        <v>333</v>
      </c>
      <c r="G1" s="4" t="s">
        <v>334</v>
      </c>
      <c r="H1" s="5">
        <f>COUNTIF(C:C,G1)</f>
        <v>50</v>
      </c>
    </row>
    <row r="2" spans="1:8" x14ac:dyDescent="0.25">
      <c r="A2" s="10" t="s">
        <v>59</v>
      </c>
      <c r="B2" s="10" t="s">
        <v>60</v>
      </c>
      <c r="C2" s="10" t="s">
        <v>334</v>
      </c>
      <c r="D2" s="10"/>
      <c r="E2" s="10"/>
      <c r="G2" s="6" t="s">
        <v>335</v>
      </c>
      <c r="H2" s="7">
        <f>COUNTIF(C:C,G2)</f>
        <v>9</v>
      </c>
    </row>
    <row r="3" spans="1:8" ht="15.75" thickBot="1" x14ac:dyDescent="0.3">
      <c r="A3" s="10" t="s">
        <v>61</v>
      </c>
      <c r="B3" s="10" t="s">
        <v>62</v>
      </c>
      <c r="C3" s="10" t="s">
        <v>334</v>
      </c>
      <c r="D3" s="10"/>
      <c r="E3" s="10"/>
      <c r="G3" s="8" t="s">
        <v>336</v>
      </c>
      <c r="H3" s="9">
        <f>H1/SUM(H1:H2)</f>
        <v>0.84745762711864403</v>
      </c>
    </row>
    <row r="4" spans="1:8" x14ac:dyDescent="0.25">
      <c r="A4" s="10" t="s">
        <v>63</v>
      </c>
      <c r="B4" s="10" t="s">
        <v>64</v>
      </c>
      <c r="C4" s="10" t="s">
        <v>334</v>
      </c>
      <c r="D4" s="10"/>
      <c r="E4" s="10"/>
    </row>
    <row r="5" spans="1:8" x14ac:dyDescent="0.25">
      <c r="A5" s="10" t="s">
        <v>65</v>
      </c>
      <c r="B5" s="10" t="s">
        <v>65</v>
      </c>
      <c r="C5" s="10" t="s">
        <v>335</v>
      </c>
      <c r="D5" s="10" t="s">
        <v>344</v>
      </c>
      <c r="E5" s="12">
        <v>13734</v>
      </c>
    </row>
    <row r="6" spans="1:8" x14ac:dyDescent="0.25">
      <c r="A6" s="10" t="s">
        <v>66</v>
      </c>
      <c r="B6" s="10" t="s">
        <v>67</v>
      </c>
      <c r="C6" s="10" t="s">
        <v>334</v>
      </c>
      <c r="D6" s="10" t="s">
        <v>343</v>
      </c>
      <c r="E6" s="10"/>
    </row>
    <row r="7" spans="1:8" x14ac:dyDescent="0.25">
      <c r="A7" s="10" t="s">
        <v>68</v>
      </c>
      <c r="B7" s="10" t="s">
        <v>69</v>
      </c>
      <c r="C7" s="10" t="s">
        <v>334</v>
      </c>
      <c r="D7" s="10"/>
      <c r="E7" s="10"/>
    </row>
    <row r="8" spans="1:8" x14ac:dyDescent="0.25">
      <c r="A8" s="10" t="s">
        <v>283</v>
      </c>
      <c r="B8" s="10" t="s">
        <v>72</v>
      </c>
      <c r="C8" s="10" t="s">
        <v>334</v>
      </c>
      <c r="D8" s="10"/>
      <c r="E8" s="10"/>
    </row>
    <row r="9" spans="1:8" x14ac:dyDescent="0.25">
      <c r="A9" s="10" t="s">
        <v>70</v>
      </c>
      <c r="B9" s="10" t="s">
        <v>8</v>
      </c>
      <c r="C9" s="10" t="s">
        <v>334</v>
      </c>
      <c r="D9" s="10" t="s">
        <v>343</v>
      </c>
      <c r="E9" s="10"/>
    </row>
    <row r="10" spans="1:8" x14ac:dyDescent="0.25">
      <c r="A10" s="10" t="s">
        <v>73</v>
      </c>
      <c r="B10" s="10" t="s">
        <v>72</v>
      </c>
      <c r="C10" s="10" t="s">
        <v>334</v>
      </c>
      <c r="D10" s="10"/>
      <c r="E10" s="10"/>
    </row>
    <row r="11" spans="1:8" x14ac:dyDescent="0.25">
      <c r="A11" s="10" t="s">
        <v>74</v>
      </c>
      <c r="B11" s="10" t="s">
        <v>75</v>
      </c>
      <c r="C11" s="10" t="s">
        <v>335</v>
      </c>
      <c r="D11" s="10" t="s">
        <v>338</v>
      </c>
      <c r="E11" s="12">
        <v>20217</v>
      </c>
    </row>
    <row r="12" spans="1:8" x14ac:dyDescent="0.25">
      <c r="A12" s="10" t="s">
        <v>76</v>
      </c>
      <c r="B12" s="10" t="s">
        <v>77</v>
      </c>
      <c r="C12" s="10" t="s">
        <v>334</v>
      </c>
      <c r="D12" s="10"/>
      <c r="E12" s="10"/>
    </row>
    <row r="13" spans="1:8" x14ac:dyDescent="0.25">
      <c r="A13" s="10" t="s">
        <v>78</v>
      </c>
      <c r="B13" s="10" t="s">
        <v>79</v>
      </c>
      <c r="C13" s="10" t="s">
        <v>334</v>
      </c>
      <c r="D13" s="10"/>
      <c r="E13" s="10"/>
    </row>
    <row r="14" spans="1:8" x14ac:dyDescent="0.25">
      <c r="A14" s="10" t="s">
        <v>284</v>
      </c>
      <c r="B14" s="10" t="s">
        <v>285</v>
      </c>
      <c r="C14" s="10" t="s">
        <v>334</v>
      </c>
      <c r="D14" s="10"/>
      <c r="E14" s="10"/>
    </row>
    <row r="15" spans="1:8" x14ac:dyDescent="0.25">
      <c r="A15" s="10" t="s">
        <v>80</v>
      </c>
      <c r="B15" s="10" t="s">
        <v>81</v>
      </c>
      <c r="C15" s="10" t="s">
        <v>334</v>
      </c>
      <c r="D15" s="10"/>
      <c r="E15" s="10"/>
    </row>
    <row r="16" spans="1:8" x14ac:dyDescent="0.25">
      <c r="A16" s="10" t="s">
        <v>286</v>
      </c>
      <c r="B16" s="10" t="s">
        <v>83</v>
      </c>
      <c r="C16" s="10" t="s">
        <v>334</v>
      </c>
      <c r="D16" s="10"/>
      <c r="E16" s="10"/>
    </row>
    <row r="17" spans="1:5" x14ac:dyDescent="0.25">
      <c r="A17" s="10" t="s">
        <v>84</v>
      </c>
      <c r="B17" s="10" t="s">
        <v>8</v>
      </c>
      <c r="C17" s="10" t="s">
        <v>334</v>
      </c>
      <c r="D17" s="10"/>
      <c r="E17" s="10"/>
    </row>
    <row r="18" spans="1:5" x14ac:dyDescent="0.25">
      <c r="A18" s="10" t="s">
        <v>85</v>
      </c>
      <c r="B18" s="10" t="s">
        <v>85</v>
      </c>
      <c r="C18" s="10" t="s">
        <v>334</v>
      </c>
      <c r="D18" s="10"/>
      <c r="E18" s="10"/>
    </row>
    <row r="19" spans="1:5" x14ac:dyDescent="0.25">
      <c r="A19" s="10" t="s">
        <v>70</v>
      </c>
      <c r="B19" s="10" t="s">
        <v>8</v>
      </c>
      <c r="C19" s="10" t="s">
        <v>334</v>
      </c>
      <c r="D19" s="10"/>
      <c r="E19" s="10"/>
    </row>
    <row r="20" spans="1:5" x14ac:dyDescent="0.25">
      <c r="A20" s="10" t="s">
        <v>73</v>
      </c>
      <c r="B20" s="10" t="s">
        <v>72</v>
      </c>
      <c r="C20" s="10" t="s">
        <v>335</v>
      </c>
      <c r="D20" s="10" t="s">
        <v>339</v>
      </c>
      <c r="E20" s="12">
        <v>13724</v>
      </c>
    </row>
    <row r="21" spans="1:5" x14ac:dyDescent="0.25">
      <c r="A21" s="10" t="s">
        <v>86</v>
      </c>
      <c r="B21" s="10" t="s">
        <v>87</v>
      </c>
      <c r="C21" s="10" t="s">
        <v>334</v>
      </c>
      <c r="D21" s="10"/>
      <c r="E21" s="10"/>
    </row>
    <row r="22" spans="1:5" x14ac:dyDescent="0.25">
      <c r="A22" s="10" t="s">
        <v>88</v>
      </c>
      <c r="B22" s="10" t="s">
        <v>89</v>
      </c>
      <c r="C22" s="10" t="s">
        <v>334</v>
      </c>
      <c r="D22" s="10"/>
      <c r="E22" s="10"/>
    </row>
    <row r="23" spans="1:5" x14ac:dyDescent="0.25">
      <c r="A23" s="10" t="s">
        <v>90</v>
      </c>
      <c r="B23" s="10" t="s">
        <v>91</v>
      </c>
      <c r="C23" s="10" t="s">
        <v>334</v>
      </c>
      <c r="D23" s="10"/>
      <c r="E23" s="10"/>
    </row>
    <row r="24" spans="1:5" x14ac:dyDescent="0.25">
      <c r="A24" s="10" t="s">
        <v>74</v>
      </c>
      <c r="B24" s="10" t="s">
        <v>75</v>
      </c>
      <c r="C24" s="10" t="s">
        <v>334</v>
      </c>
      <c r="D24" s="10"/>
      <c r="E24" s="10"/>
    </row>
    <row r="25" spans="1:5" x14ac:dyDescent="0.25">
      <c r="A25" s="10" t="s">
        <v>76</v>
      </c>
      <c r="B25" s="10" t="s">
        <v>77</v>
      </c>
      <c r="C25" s="10" t="s">
        <v>335</v>
      </c>
      <c r="D25" s="10" t="s">
        <v>340</v>
      </c>
      <c r="E25" s="12">
        <v>20231</v>
      </c>
    </row>
    <row r="26" spans="1:5" x14ac:dyDescent="0.25">
      <c r="A26" s="10" t="s">
        <v>92</v>
      </c>
      <c r="B26" s="10" t="s">
        <v>93</v>
      </c>
      <c r="C26" s="10" t="s">
        <v>334</v>
      </c>
      <c r="D26" s="10"/>
      <c r="E26" s="10"/>
    </row>
    <row r="27" spans="1:5" x14ac:dyDescent="0.25">
      <c r="A27" s="10" t="s">
        <v>94</v>
      </c>
      <c r="B27" s="10" t="s">
        <v>95</v>
      </c>
      <c r="C27" s="10" t="s">
        <v>334</v>
      </c>
      <c r="D27" s="10"/>
      <c r="E27" s="10"/>
    </row>
    <row r="28" spans="1:5" x14ac:dyDescent="0.25">
      <c r="A28" s="10" t="s">
        <v>287</v>
      </c>
      <c r="B28" s="10" t="s">
        <v>97</v>
      </c>
      <c r="C28" s="10" t="s">
        <v>334</v>
      </c>
      <c r="D28" s="10"/>
      <c r="E28" s="10"/>
    </row>
    <row r="29" spans="1:5" x14ac:dyDescent="0.25">
      <c r="A29" s="10" t="s">
        <v>98</v>
      </c>
      <c r="B29" s="10" t="s">
        <v>99</v>
      </c>
      <c r="C29" s="10" t="s">
        <v>334</v>
      </c>
      <c r="D29" s="10"/>
      <c r="E29" s="10"/>
    </row>
    <row r="30" spans="1:5" x14ac:dyDescent="0.25">
      <c r="A30" s="10" t="s">
        <v>100</v>
      </c>
      <c r="B30" s="10" t="s">
        <v>101</v>
      </c>
      <c r="C30" s="10" t="s">
        <v>334</v>
      </c>
      <c r="D30" s="10"/>
      <c r="E30" s="10"/>
    </row>
    <row r="31" spans="1:5" x14ac:dyDescent="0.25">
      <c r="A31" s="10" t="s">
        <v>102</v>
      </c>
      <c r="B31" s="10" t="s">
        <v>8</v>
      </c>
      <c r="C31" s="10" t="s">
        <v>334</v>
      </c>
      <c r="D31" s="10"/>
      <c r="E31" s="10"/>
    </row>
    <row r="32" spans="1:5" x14ac:dyDescent="0.25">
      <c r="A32" s="10" t="s">
        <v>103</v>
      </c>
      <c r="B32" s="10" t="s">
        <v>8</v>
      </c>
      <c r="C32" s="10" t="s">
        <v>334</v>
      </c>
      <c r="D32" s="10"/>
      <c r="E32" s="10"/>
    </row>
    <row r="33" spans="1:5" x14ac:dyDescent="0.25">
      <c r="A33" s="10" t="s">
        <v>104</v>
      </c>
      <c r="B33" s="10" t="s">
        <v>105</v>
      </c>
      <c r="C33" s="10" t="s">
        <v>334</v>
      </c>
      <c r="D33" s="10"/>
      <c r="E33" s="10"/>
    </row>
    <row r="34" spans="1:5" x14ac:dyDescent="0.25">
      <c r="A34" s="10" t="s">
        <v>55</v>
      </c>
      <c r="B34" s="10" t="s">
        <v>106</v>
      </c>
      <c r="C34" s="10" t="s">
        <v>334</v>
      </c>
      <c r="D34" s="10"/>
      <c r="E34" s="10"/>
    </row>
    <row r="35" spans="1:5" x14ac:dyDescent="0.25">
      <c r="A35" s="10" t="s">
        <v>288</v>
      </c>
      <c r="B35" s="10" t="s">
        <v>108</v>
      </c>
      <c r="C35" s="10" t="s">
        <v>334</v>
      </c>
      <c r="D35" s="10"/>
      <c r="E35" s="10"/>
    </row>
    <row r="36" spans="1:5" x14ac:dyDescent="0.25">
      <c r="A36" s="10" t="s">
        <v>289</v>
      </c>
      <c r="B36" s="10" t="s">
        <v>290</v>
      </c>
      <c r="C36" s="10" t="s">
        <v>334</v>
      </c>
      <c r="D36" s="10"/>
      <c r="E36" s="10"/>
    </row>
    <row r="37" spans="1:5" x14ac:dyDescent="0.25">
      <c r="A37" s="10" t="s">
        <v>107</v>
      </c>
      <c r="B37" s="10" t="s">
        <v>108</v>
      </c>
      <c r="C37" s="10" t="s">
        <v>335</v>
      </c>
      <c r="D37" s="10" t="s">
        <v>354</v>
      </c>
      <c r="E37" s="10"/>
    </row>
    <row r="38" spans="1:5" x14ac:dyDescent="0.25">
      <c r="A38" s="10" t="s">
        <v>109</v>
      </c>
      <c r="B38" s="10" t="s">
        <v>8</v>
      </c>
      <c r="C38" s="10" t="s">
        <v>334</v>
      </c>
      <c r="D38" s="10"/>
      <c r="E38" s="10"/>
    </row>
    <row r="39" spans="1:5" x14ac:dyDescent="0.25">
      <c r="A39" s="10" t="s">
        <v>110</v>
      </c>
      <c r="B39" s="10" t="s">
        <v>8</v>
      </c>
      <c r="C39" s="10" t="s">
        <v>334</v>
      </c>
      <c r="D39" s="10"/>
      <c r="E39" s="10"/>
    </row>
    <row r="40" spans="1:5" x14ac:dyDescent="0.25">
      <c r="A40" s="10" t="s">
        <v>111</v>
      </c>
      <c r="B40" s="10" t="s">
        <v>8</v>
      </c>
      <c r="C40" s="10" t="s">
        <v>334</v>
      </c>
      <c r="D40" s="10"/>
      <c r="E40" s="10"/>
    </row>
    <row r="41" spans="1:5" x14ac:dyDescent="0.25">
      <c r="A41" s="10" t="s">
        <v>112</v>
      </c>
      <c r="B41" s="10" t="s">
        <v>112</v>
      </c>
      <c r="C41" s="10" t="s">
        <v>334</v>
      </c>
      <c r="D41" s="10"/>
      <c r="E41" s="10"/>
    </row>
    <row r="42" spans="1:5" x14ac:dyDescent="0.25">
      <c r="A42" s="10" t="s">
        <v>113</v>
      </c>
      <c r="B42" s="10" t="s">
        <v>113</v>
      </c>
      <c r="C42" s="10" t="s">
        <v>334</v>
      </c>
      <c r="D42" s="10"/>
      <c r="E42" s="10"/>
    </row>
    <row r="43" spans="1:5" x14ac:dyDescent="0.25">
      <c r="A43" s="10" t="s">
        <v>114</v>
      </c>
      <c r="B43" s="10" t="s">
        <v>115</v>
      </c>
      <c r="C43" s="10" t="s">
        <v>334</v>
      </c>
      <c r="D43" s="10"/>
      <c r="E43" s="10"/>
    </row>
    <row r="44" spans="1:5" x14ac:dyDescent="0.25">
      <c r="A44" s="10" t="s">
        <v>116</v>
      </c>
      <c r="B44" s="10" t="s">
        <v>117</v>
      </c>
      <c r="C44" s="10" t="s">
        <v>334</v>
      </c>
      <c r="D44" s="10"/>
      <c r="E44" s="10"/>
    </row>
    <row r="45" spans="1:5" x14ac:dyDescent="0.25">
      <c r="A45" s="10" t="s">
        <v>291</v>
      </c>
      <c r="B45" s="10" t="s">
        <v>292</v>
      </c>
      <c r="C45" s="10" t="s">
        <v>334</v>
      </c>
      <c r="D45" s="10"/>
      <c r="E45" s="10"/>
    </row>
    <row r="46" spans="1:5" x14ac:dyDescent="0.25">
      <c r="A46" s="10" t="s">
        <v>118</v>
      </c>
      <c r="B46" s="10" t="s">
        <v>119</v>
      </c>
      <c r="C46" s="10" t="s">
        <v>334</v>
      </c>
      <c r="D46" s="10"/>
      <c r="E46" s="10"/>
    </row>
    <row r="47" spans="1:5" x14ac:dyDescent="0.25">
      <c r="A47" s="10" t="s">
        <v>120</v>
      </c>
      <c r="B47" s="10" t="s">
        <v>8</v>
      </c>
      <c r="C47" s="10" t="s">
        <v>334</v>
      </c>
      <c r="D47" s="10"/>
      <c r="E47" s="10"/>
    </row>
    <row r="48" spans="1:5" x14ac:dyDescent="0.25">
      <c r="A48" s="10" t="s">
        <v>111</v>
      </c>
      <c r="B48" s="10" t="s">
        <v>8</v>
      </c>
      <c r="C48" s="10" t="s">
        <v>334</v>
      </c>
      <c r="D48" s="10"/>
      <c r="E48" s="10"/>
    </row>
    <row r="49" spans="1:5" x14ac:dyDescent="0.25">
      <c r="A49" s="10" t="s">
        <v>112</v>
      </c>
      <c r="B49" s="10" t="s">
        <v>112</v>
      </c>
      <c r="C49" s="10" t="s">
        <v>334</v>
      </c>
      <c r="D49" s="10"/>
      <c r="E49" s="10"/>
    </row>
    <row r="50" spans="1:5" x14ac:dyDescent="0.25">
      <c r="A50" s="10" t="s">
        <v>113</v>
      </c>
      <c r="B50" s="10" t="s">
        <v>113</v>
      </c>
      <c r="C50" s="10" t="s">
        <v>334</v>
      </c>
      <c r="D50" s="10"/>
      <c r="E50" s="10"/>
    </row>
    <row r="51" spans="1:5" x14ac:dyDescent="0.25">
      <c r="A51" s="10" t="s">
        <v>121</v>
      </c>
      <c r="B51" s="10" t="s">
        <v>122</v>
      </c>
      <c r="C51" s="10" t="s">
        <v>335</v>
      </c>
      <c r="D51" s="10" t="s">
        <v>352</v>
      </c>
      <c r="E51" s="10"/>
    </row>
    <row r="52" spans="1:5" x14ac:dyDescent="0.25">
      <c r="A52" s="10" t="s">
        <v>293</v>
      </c>
      <c r="B52" s="10" t="s">
        <v>122</v>
      </c>
      <c r="C52" s="10" t="s">
        <v>334</v>
      </c>
      <c r="D52" s="10"/>
      <c r="E52" s="10"/>
    </row>
    <row r="53" spans="1:5" x14ac:dyDescent="0.25">
      <c r="A53" s="10" t="s">
        <v>124</v>
      </c>
      <c r="B53" s="10" t="s">
        <v>122</v>
      </c>
      <c r="C53" s="10" t="s">
        <v>334</v>
      </c>
      <c r="D53" s="10"/>
      <c r="E53" s="10"/>
    </row>
    <row r="54" spans="1:5" x14ac:dyDescent="0.25">
      <c r="A54" s="10" t="s">
        <v>125</v>
      </c>
      <c r="B54" s="10" t="s">
        <v>126</v>
      </c>
      <c r="C54" s="10" t="s">
        <v>335</v>
      </c>
      <c r="D54" s="10" t="s">
        <v>341</v>
      </c>
      <c r="E54" s="12">
        <v>20214</v>
      </c>
    </row>
    <row r="55" spans="1:5" x14ac:dyDescent="0.25">
      <c r="A55" s="10" t="s">
        <v>127</v>
      </c>
      <c r="B55" s="10" t="s">
        <v>128</v>
      </c>
      <c r="C55" s="10" t="s">
        <v>334</v>
      </c>
      <c r="D55" s="10"/>
      <c r="E55" s="10"/>
    </row>
    <row r="56" spans="1:5" x14ac:dyDescent="0.25">
      <c r="A56" s="10" t="s">
        <v>114</v>
      </c>
      <c r="B56" s="10" t="s">
        <v>115</v>
      </c>
      <c r="C56" s="10" t="s">
        <v>335</v>
      </c>
      <c r="D56" s="10" t="s">
        <v>342</v>
      </c>
      <c r="E56" s="12">
        <v>13767</v>
      </c>
    </row>
    <row r="57" spans="1:5" x14ac:dyDescent="0.25">
      <c r="A57" s="10" t="s">
        <v>294</v>
      </c>
      <c r="B57" s="10" t="s">
        <v>130</v>
      </c>
      <c r="C57" s="10" t="s">
        <v>334</v>
      </c>
      <c r="D57" s="10"/>
      <c r="E57" s="10"/>
    </row>
    <row r="58" spans="1:5" x14ac:dyDescent="0.25">
      <c r="A58" s="10" t="s">
        <v>295</v>
      </c>
      <c r="B58" s="10" t="s">
        <v>132</v>
      </c>
      <c r="C58" s="10" t="s">
        <v>334</v>
      </c>
      <c r="D58" s="10"/>
      <c r="E58" s="10"/>
    </row>
    <row r="59" spans="1:5" x14ac:dyDescent="0.25">
      <c r="A59" s="10" t="s">
        <v>133</v>
      </c>
      <c r="B59" s="10" t="s">
        <v>40</v>
      </c>
      <c r="C59" s="10" t="s">
        <v>334</v>
      </c>
      <c r="D59" s="10"/>
      <c r="E59" s="10"/>
    </row>
    <row r="60" spans="1:5" x14ac:dyDescent="0.25">
      <c r="A60" s="10" t="s">
        <v>134</v>
      </c>
      <c r="B60" s="10" t="s">
        <v>83</v>
      </c>
      <c r="C60" s="10" t="s">
        <v>335</v>
      </c>
      <c r="D60" s="10" t="s">
        <v>353</v>
      </c>
      <c r="E60" s="10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6"/>
  <sheetViews>
    <sheetView workbookViewId="0"/>
  </sheetViews>
  <sheetFormatPr defaultRowHeight="15" x14ac:dyDescent="0.25"/>
  <cols>
    <col min="1" max="1" width="77.7109375" bestFit="1" customWidth="1"/>
    <col min="2" max="2" width="50.42578125" bestFit="1" customWidth="1"/>
    <col min="3" max="3" width="8.85546875" bestFit="1" customWidth="1"/>
    <col min="4" max="4" width="46.7109375" customWidth="1"/>
    <col min="5" max="5" width="10.42578125" customWidth="1"/>
  </cols>
  <sheetData>
    <row r="1" spans="1:8" x14ac:dyDescent="0.25">
      <c r="A1" s="1" t="s">
        <v>0</v>
      </c>
      <c r="B1" s="1" t="s">
        <v>1</v>
      </c>
      <c r="C1" s="2" t="s">
        <v>331</v>
      </c>
      <c r="D1" s="2" t="s">
        <v>332</v>
      </c>
      <c r="E1" s="3" t="s">
        <v>333</v>
      </c>
      <c r="G1" s="4" t="s">
        <v>334</v>
      </c>
      <c r="H1" s="5">
        <f>COUNTIF(C:C,G1)</f>
        <v>50</v>
      </c>
    </row>
    <row r="2" spans="1:8" x14ac:dyDescent="0.25">
      <c r="A2" s="10" t="s">
        <v>135</v>
      </c>
      <c r="B2" s="10" t="s">
        <v>8</v>
      </c>
      <c r="C2" s="10" t="s">
        <v>334</v>
      </c>
      <c r="D2" s="10"/>
      <c r="E2" s="10"/>
      <c r="G2" s="6" t="s">
        <v>335</v>
      </c>
      <c r="H2" s="7">
        <f>COUNTIF(C:C,G2)</f>
        <v>15</v>
      </c>
    </row>
    <row r="3" spans="1:8" ht="15.75" thickBot="1" x14ac:dyDescent="0.3">
      <c r="A3" s="10" t="s">
        <v>136</v>
      </c>
      <c r="B3" s="10" t="s">
        <v>137</v>
      </c>
      <c r="C3" s="10" t="s">
        <v>334</v>
      </c>
      <c r="D3" s="10"/>
      <c r="E3" s="10"/>
      <c r="G3" s="8" t="s">
        <v>336</v>
      </c>
      <c r="H3" s="9">
        <f>H1/SUM(H1:H2)</f>
        <v>0.76923076923076927</v>
      </c>
    </row>
    <row r="4" spans="1:8" x14ac:dyDescent="0.25">
      <c r="A4" s="10" t="s">
        <v>29</v>
      </c>
      <c r="B4" s="10" t="s">
        <v>138</v>
      </c>
      <c r="C4" s="10" t="s">
        <v>335</v>
      </c>
      <c r="D4" s="10" t="s">
        <v>142</v>
      </c>
      <c r="E4" s="12">
        <v>17542</v>
      </c>
    </row>
    <row r="5" spans="1:8" x14ac:dyDescent="0.25">
      <c r="A5" s="10" t="s">
        <v>139</v>
      </c>
      <c r="B5" s="10" t="s">
        <v>140</v>
      </c>
      <c r="C5" s="10" t="s">
        <v>334</v>
      </c>
      <c r="D5" s="10"/>
      <c r="E5" s="12"/>
    </row>
    <row r="6" spans="1:8" x14ac:dyDescent="0.25">
      <c r="A6" s="10" t="s">
        <v>141</v>
      </c>
      <c r="B6" s="10" t="s">
        <v>142</v>
      </c>
      <c r="C6" s="10" t="s">
        <v>334</v>
      </c>
      <c r="D6" s="10"/>
      <c r="E6" s="10"/>
    </row>
    <row r="7" spans="1:8" x14ac:dyDescent="0.25">
      <c r="A7" s="10" t="s">
        <v>143</v>
      </c>
      <c r="B7" s="10" t="s">
        <v>144</v>
      </c>
      <c r="C7" s="10" t="s">
        <v>335</v>
      </c>
      <c r="D7" s="10" t="s">
        <v>207</v>
      </c>
      <c r="E7" s="12">
        <v>30481</v>
      </c>
    </row>
    <row r="8" spans="1:8" x14ac:dyDescent="0.25">
      <c r="A8" s="10" t="s">
        <v>17</v>
      </c>
      <c r="B8" s="10" t="s">
        <v>145</v>
      </c>
      <c r="C8" s="10" t="s">
        <v>334</v>
      </c>
      <c r="D8" s="10"/>
      <c r="E8" s="10"/>
    </row>
    <row r="9" spans="1:8" x14ac:dyDescent="0.25">
      <c r="A9" s="10" t="s">
        <v>146</v>
      </c>
      <c r="B9" s="10" t="s">
        <v>147</v>
      </c>
      <c r="C9" s="10" t="s">
        <v>334</v>
      </c>
      <c r="D9" s="10"/>
      <c r="E9" s="10"/>
    </row>
    <row r="10" spans="1:8" x14ac:dyDescent="0.25">
      <c r="A10" s="10" t="s">
        <v>148</v>
      </c>
      <c r="B10" s="10" t="s">
        <v>147</v>
      </c>
      <c r="C10" s="10" t="s">
        <v>335</v>
      </c>
      <c r="D10" s="10" t="s">
        <v>150</v>
      </c>
      <c r="E10" s="12">
        <v>30520</v>
      </c>
    </row>
    <row r="11" spans="1:8" x14ac:dyDescent="0.25">
      <c r="A11" s="10" t="s">
        <v>149</v>
      </c>
      <c r="B11" s="10" t="s">
        <v>150</v>
      </c>
      <c r="C11" s="10" t="s">
        <v>334</v>
      </c>
      <c r="D11" s="10"/>
      <c r="E11" s="10"/>
    </row>
    <row r="12" spans="1:8" x14ac:dyDescent="0.25">
      <c r="A12" s="10" t="s">
        <v>151</v>
      </c>
      <c r="B12" s="10" t="s">
        <v>142</v>
      </c>
      <c r="C12" s="10" t="s">
        <v>334</v>
      </c>
      <c r="D12" s="10"/>
      <c r="E12" s="10"/>
    </row>
    <row r="13" spans="1:8" x14ac:dyDescent="0.25">
      <c r="A13" s="10" t="s">
        <v>152</v>
      </c>
      <c r="B13" s="10" t="s">
        <v>153</v>
      </c>
      <c r="C13" s="10" t="s">
        <v>335</v>
      </c>
      <c r="D13" s="10" t="s">
        <v>142</v>
      </c>
      <c r="E13" s="12">
        <v>17542</v>
      </c>
    </row>
    <row r="14" spans="1:8" x14ac:dyDescent="0.25">
      <c r="A14" s="10" t="s">
        <v>154</v>
      </c>
      <c r="B14" s="10" t="s">
        <v>155</v>
      </c>
      <c r="C14" s="10" t="s">
        <v>334</v>
      </c>
      <c r="D14" s="10"/>
      <c r="E14" s="10"/>
    </row>
    <row r="15" spans="1:8" x14ac:dyDescent="0.25">
      <c r="A15" s="10" t="s">
        <v>156</v>
      </c>
      <c r="B15" s="10" t="s">
        <v>157</v>
      </c>
      <c r="C15" s="10" t="s">
        <v>334</v>
      </c>
      <c r="D15" s="10"/>
      <c r="E15" s="10"/>
    </row>
    <row r="16" spans="1:8" x14ac:dyDescent="0.25">
      <c r="A16" s="10" t="s">
        <v>158</v>
      </c>
      <c r="B16" s="10" t="s">
        <v>157</v>
      </c>
      <c r="C16" s="10" t="s">
        <v>334</v>
      </c>
      <c r="D16" s="10"/>
      <c r="E16" s="10"/>
    </row>
    <row r="17" spans="1:5" x14ac:dyDescent="0.25">
      <c r="A17" s="10" t="s">
        <v>159</v>
      </c>
      <c r="B17" s="10" t="s">
        <v>142</v>
      </c>
      <c r="C17" s="10" t="s">
        <v>334</v>
      </c>
      <c r="D17" s="10"/>
      <c r="E17" s="10"/>
    </row>
    <row r="18" spans="1:5" x14ac:dyDescent="0.25">
      <c r="A18" s="10" t="s">
        <v>160</v>
      </c>
      <c r="B18" s="10" t="s">
        <v>161</v>
      </c>
      <c r="C18" s="10" t="s">
        <v>334</v>
      </c>
      <c r="D18" s="10"/>
      <c r="E18" s="10"/>
    </row>
    <row r="19" spans="1:5" x14ac:dyDescent="0.25">
      <c r="A19" s="10" t="s">
        <v>162</v>
      </c>
      <c r="B19" s="10" t="s">
        <v>8</v>
      </c>
      <c r="C19" s="10" t="s">
        <v>334</v>
      </c>
      <c r="D19" s="10"/>
      <c r="E19" s="10"/>
    </row>
    <row r="20" spans="1:5" x14ac:dyDescent="0.25">
      <c r="A20" s="10" t="s">
        <v>163</v>
      </c>
      <c r="B20" s="10" t="s">
        <v>8</v>
      </c>
      <c r="C20" s="10" t="s">
        <v>334</v>
      </c>
      <c r="D20" s="10"/>
      <c r="E20" s="10"/>
    </row>
    <row r="21" spans="1:5" x14ac:dyDescent="0.25">
      <c r="A21" s="10" t="s">
        <v>85</v>
      </c>
      <c r="B21" s="10" t="s">
        <v>85</v>
      </c>
      <c r="C21" s="10" t="s">
        <v>334</v>
      </c>
      <c r="D21" s="10"/>
      <c r="E21" s="10"/>
    </row>
    <row r="22" spans="1:5" x14ac:dyDescent="0.25">
      <c r="A22" s="10" t="s">
        <v>164</v>
      </c>
      <c r="B22" s="10" t="s">
        <v>165</v>
      </c>
      <c r="C22" s="10" t="s">
        <v>334</v>
      </c>
      <c r="D22" s="10"/>
      <c r="E22" s="10"/>
    </row>
    <row r="23" spans="1:5" x14ac:dyDescent="0.25">
      <c r="A23" s="10" t="s">
        <v>76</v>
      </c>
      <c r="B23" s="10" t="s">
        <v>166</v>
      </c>
      <c r="C23" s="10" t="s">
        <v>334</v>
      </c>
      <c r="D23" s="10"/>
      <c r="E23" s="10"/>
    </row>
    <row r="24" spans="1:5" x14ac:dyDescent="0.25">
      <c r="A24" s="10" t="s">
        <v>167</v>
      </c>
      <c r="B24" s="10" t="s">
        <v>168</v>
      </c>
      <c r="C24" s="10" t="s">
        <v>334</v>
      </c>
      <c r="D24" s="10"/>
      <c r="E24" s="10"/>
    </row>
    <row r="25" spans="1:5" x14ac:dyDescent="0.25">
      <c r="A25" s="10" t="s">
        <v>169</v>
      </c>
      <c r="B25" s="10" t="s">
        <v>8</v>
      </c>
      <c r="C25" s="10" t="s">
        <v>334</v>
      </c>
      <c r="D25" s="10"/>
      <c r="E25" s="10"/>
    </row>
    <row r="26" spans="1:5" x14ac:dyDescent="0.25">
      <c r="A26" s="10" t="s">
        <v>121</v>
      </c>
      <c r="B26" s="10" t="s">
        <v>170</v>
      </c>
      <c r="C26" s="10" t="s">
        <v>334</v>
      </c>
      <c r="D26" s="10"/>
      <c r="E26" s="10"/>
    </row>
    <row r="27" spans="1:5" x14ac:dyDescent="0.25">
      <c r="A27" s="10" t="s">
        <v>114</v>
      </c>
      <c r="B27" s="10" t="s">
        <v>114</v>
      </c>
      <c r="C27" s="10" t="s">
        <v>334</v>
      </c>
      <c r="D27" s="10"/>
      <c r="E27" s="10"/>
    </row>
    <row r="28" spans="1:5" x14ac:dyDescent="0.25">
      <c r="A28" s="10" t="s">
        <v>125</v>
      </c>
      <c r="B28" s="10" t="s">
        <v>171</v>
      </c>
      <c r="C28" s="10" t="s">
        <v>334</v>
      </c>
      <c r="D28" s="10"/>
      <c r="E28" s="10"/>
    </row>
    <row r="29" spans="1:5" x14ac:dyDescent="0.25">
      <c r="A29" s="10" t="s">
        <v>128</v>
      </c>
      <c r="B29" s="10" t="s">
        <v>172</v>
      </c>
      <c r="C29" s="10" t="s">
        <v>334</v>
      </c>
      <c r="D29" s="10"/>
      <c r="E29" s="10"/>
    </row>
    <row r="30" spans="1:5" x14ac:dyDescent="0.25">
      <c r="A30" s="10" t="s">
        <v>173</v>
      </c>
      <c r="B30" s="10" t="s">
        <v>8</v>
      </c>
      <c r="C30" s="10" t="s">
        <v>335</v>
      </c>
      <c r="D30" s="10" t="s">
        <v>354</v>
      </c>
      <c r="E30" s="10"/>
    </row>
    <row r="31" spans="1:5" x14ac:dyDescent="0.25">
      <c r="A31" s="10" t="s">
        <v>174</v>
      </c>
      <c r="B31" s="10" t="s">
        <v>175</v>
      </c>
      <c r="C31" s="10" t="s">
        <v>334</v>
      </c>
      <c r="D31" s="10"/>
      <c r="E31" s="10"/>
    </row>
    <row r="32" spans="1:5" x14ac:dyDescent="0.25">
      <c r="A32" s="10" t="s">
        <v>176</v>
      </c>
      <c r="B32" s="10" t="s">
        <v>177</v>
      </c>
      <c r="C32" s="10" t="s">
        <v>334</v>
      </c>
      <c r="D32" s="10"/>
      <c r="E32" s="10"/>
    </row>
    <row r="33" spans="1:5" x14ac:dyDescent="0.25">
      <c r="A33" s="10" t="s">
        <v>178</v>
      </c>
      <c r="B33" s="10" t="s">
        <v>179</v>
      </c>
      <c r="C33" s="10" t="s">
        <v>334</v>
      </c>
      <c r="D33" s="10"/>
      <c r="E33" s="10"/>
    </row>
    <row r="34" spans="1:5" x14ac:dyDescent="0.25">
      <c r="A34" s="10" t="s">
        <v>180</v>
      </c>
      <c r="B34" s="10" t="s">
        <v>181</v>
      </c>
      <c r="C34" s="10" t="s">
        <v>335</v>
      </c>
      <c r="D34" s="10" t="s">
        <v>352</v>
      </c>
      <c r="E34" s="10"/>
    </row>
    <row r="35" spans="1:5" x14ac:dyDescent="0.25">
      <c r="A35" s="10" t="s">
        <v>182</v>
      </c>
      <c r="B35" s="10" t="s">
        <v>183</v>
      </c>
      <c r="C35" s="10" t="s">
        <v>334</v>
      </c>
      <c r="D35" s="10"/>
      <c r="E35" s="10"/>
    </row>
    <row r="36" spans="1:5" x14ac:dyDescent="0.25">
      <c r="A36" s="10" t="s">
        <v>184</v>
      </c>
      <c r="B36" s="10" t="s">
        <v>185</v>
      </c>
      <c r="C36" s="10" t="s">
        <v>334</v>
      </c>
      <c r="D36" s="10"/>
      <c r="E36" s="10"/>
    </row>
    <row r="37" spans="1:5" x14ac:dyDescent="0.25">
      <c r="A37" s="10" t="s">
        <v>186</v>
      </c>
      <c r="B37" s="10" t="s">
        <v>187</v>
      </c>
      <c r="C37" s="10" t="s">
        <v>335</v>
      </c>
      <c r="D37" s="10" t="s">
        <v>185</v>
      </c>
      <c r="E37" s="12">
        <v>30662</v>
      </c>
    </row>
    <row r="38" spans="1:5" x14ac:dyDescent="0.25">
      <c r="A38" s="10" t="s">
        <v>188</v>
      </c>
      <c r="B38" s="10" t="s">
        <v>189</v>
      </c>
      <c r="C38" s="10" t="s">
        <v>334</v>
      </c>
      <c r="D38" s="10"/>
      <c r="E38" s="10"/>
    </row>
    <row r="39" spans="1:5" x14ac:dyDescent="0.25">
      <c r="A39" s="10" t="s">
        <v>190</v>
      </c>
      <c r="B39" s="10" t="s">
        <v>191</v>
      </c>
      <c r="C39" s="10" t="s">
        <v>334</v>
      </c>
      <c r="D39" s="10"/>
      <c r="E39" s="10"/>
    </row>
    <row r="40" spans="1:5" x14ac:dyDescent="0.25">
      <c r="A40" s="10" t="s">
        <v>192</v>
      </c>
      <c r="B40" s="10" t="s">
        <v>193</v>
      </c>
      <c r="C40" s="10" t="s">
        <v>335</v>
      </c>
      <c r="D40" s="10" t="s">
        <v>191</v>
      </c>
      <c r="E40" s="12">
        <v>30419</v>
      </c>
    </row>
    <row r="41" spans="1:5" x14ac:dyDescent="0.25">
      <c r="A41" s="10" t="s">
        <v>194</v>
      </c>
      <c r="B41" s="10" t="s">
        <v>195</v>
      </c>
      <c r="C41" s="10" t="s">
        <v>334</v>
      </c>
      <c r="D41" s="10"/>
      <c r="E41" s="10"/>
    </row>
    <row r="42" spans="1:5" x14ac:dyDescent="0.25">
      <c r="A42" s="10" t="s">
        <v>196</v>
      </c>
      <c r="B42" s="10" t="s">
        <v>189</v>
      </c>
      <c r="C42" s="10" t="s">
        <v>334</v>
      </c>
      <c r="D42" s="10"/>
      <c r="E42" s="10"/>
    </row>
    <row r="43" spans="1:5" x14ac:dyDescent="0.25">
      <c r="A43" s="10" t="s">
        <v>197</v>
      </c>
      <c r="B43" s="10" t="s">
        <v>198</v>
      </c>
      <c r="C43" s="10" t="s">
        <v>335</v>
      </c>
      <c r="D43" s="10" t="s">
        <v>315</v>
      </c>
      <c r="E43" s="12">
        <v>30676</v>
      </c>
    </row>
    <row r="44" spans="1:5" x14ac:dyDescent="0.25">
      <c r="A44" s="10" t="s">
        <v>199</v>
      </c>
      <c r="B44" s="10" t="s">
        <v>198</v>
      </c>
      <c r="C44" s="10" t="s">
        <v>334</v>
      </c>
      <c r="D44" s="10"/>
      <c r="E44" s="12"/>
    </row>
    <row r="45" spans="1:5" x14ac:dyDescent="0.25">
      <c r="A45" s="10" t="s">
        <v>200</v>
      </c>
      <c r="B45" s="10" t="s">
        <v>201</v>
      </c>
      <c r="C45" s="10" t="s">
        <v>335</v>
      </c>
      <c r="D45" s="10" t="s">
        <v>189</v>
      </c>
      <c r="E45" s="12">
        <v>17563</v>
      </c>
    </row>
    <row r="46" spans="1:5" x14ac:dyDescent="0.25">
      <c r="A46" s="10" t="s">
        <v>202</v>
      </c>
      <c r="B46" s="10" t="s">
        <v>201</v>
      </c>
      <c r="C46" s="10" t="s">
        <v>334</v>
      </c>
      <c r="D46" s="10"/>
      <c r="E46" s="10"/>
    </row>
    <row r="47" spans="1:5" x14ac:dyDescent="0.25">
      <c r="A47" s="10" t="s">
        <v>203</v>
      </c>
      <c r="B47" s="10" t="s">
        <v>201</v>
      </c>
      <c r="C47" s="10" t="s">
        <v>334</v>
      </c>
      <c r="D47" s="10"/>
      <c r="E47" s="10"/>
    </row>
    <row r="48" spans="1:5" x14ac:dyDescent="0.25">
      <c r="A48" s="10" t="s">
        <v>204</v>
      </c>
      <c r="B48" s="10" t="s">
        <v>157</v>
      </c>
      <c r="C48" s="10" t="s">
        <v>334</v>
      </c>
      <c r="D48" s="10"/>
      <c r="E48" s="10"/>
    </row>
    <row r="49" spans="1:5" x14ac:dyDescent="0.25">
      <c r="A49" s="10" t="s">
        <v>205</v>
      </c>
      <c r="B49" s="10" t="s">
        <v>157</v>
      </c>
      <c r="C49" s="10" t="s">
        <v>334</v>
      </c>
      <c r="D49" s="10"/>
      <c r="E49" s="10"/>
    </row>
    <row r="50" spans="1:5" x14ac:dyDescent="0.25">
      <c r="A50" s="10" t="s">
        <v>206</v>
      </c>
      <c r="B50" s="10" t="s">
        <v>207</v>
      </c>
      <c r="C50" s="10" t="s">
        <v>335</v>
      </c>
      <c r="D50" s="10" t="s">
        <v>144</v>
      </c>
      <c r="E50" s="12">
        <v>30485</v>
      </c>
    </row>
    <row r="51" spans="1:5" x14ac:dyDescent="0.25">
      <c r="A51" s="10" t="s">
        <v>208</v>
      </c>
      <c r="B51" s="10" t="s">
        <v>181</v>
      </c>
      <c r="C51" s="10" t="s">
        <v>334</v>
      </c>
      <c r="D51" s="10"/>
      <c r="E51" s="10"/>
    </row>
    <row r="52" spans="1:5" x14ac:dyDescent="0.25">
      <c r="A52" s="10" t="s">
        <v>209</v>
      </c>
      <c r="B52" s="10" t="s">
        <v>8</v>
      </c>
      <c r="C52" s="10" t="s">
        <v>334</v>
      </c>
      <c r="D52" s="10"/>
      <c r="E52" s="10"/>
    </row>
    <row r="53" spans="1:5" x14ac:dyDescent="0.25">
      <c r="A53" s="10" t="s">
        <v>210</v>
      </c>
      <c r="B53" s="10" t="s">
        <v>211</v>
      </c>
      <c r="C53" s="10" t="s">
        <v>334</v>
      </c>
      <c r="D53" s="10"/>
      <c r="E53" s="10"/>
    </row>
    <row r="54" spans="1:5" x14ac:dyDescent="0.25">
      <c r="A54" s="10" t="s">
        <v>212</v>
      </c>
      <c r="B54" s="10" t="s">
        <v>211</v>
      </c>
      <c r="C54" s="10" t="s">
        <v>335</v>
      </c>
      <c r="D54" s="10" t="s">
        <v>351</v>
      </c>
      <c r="E54" s="12">
        <v>30659</v>
      </c>
    </row>
    <row r="55" spans="1:5" x14ac:dyDescent="0.25">
      <c r="A55" s="10" t="s">
        <v>213</v>
      </c>
      <c r="B55" s="10" t="s">
        <v>214</v>
      </c>
      <c r="C55" s="10" t="s">
        <v>334</v>
      </c>
      <c r="D55" s="10"/>
      <c r="E55" s="10"/>
    </row>
    <row r="56" spans="1:5" x14ac:dyDescent="0.25">
      <c r="A56" s="10" t="s">
        <v>215</v>
      </c>
      <c r="B56" s="10" t="s">
        <v>216</v>
      </c>
      <c r="C56" s="10" t="s">
        <v>334</v>
      </c>
      <c r="D56" s="10"/>
      <c r="E56" s="10"/>
    </row>
    <row r="57" spans="1:5" x14ac:dyDescent="0.25">
      <c r="A57" s="10" t="s">
        <v>217</v>
      </c>
      <c r="B57" s="10" t="s">
        <v>218</v>
      </c>
      <c r="C57" s="10" t="s">
        <v>334</v>
      </c>
      <c r="D57" s="10"/>
      <c r="E57" s="10"/>
    </row>
    <row r="58" spans="1:5" x14ac:dyDescent="0.25">
      <c r="A58" s="10" t="s">
        <v>219</v>
      </c>
      <c r="B58" s="10" t="s">
        <v>220</v>
      </c>
      <c r="C58" s="10" t="s">
        <v>334</v>
      </c>
      <c r="D58" s="10"/>
      <c r="E58" s="10"/>
    </row>
    <row r="59" spans="1:5" x14ac:dyDescent="0.25">
      <c r="A59" s="10" t="s">
        <v>221</v>
      </c>
      <c r="B59" s="10" t="s">
        <v>222</v>
      </c>
      <c r="C59" s="10" t="s">
        <v>334</v>
      </c>
      <c r="D59" s="10"/>
      <c r="E59" s="10"/>
    </row>
    <row r="60" spans="1:5" x14ac:dyDescent="0.25">
      <c r="A60" s="10" t="s">
        <v>223</v>
      </c>
      <c r="B60" s="10" t="s">
        <v>224</v>
      </c>
      <c r="C60" s="10" t="s">
        <v>334</v>
      </c>
      <c r="D60" s="10"/>
      <c r="E60" s="10"/>
    </row>
    <row r="61" spans="1:5" x14ac:dyDescent="0.25">
      <c r="A61" s="10" t="s">
        <v>225</v>
      </c>
      <c r="B61" s="10" t="s">
        <v>226</v>
      </c>
      <c r="C61" s="10" t="s">
        <v>335</v>
      </c>
      <c r="D61" s="10" t="s">
        <v>352</v>
      </c>
      <c r="E61" s="10"/>
    </row>
    <row r="62" spans="1:5" x14ac:dyDescent="0.25">
      <c r="A62" s="10" t="s">
        <v>227</v>
      </c>
      <c r="B62" s="10" t="s">
        <v>228</v>
      </c>
      <c r="C62" s="10" t="s">
        <v>334</v>
      </c>
      <c r="D62" s="10"/>
      <c r="E62" s="10"/>
    </row>
    <row r="63" spans="1:5" x14ac:dyDescent="0.25">
      <c r="A63" s="10" t="s">
        <v>229</v>
      </c>
      <c r="B63" s="10" t="s">
        <v>142</v>
      </c>
      <c r="C63" s="10" t="s">
        <v>335</v>
      </c>
      <c r="D63" s="10" t="s">
        <v>355</v>
      </c>
      <c r="E63" s="10">
        <v>30513</v>
      </c>
    </row>
    <row r="64" spans="1:5" x14ac:dyDescent="0.25">
      <c r="A64" s="10" t="s">
        <v>230</v>
      </c>
      <c r="B64" s="10" t="s">
        <v>231</v>
      </c>
      <c r="C64" s="10" t="s">
        <v>335</v>
      </c>
      <c r="D64" s="10" t="s">
        <v>355</v>
      </c>
      <c r="E64" s="10">
        <v>30513</v>
      </c>
    </row>
    <row r="65" spans="1:5" x14ac:dyDescent="0.25">
      <c r="A65" s="10" t="s">
        <v>232</v>
      </c>
      <c r="B65" s="10" t="s">
        <v>231</v>
      </c>
      <c r="C65" s="10" t="s">
        <v>334</v>
      </c>
      <c r="D65" s="10"/>
      <c r="E65" s="10"/>
    </row>
    <row r="66" spans="1:5" x14ac:dyDescent="0.25">
      <c r="A66" s="10" t="s">
        <v>223</v>
      </c>
      <c r="B66" s="10" t="s">
        <v>224</v>
      </c>
      <c r="C66" s="10" t="s">
        <v>334</v>
      </c>
      <c r="D66" s="10"/>
      <c r="E66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3"/>
  <sheetViews>
    <sheetView zoomScaleNormal="100" workbookViewId="0"/>
  </sheetViews>
  <sheetFormatPr defaultRowHeight="15" x14ac:dyDescent="0.25"/>
  <cols>
    <col min="1" max="1" width="72.85546875" customWidth="1"/>
    <col min="2" max="2" width="58.28515625" customWidth="1"/>
    <col min="3" max="3" width="11.28515625" customWidth="1"/>
    <col min="4" max="4" width="40.7109375" customWidth="1"/>
    <col min="5" max="5" width="11.5703125" customWidth="1"/>
  </cols>
  <sheetData>
    <row r="1" spans="1:8" x14ac:dyDescent="0.25">
      <c r="A1" s="1" t="s">
        <v>0</v>
      </c>
      <c r="B1" s="1" t="s">
        <v>1</v>
      </c>
      <c r="C1" s="2" t="s">
        <v>331</v>
      </c>
      <c r="D1" s="2" t="s">
        <v>332</v>
      </c>
      <c r="E1" s="3" t="s">
        <v>333</v>
      </c>
      <c r="G1" s="4" t="s">
        <v>334</v>
      </c>
      <c r="H1" s="5">
        <f>COUNTIF(C:C,G1)</f>
        <v>49</v>
      </c>
    </row>
    <row r="2" spans="1:8" x14ac:dyDescent="0.25">
      <c r="A2" s="10" t="s">
        <v>31</v>
      </c>
      <c r="B2" s="10" t="s">
        <v>296</v>
      </c>
      <c r="C2" s="10" t="s">
        <v>335</v>
      </c>
      <c r="D2" s="10" t="s">
        <v>352</v>
      </c>
      <c r="E2" s="10"/>
      <c r="G2" s="6" t="s">
        <v>335</v>
      </c>
      <c r="H2" s="7">
        <f>COUNTIF(C:C,G2)</f>
        <v>13</v>
      </c>
    </row>
    <row r="3" spans="1:8" ht="15.75" thickBot="1" x14ac:dyDescent="0.3">
      <c r="A3" s="10" t="s">
        <v>135</v>
      </c>
      <c r="B3" s="10" t="s">
        <v>8</v>
      </c>
      <c r="C3" s="10" t="s">
        <v>334</v>
      </c>
      <c r="D3" s="10"/>
      <c r="E3" s="10"/>
      <c r="G3" s="8" t="s">
        <v>336</v>
      </c>
      <c r="H3" s="9">
        <f>H1/SUM(H1:H2)</f>
        <v>0.79032258064516125</v>
      </c>
    </row>
    <row r="4" spans="1:8" x14ac:dyDescent="0.25">
      <c r="A4" s="10" t="s">
        <v>136</v>
      </c>
      <c r="B4" s="10" t="s">
        <v>137</v>
      </c>
      <c r="C4" s="10" t="s">
        <v>334</v>
      </c>
      <c r="D4" s="10"/>
      <c r="E4" s="10"/>
    </row>
    <row r="5" spans="1:8" x14ac:dyDescent="0.25">
      <c r="A5" s="10" t="s">
        <v>297</v>
      </c>
      <c r="B5" s="10" t="s">
        <v>140</v>
      </c>
      <c r="C5" s="10" t="s">
        <v>334</v>
      </c>
      <c r="D5" s="10"/>
      <c r="E5" s="10"/>
    </row>
    <row r="6" spans="1:8" x14ac:dyDescent="0.25">
      <c r="A6" s="10" t="s">
        <v>238</v>
      </c>
      <c r="B6" s="10" t="s">
        <v>142</v>
      </c>
      <c r="C6" s="10" t="s">
        <v>334</v>
      </c>
      <c r="D6" s="10"/>
      <c r="E6" s="10"/>
    </row>
    <row r="7" spans="1:8" x14ac:dyDescent="0.25">
      <c r="A7" s="10" t="s">
        <v>141</v>
      </c>
      <c r="B7" s="10" t="s">
        <v>142</v>
      </c>
      <c r="C7" s="10" t="s">
        <v>334</v>
      </c>
      <c r="D7" s="10"/>
      <c r="E7" s="10"/>
    </row>
    <row r="8" spans="1:8" x14ac:dyDescent="0.25">
      <c r="A8" s="10" t="s">
        <v>151</v>
      </c>
      <c r="B8" s="10" t="s">
        <v>142</v>
      </c>
      <c r="C8" s="10" t="s">
        <v>334</v>
      </c>
      <c r="D8" s="10"/>
      <c r="E8" s="10"/>
    </row>
    <row r="9" spans="1:8" x14ac:dyDescent="0.25">
      <c r="A9" s="10" t="s">
        <v>17</v>
      </c>
      <c r="B9" s="10" t="s">
        <v>145</v>
      </c>
      <c r="C9" s="10" t="s">
        <v>334</v>
      </c>
      <c r="D9" s="10" t="s">
        <v>343</v>
      </c>
      <c r="E9" s="10"/>
    </row>
    <row r="10" spans="1:8" x14ac:dyDescent="0.25">
      <c r="A10" s="10" t="s">
        <v>143</v>
      </c>
      <c r="B10" s="10" t="s">
        <v>144</v>
      </c>
      <c r="C10" s="10" t="s">
        <v>335</v>
      </c>
      <c r="D10" s="10" t="s">
        <v>207</v>
      </c>
      <c r="E10" s="12">
        <v>30481</v>
      </c>
    </row>
    <row r="11" spans="1:8" x14ac:dyDescent="0.25">
      <c r="A11" s="10" t="s">
        <v>298</v>
      </c>
      <c r="B11" s="10" t="s">
        <v>147</v>
      </c>
      <c r="C11" s="10" t="s">
        <v>335</v>
      </c>
      <c r="D11" s="10" t="s">
        <v>150</v>
      </c>
      <c r="E11" s="12">
        <v>30520</v>
      </c>
    </row>
    <row r="12" spans="1:8" x14ac:dyDescent="0.25">
      <c r="A12" s="10" t="s">
        <v>299</v>
      </c>
      <c r="B12" s="10" t="s">
        <v>147</v>
      </c>
      <c r="C12" s="10" t="s">
        <v>334</v>
      </c>
      <c r="D12" s="10"/>
      <c r="E12" s="10"/>
    </row>
    <row r="13" spans="1:8" x14ac:dyDescent="0.25">
      <c r="A13" s="10" t="s">
        <v>300</v>
      </c>
      <c r="B13" s="10" t="s">
        <v>155</v>
      </c>
      <c r="C13" s="10" t="s">
        <v>334</v>
      </c>
      <c r="D13" s="10"/>
      <c r="E13" s="10"/>
    </row>
    <row r="14" spans="1:8" x14ac:dyDescent="0.25">
      <c r="A14" s="10" t="s">
        <v>301</v>
      </c>
      <c r="B14" s="10" t="s">
        <v>187</v>
      </c>
      <c r="C14" s="10" t="s">
        <v>335</v>
      </c>
      <c r="D14" s="10" t="s">
        <v>142</v>
      </c>
      <c r="E14" s="12">
        <v>17542</v>
      </c>
    </row>
    <row r="15" spans="1:8" x14ac:dyDescent="0.25">
      <c r="A15" s="10" t="s">
        <v>149</v>
      </c>
      <c r="B15" s="10" t="s">
        <v>150</v>
      </c>
      <c r="C15" s="10" t="s">
        <v>334</v>
      </c>
      <c r="D15" s="10"/>
      <c r="E15" s="10"/>
    </row>
    <row r="16" spans="1:8" x14ac:dyDescent="0.25">
      <c r="A16" s="10" t="s">
        <v>302</v>
      </c>
      <c r="B16" s="10" t="s">
        <v>303</v>
      </c>
      <c r="C16" s="10" t="s">
        <v>334</v>
      </c>
      <c r="D16" s="10"/>
      <c r="E16" s="10"/>
    </row>
    <row r="17" spans="1:5" x14ac:dyDescent="0.25">
      <c r="A17" s="10" t="s">
        <v>304</v>
      </c>
      <c r="B17" s="10" t="s">
        <v>142</v>
      </c>
      <c r="C17" s="10" t="s">
        <v>334</v>
      </c>
      <c r="D17" s="10"/>
      <c r="E17" s="10"/>
    </row>
    <row r="18" spans="1:5" x14ac:dyDescent="0.25">
      <c r="A18" s="10" t="s">
        <v>160</v>
      </c>
      <c r="B18" s="10" t="s">
        <v>161</v>
      </c>
      <c r="C18" s="10" t="s">
        <v>334</v>
      </c>
      <c r="D18" s="10"/>
      <c r="E18" s="10"/>
    </row>
    <row r="19" spans="1:5" x14ac:dyDescent="0.25">
      <c r="A19" s="10" t="s">
        <v>162</v>
      </c>
      <c r="B19" s="10" t="s">
        <v>8</v>
      </c>
      <c r="C19" s="10" t="s">
        <v>334</v>
      </c>
      <c r="D19" s="10"/>
      <c r="E19" s="10"/>
    </row>
    <row r="20" spans="1:5" x14ac:dyDescent="0.25">
      <c r="A20" s="10" t="s">
        <v>305</v>
      </c>
      <c r="B20" s="10" t="s">
        <v>8</v>
      </c>
      <c r="C20" s="10" t="s">
        <v>334</v>
      </c>
      <c r="D20" s="10"/>
      <c r="E20" s="10"/>
    </row>
    <row r="21" spans="1:5" x14ac:dyDescent="0.25">
      <c r="A21" s="10" t="s">
        <v>85</v>
      </c>
      <c r="B21" s="10" t="s">
        <v>85</v>
      </c>
      <c r="C21" s="10" t="s">
        <v>334</v>
      </c>
      <c r="D21" s="10"/>
      <c r="E21" s="10"/>
    </row>
    <row r="22" spans="1:5" x14ac:dyDescent="0.25">
      <c r="A22" s="10" t="s">
        <v>164</v>
      </c>
      <c r="B22" s="10" t="s">
        <v>165</v>
      </c>
      <c r="C22" s="10" t="s">
        <v>334</v>
      </c>
      <c r="D22" s="10"/>
      <c r="E22" s="10"/>
    </row>
    <row r="23" spans="1:5" x14ac:dyDescent="0.25">
      <c r="A23" s="10" t="s">
        <v>76</v>
      </c>
      <c r="B23" s="10" t="s">
        <v>166</v>
      </c>
      <c r="C23" s="10" t="s">
        <v>334</v>
      </c>
      <c r="D23" s="10"/>
      <c r="E23" s="10"/>
    </row>
    <row r="24" spans="1:5" x14ac:dyDescent="0.25">
      <c r="A24" s="10" t="s">
        <v>167</v>
      </c>
      <c r="B24" s="10" t="s">
        <v>168</v>
      </c>
      <c r="C24" s="10" t="s">
        <v>334</v>
      </c>
      <c r="D24" s="10"/>
      <c r="E24" s="10"/>
    </row>
    <row r="25" spans="1:5" x14ac:dyDescent="0.25">
      <c r="A25" s="10" t="s">
        <v>306</v>
      </c>
      <c r="B25" s="10" t="s">
        <v>8</v>
      </c>
      <c r="C25" s="10" t="s">
        <v>334</v>
      </c>
      <c r="D25" s="10"/>
      <c r="E25" s="10"/>
    </row>
    <row r="26" spans="1:5" x14ac:dyDescent="0.25">
      <c r="A26" s="10" t="s">
        <v>121</v>
      </c>
      <c r="B26" s="10" t="s">
        <v>170</v>
      </c>
      <c r="C26" s="10" t="s">
        <v>334</v>
      </c>
      <c r="D26" s="10"/>
      <c r="E26" s="10"/>
    </row>
    <row r="27" spans="1:5" x14ac:dyDescent="0.25">
      <c r="A27" s="10" t="s">
        <v>114</v>
      </c>
      <c r="B27" s="10" t="s">
        <v>114</v>
      </c>
      <c r="C27" s="10" t="s">
        <v>334</v>
      </c>
      <c r="D27" s="10"/>
      <c r="E27" s="10"/>
    </row>
    <row r="28" spans="1:5" x14ac:dyDescent="0.25">
      <c r="A28" s="10" t="s">
        <v>307</v>
      </c>
      <c r="B28" s="10" t="s">
        <v>166</v>
      </c>
      <c r="C28" s="10" t="s">
        <v>335</v>
      </c>
      <c r="D28" s="10" t="s">
        <v>171</v>
      </c>
      <c r="E28" s="12">
        <v>30454</v>
      </c>
    </row>
    <row r="29" spans="1:5" x14ac:dyDescent="0.25">
      <c r="A29" s="10" t="s">
        <v>128</v>
      </c>
      <c r="B29" s="10" t="s">
        <v>172</v>
      </c>
      <c r="C29" s="10" t="s">
        <v>334</v>
      </c>
      <c r="D29" s="10"/>
      <c r="E29" s="10"/>
    </row>
    <row r="30" spans="1:5" x14ac:dyDescent="0.25">
      <c r="A30" s="10" t="s">
        <v>174</v>
      </c>
      <c r="B30" s="10" t="s">
        <v>175</v>
      </c>
      <c r="C30" s="10" t="s">
        <v>334</v>
      </c>
      <c r="D30" s="10"/>
      <c r="E30" s="10"/>
    </row>
    <row r="31" spans="1:5" x14ac:dyDescent="0.25">
      <c r="A31" s="10" t="s">
        <v>308</v>
      </c>
      <c r="B31" s="10" t="s">
        <v>309</v>
      </c>
      <c r="C31" s="10" t="s">
        <v>334</v>
      </c>
      <c r="D31" s="10"/>
      <c r="E31" s="10"/>
    </row>
    <row r="32" spans="1:5" x14ac:dyDescent="0.25">
      <c r="A32" s="10" t="s">
        <v>178</v>
      </c>
      <c r="B32" s="10" t="s">
        <v>179</v>
      </c>
      <c r="C32" s="10" t="s">
        <v>334</v>
      </c>
      <c r="D32" s="10"/>
      <c r="E32" s="10"/>
    </row>
    <row r="33" spans="1:5" x14ac:dyDescent="0.25">
      <c r="A33" s="10" t="s">
        <v>180</v>
      </c>
      <c r="B33" s="10" t="s">
        <v>181</v>
      </c>
      <c r="C33" s="10" t="s">
        <v>335</v>
      </c>
      <c r="D33" s="10" t="s">
        <v>352</v>
      </c>
      <c r="E33" s="10"/>
    </row>
    <row r="34" spans="1:5" x14ac:dyDescent="0.25">
      <c r="A34" s="10" t="s">
        <v>310</v>
      </c>
      <c r="B34" s="10" t="s">
        <v>183</v>
      </c>
      <c r="C34" s="10" t="s">
        <v>334</v>
      </c>
      <c r="D34" s="10"/>
      <c r="E34" s="10"/>
    </row>
    <row r="35" spans="1:5" x14ac:dyDescent="0.25">
      <c r="A35" s="10" t="s">
        <v>184</v>
      </c>
      <c r="B35" s="10" t="s">
        <v>185</v>
      </c>
      <c r="C35" s="10" t="s">
        <v>334</v>
      </c>
      <c r="D35" s="10"/>
      <c r="E35" s="10"/>
    </row>
    <row r="36" spans="1:5" x14ac:dyDescent="0.25">
      <c r="A36" s="10" t="s">
        <v>311</v>
      </c>
      <c r="B36" s="10" t="s">
        <v>191</v>
      </c>
      <c r="C36" s="10" t="s">
        <v>334</v>
      </c>
      <c r="D36" s="10"/>
      <c r="E36" s="10"/>
    </row>
    <row r="37" spans="1:5" x14ac:dyDescent="0.25">
      <c r="A37" s="10" t="s">
        <v>312</v>
      </c>
      <c r="B37" s="10" t="s">
        <v>189</v>
      </c>
      <c r="C37" s="10" t="s">
        <v>334</v>
      </c>
      <c r="D37" s="10"/>
      <c r="E37" s="10"/>
    </row>
    <row r="38" spans="1:5" x14ac:dyDescent="0.25">
      <c r="A38" s="10" t="s">
        <v>313</v>
      </c>
      <c r="B38" s="10" t="s">
        <v>198</v>
      </c>
      <c r="C38" s="10" t="s">
        <v>335</v>
      </c>
      <c r="D38" s="10" t="s">
        <v>315</v>
      </c>
      <c r="E38" s="12">
        <v>30676</v>
      </c>
    </row>
    <row r="39" spans="1:5" x14ac:dyDescent="0.25">
      <c r="A39" s="10" t="s">
        <v>199</v>
      </c>
      <c r="B39" s="10" t="s">
        <v>198</v>
      </c>
      <c r="C39" s="10" t="s">
        <v>334</v>
      </c>
      <c r="D39" s="10"/>
      <c r="E39" s="12"/>
    </row>
    <row r="40" spans="1:5" x14ac:dyDescent="0.25">
      <c r="A40" s="10" t="s">
        <v>314</v>
      </c>
      <c r="B40" s="10" t="s">
        <v>315</v>
      </c>
      <c r="C40" s="10" t="s">
        <v>334</v>
      </c>
      <c r="D40" s="10"/>
      <c r="E40" s="12"/>
    </row>
    <row r="41" spans="1:5" x14ac:dyDescent="0.25">
      <c r="A41" s="10" t="s">
        <v>316</v>
      </c>
      <c r="B41" s="10" t="s">
        <v>317</v>
      </c>
      <c r="C41" s="10" t="s">
        <v>335</v>
      </c>
      <c r="D41" s="10" t="s">
        <v>356</v>
      </c>
      <c r="E41" s="12">
        <v>17557</v>
      </c>
    </row>
    <row r="42" spans="1:5" x14ac:dyDescent="0.25">
      <c r="A42" s="10" t="s">
        <v>318</v>
      </c>
      <c r="B42" s="10" t="s">
        <v>201</v>
      </c>
      <c r="C42" s="10" t="s">
        <v>334</v>
      </c>
      <c r="D42" s="10"/>
      <c r="E42" s="10"/>
    </row>
    <row r="43" spans="1:5" x14ac:dyDescent="0.25">
      <c r="A43" s="10" t="s">
        <v>188</v>
      </c>
      <c r="B43" s="10" t="s">
        <v>189</v>
      </c>
      <c r="C43" s="10" t="s">
        <v>334</v>
      </c>
      <c r="D43" s="10"/>
      <c r="E43" s="10"/>
    </row>
    <row r="44" spans="1:5" x14ac:dyDescent="0.25">
      <c r="A44" s="10" t="s">
        <v>319</v>
      </c>
      <c r="B44" s="10" t="s">
        <v>195</v>
      </c>
      <c r="C44" s="10" t="s">
        <v>334</v>
      </c>
      <c r="D44" s="10"/>
      <c r="E44" s="10"/>
    </row>
    <row r="45" spans="1:5" x14ac:dyDescent="0.25">
      <c r="A45" s="10" t="s">
        <v>320</v>
      </c>
      <c r="B45" s="10" t="s">
        <v>157</v>
      </c>
      <c r="C45" s="10" t="s">
        <v>334</v>
      </c>
      <c r="D45" s="10"/>
      <c r="E45" s="10"/>
    </row>
    <row r="46" spans="1:5" x14ac:dyDescent="0.25">
      <c r="A46" s="10" t="s">
        <v>206</v>
      </c>
      <c r="B46" s="10" t="s">
        <v>207</v>
      </c>
      <c r="C46" s="10" t="s">
        <v>335</v>
      </c>
      <c r="D46" s="10" t="s">
        <v>144</v>
      </c>
      <c r="E46" s="12">
        <v>30485</v>
      </c>
    </row>
    <row r="47" spans="1:5" x14ac:dyDescent="0.25">
      <c r="A47" s="10" t="s">
        <v>321</v>
      </c>
      <c r="B47" s="10" t="s">
        <v>181</v>
      </c>
      <c r="C47" s="10" t="s">
        <v>334</v>
      </c>
      <c r="D47" s="10"/>
      <c r="E47" s="10"/>
    </row>
    <row r="48" spans="1:5" x14ac:dyDescent="0.25">
      <c r="A48" s="10" t="s">
        <v>209</v>
      </c>
      <c r="B48" s="10" t="s">
        <v>8</v>
      </c>
      <c r="C48" s="10" t="s">
        <v>334</v>
      </c>
      <c r="D48" s="10"/>
      <c r="E48" s="10"/>
    </row>
    <row r="49" spans="1:5" x14ac:dyDescent="0.25">
      <c r="A49" s="10" t="s">
        <v>322</v>
      </c>
      <c r="B49" s="10" t="s">
        <v>323</v>
      </c>
      <c r="C49" s="10" t="s">
        <v>334</v>
      </c>
      <c r="D49" s="10"/>
      <c r="E49" s="10"/>
    </row>
    <row r="50" spans="1:5" x14ac:dyDescent="0.25">
      <c r="A50" s="10" t="s">
        <v>212</v>
      </c>
      <c r="B50" s="10" t="s">
        <v>211</v>
      </c>
      <c r="C50" s="10" t="s">
        <v>335</v>
      </c>
      <c r="D50" s="10" t="s">
        <v>351</v>
      </c>
      <c r="E50" s="12">
        <v>30659</v>
      </c>
    </row>
    <row r="51" spans="1:5" x14ac:dyDescent="0.25">
      <c r="A51" s="10" t="s">
        <v>215</v>
      </c>
      <c r="B51" s="10" t="s">
        <v>216</v>
      </c>
      <c r="C51" s="10" t="s">
        <v>334</v>
      </c>
      <c r="D51" s="10"/>
      <c r="E51" s="10"/>
    </row>
    <row r="52" spans="1:5" x14ac:dyDescent="0.25">
      <c r="A52" s="10" t="s">
        <v>213</v>
      </c>
      <c r="B52" s="10" t="s">
        <v>214</v>
      </c>
      <c r="C52" s="10" t="s">
        <v>334</v>
      </c>
      <c r="D52" s="10"/>
      <c r="E52" s="10"/>
    </row>
    <row r="53" spans="1:5" x14ac:dyDescent="0.25">
      <c r="A53" s="10" t="s">
        <v>217</v>
      </c>
      <c r="B53" s="10" t="s">
        <v>218</v>
      </c>
      <c r="C53" s="10" t="s">
        <v>334</v>
      </c>
      <c r="D53" s="10"/>
      <c r="E53" s="10"/>
    </row>
    <row r="54" spans="1:5" x14ac:dyDescent="0.25">
      <c r="A54" s="10" t="s">
        <v>219</v>
      </c>
      <c r="B54" s="10" t="s">
        <v>220</v>
      </c>
      <c r="C54" s="10" t="s">
        <v>334</v>
      </c>
      <c r="D54" s="10"/>
      <c r="E54" s="10"/>
    </row>
    <row r="55" spans="1:5" x14ac:dyDescent="0.25">
      <c r="A55" s="10" t="s">
        <v>324</v>
      </c>
      <c r="B55" s="10" t="s">
        <v>220</v>
      </c>
      <c r="C55" s="10" t="s">
        <v>334</v>
      </c>
      <c r="D55" s="10"/>
      <c r="E55" s="10"/>
    </row>
    <row r="56" spans="1:5" x14ac:dyDescent="0.25">
      <c r="A56" s="10" t="s">
        <v>325</v>
      </c>
      <c r="B56" s="10" t="s">
        <v>222</v>
      </c>
      <c r="C56" s="10" t="s">
        <v>334</v>
      </c>
      <c r="D56" s="10"/>
      <c r="E56" s="10"/>
    </row>
    <row r="57" spans="1:5" x14ac:dyDescent="0.25">
      <c r="A57" s="10" t="s">
        <v>326</v>
      </c>
      <c r="B57" s="10" t="s">
        <v>327</v>
      </c>
      <c r="C57" s="10" t="s">
        <v>334</v>
      </c>
      <c r="D57" s="10" t="s">
        <v>224</v>
      </c>
      <c r="E57" s="12">
        <v>17541</v>
      </c>
    </row>
    <row r="58" spans="1:5" x14ac:dyDescent="0.25">
      <c r="A58" s="10" t="s">
        <v>88</v>
      </c>
      <c r="B58" s="10" t="s">
        <v>226</v>
      </c>
      <c r="C58" s="10" t="s">
        <v>335</v>
      </c>
      <c r="D58" s="10" t="s">
        <v>352</v>
      </c>
      <c r="E58" s="10"/>
    </row>
    <row r="59" spans="1:5" x14ac:dyDescent="0.25">
      <c r="A59" s="10" t="s">
        <v>328</v>
      </c>
      <c r="B59" s="10" t="s">
        <v>228</v>
      </c>
      <c r="C59" s="10" t="s">
        <v>334</v>
      </c>
      <c r="D59" s="10"/>
      <c r="E59" s="10"/>
    </row>
    <row r="60" spans="1:5" x14ac:dyDescent="0.25">
      <c r="A60" s="10" t="s">
        <v>329</v>
      </c>
      <c r="B60" s="10" t="s">
        <v>142</v>
      </c>
      <c r="C60" s="10" t="s">
        <v>335</v>
      </c>
      <c r="D60" s="10" t="s">
        <v>355</v>
      </c>
      <c r="E60" s="12">
        <v>30513</v>
      </c>
    </row>
    <row r="61" spans="1:5" x14ac:dyDescent="0.25">
      <c r="A61" s="10" t="s">
        <v>232</v>
      </c>
      <c r="B61" s="10" t="s">
        <v>231</v>
      </c>
      <c r="C61" s="10" t="s">
        <v>334</v>
      </c>
      <c r="D61" s="10"/>
      <c r="E61" s="10"/>
    </row>
    <row r="62" spans="1:5" x14ac:dyDescent="0.25">
      <c r="A62" s="10" t="s">
        <v>330</v>
      </c>
      <c r="B62" s="10" t="s">
        <v>231</v>
      </c>
      <c r="C62" s="10" t="s">
        <v>335</v>
      </c>
      <c r="D62" s="10" t="s">
        <v>355</v>
      </c>
      <c r="E62" s="12">
        <v>30513</v>
      </c>
    </row>
    <row r="63" spans="1:5" x14ac:dyDescent="0.25">
      <c r="A63" s="10" t="s">
        <v>326</v>
      </c>
      <c r="B63" s="10" t="s">
        <v>327</v>
      </c>
      <c r="C63" s="10" t="s">
        <v>334</v>
      </c>
      <c r="D63" s="10" t="s">
        <v>224</v>
      </c>
      <c r="E63" s="12">
        <v>17541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6"/>
  <sheetViews>
    <sheetView workbookViewId="0"/>
  </sheetViews>
  <sheetFormatPr defaultRowHeight="15" x14ac:dyDescent="0.25"/>
  <cols>
    <col min="1" max="1" width="56.5703125" customWidth="1"/>
    <col min="2" max="2" width="55" customWidth="1"/>
  </cols>
  <sheetData>
    <row r="1" spans="1:12" x14ac:dyDescent="0.25">
      <c r="A1" s="1" t="s">
        <v>0</v>
      </c>
      <c r="B1" s="1" t="s">
        <v>1</v>
      </c>
      <c r="C1" s="2" t="s">
        <v>331</v>
      </c>
      <c r="D1" s="2" t="s">
        <v>332</v>
      </c>
      <c r="E1" s="3" t="s">
        <v>333</v>
      </c>
      <c r="G1" s="4" t="s">
        <v>334</v>
      </c>
      <c r="H1" s="5">
        <f>COUNTIF(C:C,G1)</f>
        <v>0</v>
      </c>
      <c r="I1" s="11" t="s">
        <v>337</v>
      </c>
      <c r="J1" s="11"/>
      <c r="K1" s="11"/>
      <c r="L1" s="11"/>
    </row>
    <row r="2" spans="1:12" x14ac:dyDescent="0.25">
      <c r="A2" s="10" t="s">
        <v>264</v>
      </c>
      <c r="B2" s="10" t="s">
        <v>3</v>
      </c>
      <c r="C2" s="10"/>
      <c r="D2" s="10"/>
      <c r="E2" s="10"/>
      <c r="G2" s="6" t="s">
        <v>335</v>
      </c>
      <c r="H2" s="7">
        <f>COUNTIF(C:C,G2)</f>
        <v>0</v>
      </c>
    </row>
    <row r="3" spans="1:12" ht="15.75" thickBot="1" x14ac:dyDescent="0.3">
      <c r="A3" s="10" t="s">
        <v>265</v>
      </c>
      <c r="B3" s="10" t="s">
        <v>8</v>
      </c>
      <c r="C3" s="10"/>
      <c r="D3" s="10"/>
      <c r="E3" s="10"/>
      <c r="G3" s="8" t="s">
        <v>336</v>
      </c>
      <c r="H3" s="9" t="e">
        <f>H1/SUM(H1:H2)</f>
        <v>#DIV/0!</v>
      </c>
    </row>
    <row r="4" spans="1:12" x14ac:dyDescent="0.25">
      <c r="A4" s="10" t="s">
        <v>266</v>
      </c>
      <c r="B4" s="10" t="s">
        <v>267</v>
      </c>
      <c r="C4" s="10"/>
      <c r="D4" s="10"/>
      <c r="E4" s="10"/>
    </row>
    <row r="5" spans="1:12" x14ac:dyDescent="0.25">
      <c r="A5" s="10" t="s">
        <v>268</v>
      </c>
      <c r="B5" s="10" t="s">
        <v>6</v>
      </c>
      <c r="C5" s="10"/>
      <c r="D5" s="10"/>
      <c r="E5" s="10"/>
    </row>
    <row r="6" spans="1:12" x14ac:dyDescent="0.25">
      <c r="A6" s="10" t="s">
        <v>269</v>
      </c>
      <c r="B6" s="10" t="s">
        <v>8</v>
      </c>
      <c r="C6" s="10"/>
      <c r="D6" s="10"/>
      <c r="E6" s="10"/>
    </row>
    <row r="7" spans="1:12" x14ac:dyDescent="0.25">
      <c r="A7" s="10" t="s">
        <v>270</v>
      </c>
      <c r="B7" s="10" t="s">
        <v>8</v>
      </c>
      <c r="C7" s="10"/>
      <c r="D7" s="10"/>
      <c r="E7" s="10"/>
    </row>
    <row r="8" spans="1:12" x14ac:dyDescent="0.25">
      <c r="A8" s="10" t="s">
        <v>264</v>
      </c>
      <c r="B8" s="10" t="s">
        <v>3</v>
      </c>
      <c r="C8" s="10"/>
      <c r="D8" s="10"/>
      <c r="E8" s="10"/>
    </row>
    <row r="9" spans="1:12" x14ac:dyDescent="0.25">
      <c r="A9" s="10" t="s">
        <v>265</v>
      </c>
      <c r="B9" s="10" t="s">
        <v>8</v>
      </c>
      <c r="C9" s="10"/>
      <c r="D9" s="10"/>
      <c r="E9" s="10"/>
    </row>
    <row r="10" spans="1:12" x14ac:dyDescent="0.25">
      <c r="A10" s="10" t="s">
        <v>271</v>
      </c>
      <c r="B10" s="10" t="s">
        <v>8</v>
      </c>
      <c r="C10" s="10"/>
      <c r="D10" s="10"/>
      <c r="E10" s="10"/>
    </row>
    <row r="11" spans="1:12" x14ac:dyDescent="0.25">
      <c r="A11" s="10" t="s">
        <v>272</v>
      </c>
      <c r="B11" s="10" t="s">
        <v>8</v>
      </c>
      <c r="C11" s="10"/>
      <c r="D11" s="10"/>
      <c r="E11" s="10"/>
    </row>
    <row r="12" spans="1:12" x14ac:dyDescent="0.25">
      <c r="A12" s="10" t="s">
        <v>273</v>
      </c>
      <c r="B12" s="10" t="s">
        <v>274</v>
      </c>
      <c r="C12" s="10"/>
      <c r="D12" s="10"/>
      <c r="E12" s="10"/>
    </row>
    <row r="13" spans="1:12" x14ac:dyDescent="0.25">
      <c r="A13" s="10" t="s">
        <v>275</v>
      </c>
      <c r="B13" s="10" t="s">
        <v>235</v>
      </c>
      <c r="C13" s="10"/>
      <c r="D13" s="10"/>
      <c r="E13" s="10"/>
    </row>
    <row r="14" spans="1:12" x14ac:dyDescent="0.25">
      <c r="A14" s="10" t="s">
        <v>276</v>
      </c>
      <c r="B14" s="10" t="s">
        <v>277</v>
      </c>
      <c r="C14" s="10"/>
      <c r="D14" s="10"/>
      <c r="E14" s="10"/>
    </row>
    <row r="15" spans="1:12" x14ac:dyDescent="0.25">
      <c r="A15" s="10" t="s">
        <v>278</v>
      </c>
      <c r="B15" s="10" t="s">
        <v>274</v>
      </c>
      <c r="C15" s="10"/>
      <c r="D15" s="10"/>
      <c r="E15" s="10"/>
    </row>
    <row r="16" spans="1:12" x14ac:dyDescent="0.25">
      <c r="A16" s="10" t="s">
        <v>279</v>
      </c>
      <c r="B16" s="10" t="s">
        <v>32</v>
      </c>
      <c r="C16" s="10"/>
      <c r="D16" s="10"/>
      <c r="E16" s="10"/>
    </row>
    <row r="17" spans="1:5" x14ac:dyDescent="0.25">
      <c r="A17" s="10" t="s">
        <v>280</v>
      </c>
      <c r="B17" s="10" t="s">
        <v>8</v>
      </c>
      <c r="C17" s="10"/>
      <c r="D17" s="10"/>
      <c r="E17" s="10"/>
    </row>
    <row r="18" spans="1:5" x14ac:dyDescent="0.25">
      <c r="A18" s="10" t="s">
        <v>270</v>
      </c>
      <c r="B18" s="10" t="s">
        <v>8</v>
      </c>
      <c r="C18" s="10"/>
      <c r="D18" s="10"/>
      <c r="E18" s="10"/>
    </row>
    <row r="19" spans="1:5" x14ac:dyDescent="0.25">
      <c r="A19" s="10" t="s">
        <v>264</v>
      </c>
      <c r="B19" s="10" t="s">
        <v>3</v>
      </c>
      <c r="C19" s="10"/>
      <c r="D19" s="10"/>
      <c r="E19" s="10"/>
    </row>
    <row r="20" spans="1:5" x14ac:dyDescent="0.25">
      <c r="A20" s="10" t="s">
        <v>281</v>
      </c>
      <c r="B20" s="10" t="s">
        <v>38</v>
      </c>
      <c r="C20" s="10"/>
      <c r="D20" s="10"/>
      <c r="E20" s="10"/>
    </row>
    <row r="21" spans="1:5" x14ac:dyDescent="0.25">
      <c r="A21" s="10" t="s">
        <v>101</v>
      </c>
      <c r="B21" s="10" t="s">
        <v>6</v>
      </c>
      <c r="C21" s="10"/>
      <c r="D21" s="10"/>
      <c r="E21" s="10"/>
    </row>
    <row r="22" spans="1:5" x14ac:dyDescent="0.25">
      <c r="A22" s="10" t="s">
        <v>282</v>
      </c>
      <c r="B22" s="10" t="s">
        <v>8</v>
      </c>
      <c r="C22" s="10"/>
      <c r="D22" s="10"/>
      <c r="E22" s="10"/>
    </row>
    <row r="23" spans="1:5" x14ac:dyDescent="0.25">
      <c r="A23" s="10" t="s">
        <v>270</v>
      </c>
      <c r="B23" s="10" t="s">
        <v>8</v>
      </c>
      <c r="C23" s="10"/>
      <c r="D23" s="10"/>
      <c r="E23" s="10"/>
    </row>
    <row r="24" spans="1:5" x14ac:dyDescent="0.25">
      <c r="A24" s="10" t="s">
        <v>264</v>
      </c>
      <c r="B24" s="10" t="s">
        <v>3</v>
      </c>
      <c r="C24" s="10"/>
      <c r="D24" s="10"/>
      <c r="E24" s="10"/>
    </row>
    <row r="25" spans="1:5" x14ac:dyDescent="0.25">
      <c r="A25" s="10" t="s">
        <v>281</v>
      </c>
      <c r="B25" s="10" t="s">
        <v>38</v>
      </c>
      <c r="C25" s="10"/>
      <c r="D25" s="10"/>
      <c r="E25" s="10"/>
    </row>
    <row r="26" spans="1:5" x14ac:dyDescent="0.25">
      <c r="A26" s="10" t="s">
        <v>133</v>
      </c>
      <c r="B26" s="10" t="s">
        <v>40</v>
      </c>
      <c r="C26" s="10"/>
      <c r="D26" s="10"/>
      <c r="E26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Standalone Profit and Loss</vt:lpstr>
      <vt:lpstr>Consolidated Profit and Loss</vt:lpstr>
      <vt:lpstr>Standalone Balance Sheet</vt:lpstr>
      <vt:lpstr>Consolidated Balance Sheet</vt:lpstr>
      <vt:lpstr>Standalone Cash Flows</vt:lpstr>
      <vt:lpstr>Consolidated Cash Flows</vt:lpstr>
      <vt:lpstr>Consolidated Segment Reporting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2026-03-16T05:34:36Z</dcterms:created>
  <dcterms:modified xsi:type="dcterms:W3CDTF">2026-03-25T10:26:21Z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2026-03-23T11:12:27Z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3c7eece8-78bf-45c8-ad52-4d4ac30d8b5b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