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3-03-2026\"/>
    </mc:Choice>
  </mc:AlternateContent>
  <xr:revisionPtr revIDLastSave="0" documentId="13_ncr:1_{EEF52B09-A4C9-4ED0-A25B-9ABB66E198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and Loss" sheetId="4" r:id="rId1"/>
    <sheet name="Consolidated Profit and Loss" sheetId="2" r:id="rId2"/>
    <sheet name="Standalone Balance Sheet" sheetId="5" r:id="rId3"/>
    <sheet name="Consolidated Balance Sheet" sheetId="3" r:id="rId4"/>
    <sheet name="Standalone Cash Flows" sheetId="6" r:id="rId5"/>
    <sheet name="Consolidated Cash Flows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1" i="1"/>
  <c r="H2" i="3"/>
  <c r="H1" i="3"/>
  <c r="H2" i="5"/>
  <c r="H1" i="5"/>
  <c r="H2" i="2"/>
  <c r="H1" i="2"/>
  <c r="H2" i="4"/>
  <c r="H1" i="4"/>
  <c r="H2" i="6"/>
  <c r="H1" i="6"/>
  <c r="H3" i="1" l="1"/>
  <c r="H3" i="6"/>
  <c r="H3" i="3"/>
  <c r="H3" i="5"/>
  <c r="H3" i="2"/>
  <c r="H3" i="4"/>
</calcChain>
</file>

<file path=xl/sharedStrings.xml><?xml version="1.0" encoding="utf-8"?>
<sst xmlns="http://schemas.openxmlformats.org/spreadsheetml/2006/main" count="996" uniqueCount="307">
  <si>
    <t>Particulars</t>
  </si>
  <si>
    <t>Cogencis Field</t>
  </si>
  <si>
    <t>Adjustments for :</t>
  </si>
  <si>
    <t>Lable</t>
  </si>
  <si>
    <t>Depreciation and Amortisation Expense</t>
  </si>
  <si>
    <t>Gain on Fair Valuation of Investments</t>
  </si>
  <si>
    <t>Profit On Sale Of Investments</t>
  </si>
  <si>
    <t>Gain on Fair Valuation of SGST / VAT Deferment Loan</t>
  </si>
  <si>
    <t>Payments of lease liabilities</t>
  </si>
  <si>
    <t>Unrealised Exchange ( Gain)/ Loss</t>
  </si>
  <si>
    <t>Foreign Exchange Gain / Loss</t>
  </si>
  <si>
    <t>Share in ( Profit ) / Loss on equity accounted investment</t>
  </si>
  <si>
    <t>Share Of Profit &amp; Loss from Partnership Firm or Association of Persons Etc</t>
  </si>
  <si>
    <t>Impairment of Assets</t>
  </si>
  <si>
    <t>Impairment loss / (Reversal of Impairment Loss)</t>
  </si>
  <si>
    <t>Compensation Expenses under Employees Stock Options Scheme</t>
  </si>
  <si>
    <t>Employees Stock Options Grants</t>
  </si>
  <si>
    <t>Allowances for credit losses on Advances / debts ( net )</t>
  </si>
  <si>
    <t>Provision For Doubtful Debts</t>
  </si>
  <si>
    <t>Bad Debts Written - off</t>
  </si>
  <si>
    <t>Bad Debts Written Off</t>
  </si>
  <si>
    <t>Excess Provision / unclaimed liabilities written back ( net )</t>
  </si>
  <si>
    <t>Provision for Stamp Duty on Business Combination</t>
  </si>
  <si>
    <t>Interest Income</t>
  </si>
  <si>
    <t>Interest Received</t>
  </si>
  <si>
    <t>Finance Costs</t>
  </si>
  <si>
    <t>Interest Expense</t>
  </si>
  <si>
    <t>Profit on Sale / Retirement of Property Plant and Equipment</t>
  </si>
  <si>
    <t>Profit On Sale Of Fixed Assets</t>
  </si>
  <si>
    <t>Profit on Sale of Current and Non - Current Investments ( net )</t>
  </si>
  <si>
    <t>Movements in working capital :</t>
  </si>
  <si>
    <t>(Decrease)/ Increase in Trade payables and other Liabilities</t>
  </si>
  <si>
    <t>Trade Payables And Others</t>
  </si>
  <si>
    <t>Increase in Provisions</t>
  </si>
  <si>
    <t>Provisions</t>
  </si>
  <si>
    <t>Decrease in Trade receivables</t>
  </si>
  <si>
    <t>Trade And Other Receivables</t>
  </si>
  <si>
    <t>Increase in Inventories</t>
  </si>
  <si>
    <t>Inventories</t>
  </si>
  <si>
    <t>(Increase ) / Decrease in Financial and Other Assets</t>
  </si>
  <si>
    <t>Adjustments for other financial assets, non-current</t>
  </si>
  <si>
    <t>Cash generated from Operations</t>
  </si>
  <si>
    <t>Cash Generated From Operations</t>
  </si>
  <si>
    <t>Taxes paid ( net of refund )</t>
  </si>
  <si>
    <t>Income Tax Paid</t>
  </si>
  <si>
    <t>Net Cash generated from Operating Activities</t>
  </si>
  <si>
    <t>Net Cash Flow From Operating Activities</t>
  </si>
  <si>
    <t>Cash Flow from Investing Activities :</t>
  </si>
  <si>
    <t>Purchase of Property Plant and Equipment</t>
  </si>
  <si>
    <t>Purchase Of Fixed Assets (Tangible / Intangible)</t>
  </si>
  <si>
    <t>Proceeds from Sale of Property Plant and Equipment</t>
  </si>
  <si>
    <t>Sale Of Fixed Assets (Tangible / Intangible)</t>
  </si>
  <si>
    <t>(Purchase ) / Redemption of Liquid Investment ( net )</t>
  </si>
  <si>
    <t>Purchase Of Investments</t>
  </si>
  <si>
    <t>Purchase of Investments</t>
  </si>
  <si>
    <t>Proceeds from Sale of Investments</t>
  </si>
  <si>
    <t>Sale Of Investments</t>
  </si>
  <si>
    <t>Redemption of Non - Current Fixed Deposits with Bank and Others</t>
  </si>
  <si>
    <t>Fixed Deposits</t>
  </si>
  <si>
    <t>Investment in Joint Venture and Associates</t>
  </si>
  <si>
    <t>Investments in Subsidiaries and/or Joint Ventures</t>
  </si>
  <si>
    <t>Acquisition of Equity Shares in Subsidiary</t>
  </si>
  <si>
    <t>Others-From Operations</t>
  </si>
  <si>
    <t>Acquisition of Equity Shares in Step - down Subsidiary</t>
  </si>
  <si>
    <t>Redemption / ( Investment ) in Other Bank deposits and Others</t>
  </si>
  <si>
    <t>Investment in Other Non - Current Equity Investments ( Net )</t>
  </si>
  <si>
    <t>Others-Investing Activities</t>
  </si>
  <si>
    <t>Proceeds from Sale of Shares in Subsidiary</t>
  </si>
  <si>
    <t>Proceeds From Issue Of Equity Shares (Inclu Share Premium)</t>
  </si>
  <si>
    <t>Dividend Received</t>
  </si>
  <si>
    <t>Net Cash used In Investing Activities</t>
  </si>
  <si>
    <t>Net Cash Flow From Investing Activities</t>
  </si>
  <si>
    <t>Cash Flow from Financing Activities :</t>
  </si>
  <si>
    <t>Proceeds from Issue of Share Capital on exercise of ESOS</t>
  </si>
  <si>
    <t>Purchase of Treasury Shares</t>
  </si>
  <si>
    <t>Others-Financing Activities</t>
  </si>
  <si>
    <t>Proceeds from Issue of Treasury Shares</t>
  </si>
  <si>
    <t>Repayment of Non - Current Borrowings</t>
  </si>
  <si>
    <t>Repayment Of Long Term Borrowings</t>
  </si>
  <si>
    <t>Proceeds from Non - Current Borrowings</t>
  </si>
  <si>
    <t>Proceeds From Long Term Borrowings</t>
  </si>
  <si>
    <t>Proceeds from Current Borrowings ( net )</t>
  </si>
  <si>
    <t>Proceeds From Short Term Borrowings</t>
  </si>
  <si>
    <t>Repayment of Principal towards Lease Liabilities</t>
  </si>
  <si>
    <t>Repayment Of Financial Liablities</t>
  </si>
  <si>
    <t>Payment of Interest on Lease Liabilities</t>
  </si>
  <si>
    <t>Payments of finance lease liabilities</t>
  </si>
  <si>
    <t>Interest Paid</t>
  </si>
  <si>
    <t>Dividend Paid</t>
  </si>
  <si>
    <t>Net Cash ( used in ) / generated from Financing Activities</t>
  </si>
  <si>
    <t>Net Cash Flow From Financing Activities</t>
  </si>
  <si>
    <t>Net Decrease in Cash and Cash Equivalents</t>
  </si>
  <si>
    <t>Net Increase in Cash and Cash Equivalents</t>
  </si>
  <si>
    <t>Cash and Cash Equivalents as at beginning of the period</t>
  </si>
  <si>
    <t>Cash and Cash Equivalents at the Beginning of the Year</t>
  </si>
  <si>
    <t>Cash and Cash Equivalents acquired from Ras Al Khaimah Co for White Cement &amp; Construction Materials P.S.C(RAKWCT )</t>
  </si>
  <si>
    <t>Cash and Cash Equivalents transferred from Kesoram Industries Limited</t>
  </si>
  <si>
    <t>Cash and Cash Equivalents transferred from Birla White Wall Care Private Limited</t>
  </si>
  <si>
    <t>Effect of Exchange rate fluctuation on Cash and Cash Equivalents</t>
  </si>
  <si>
    <t>Effect of Exchange Fluctuation Translation Reserve</t>
  </si>
  <si>
    <t>Cash and Cash Equivalents at the end of the period</t>
  </si>
  <si>
    <t>Cash and Cash Equivalents at the End of the Year</t>
  </si>
  <si>
    <t>Other Income</t>
  </si>
  <si>
    <t>Miscellaneous Income</t>
  </si>
  <si>
    <t>Total Income</t>
  </si>
  <si>
    <t>Expenses</t>
  </si>
  <si>
    <t>Cost of Materials Consumed</t>
  </si>
  <si>
    <t>Purchases of Stock - in - Trade</t>
  </si>
  <si>
    <t>Purchase of Stock-in-Trade</t>
  </si>
  <si>
    <t>Changes in Inventories of Finished Goods Stock - in - Trade and Work - in - Progress</t>
  </si>
  <si>
    <t>Changes in Inventories of Finished Goods, Work-In-Progress and Stock-In-Trade</t>
  </si>
  <si>
    <t>Employee Benefits Expense</t>
  </si>
  <si>
    <t>Employee Benefit Expense</t>
  </si>
  <si>
    <t>Depreciation, Depletion and Amortisation Expense</t>
  </si>
  <si>
    <t>Power and Fuel Expense</t>
  </si>
  <si>
    <t>Operating Expenses</t>
  </si>
  <si>
    <t>Freight and Forwarding Expense</t>
  </si>
  <si>
    <t>Other Expenses</t>
  </si>
  <si>
    <t>Total Expenses</t>
  </si>
  <si>
    <t>Profit before Exceptional Items Share in Profit / ( Loss ) of Associates and Joint Venture and Tax Expense</t>
  </si>
  <si>
    <t>Profit/(Loss) from ordinary activities after finance costs but before exceptional items</t>
  </si>
  <si>
    <t>Exceptional Items : Stamp Duty on Business Combinations</t>
  </si>
  <si>
    <t>Impairment on Investment / Asset Held for Sale</t>
  </si>
  <si>
    <t>Items that will not be reclassified to Profit or Loss</t>
  </si>
  <si>
    <t>Share in ( Loss ) / Profit of Associates and Joint Venture ( net of Tax expense )</t>
  </si>
  <si>
    <t>Share of Profit/(loss) of associates and Joint Ventures before ebt</t>
  </si>
  <si>
    <t>Profit before Tax Expense</t>
  </si>
  <si>
    <t>Profit/(Loss) from Ordinary Activities after Finance Costs but before Exceptional Items</t>
  </si>
  <si>
    <t>Tax Expenses</t>
  </si>
  <si>
    <t>Current Tax Charge</t>
  </si>
  <si>
    <t>Tax Expense</t>
  </si>
  <si>
    <t>Deferred Tax Charge</t>
  </si>
  <si>
    <t>Deferred Tax</t>
  </si>
  <si>
    <t>Net Profit for the period</t>
  </si>
  <si>
    <t>Net Profit/(Loss) for the Period</t>
  </si>
  <si>
    <t>(Loss) / Profit attributable to Non - Controlling Interest</t>
  </si>
  <si>
    <t>Non-Controlling Interests</t>
  </si>
  <si>
    <t>Profit attributable to the Owners of the Parent</t>
  </si>
  <si>
    <t>Other Comprehensive Income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</si>
  <si>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</si>
  <si>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</si>
  <si>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</si>
  <si>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</si>
  <si>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</si>
  <si>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</si>
  <si>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</si>
  <si>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Other Comprehensive Income / ( Loss ) for the period</t>
  </si>
  <si>
    <t>Comprehensive Income Attributable To [Total]</t>
  </si>
  <si>
    <t>Other Comprehensive Income / ( Loss ) attributable to Non - Controlling Interest</t>
  </si>
  <si>
    <t>Other Comprehensive Income / ( Loss ) attributable to Owners of the Parent</t>
  </si>
  <si>
    <t>Total Comprehensive Income for the period</t>
  </si>
  <si>
    <t>Total Comprehensive Gain (Loss) For the Year</t>
  </si>
  <si>
    <t>Total Comprehensive Income / ( Loss ) attributable to Non - Controlling Interest</t>
  </si>
  <si>
    <t>Total Field</t>
  </si>
  <si>
    <t>Total Comprehensive Income attributable to Owners of the Parent</t>
  </si>
  <si>
    <t>Paid - up Equity Share Capital ( Face value ? 10/- per share )</t>
  </si>
  <si>
    <t>Paid-Up Equity Share Capital</t>
  </si>
  <si>
    <t>Other Equity</t>
  </si>
  <si>
    <t>Reserve excluding Revaluation Reserves (as per Balance Sheet of Previous Accounting Year)</t>
  </si>
  <si>
    <t>Earnings per equity share ( of ? 10/-each ) ( Not Annualised ):</t>
  </si>
  <si>
    <t>Basic ( in E )</t>
  </si>
  <si>
    <t>Basic EPS</t>
  </si>
  <si>
    <t>Diluted ( in ? )</t>
  </si>
  <si>
    <t>Diluted EPS</t>
  </si>
  <si>
    <t>Property Plant and Equipment</t>
  </si>
  <si>
    <t>Property, Plant &amp; Equipment</t>
  </si>
  <si>
    <t>Capital Work - in - Progress</t>
  </si>
  <si>
    <t>Capital Work-In-Progress</t>
  </si>
  <si>
    <t>Goodwill</t>
  </si>
  <si>
    <t>Other Intangible Assets</t>
  </si>
  <si>
    <t>Intangible Assets under Development</t>
  </si>
  <si>
    <t>Intangible assets under development</t>
  </si>
  <si>
    <t>Right - of - Use Assets</t>
  </si>
  <si>
    <t>Right-of-use asset</t>
  </si>
  <si>
    <t>Investments Accounted using Equity Method</t>
  </si>
  <si>
    <t>Investment accounted for using Equity method</t>
  </si>
  <si>
    <t>Financial Assets :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</si>
  <si>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</si>
  <si>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</si>
  <si>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</si>
  <si>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</si>
  <si>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</si>
  <si>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</si>
  <si>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Deferred Tax Assets ( Net )</t>
  </si>
  <si>
    <t>Deferred Tax Assets (Net)</t>
  </si>
  <si>
    <t>Income Tax Assets ( Net )</t>
  </si>
  <si>
    <t>Income tax assets (net)</t>
  </si>
  <si>
    <t>Other Non - Current Assets</t>
  </si>
  <si>
    <t>Other Non-Current Assets</t>
  </si>
  <si>
    <t>Sub - Total Non - Current Assets</t>
  </si>
  <si>
    <t>Total Non-Current Assets</t>
  </si>
  <si>
    <t>Current Assets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</si>
  <si>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</si>
  <si>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</si>
  <si>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</si>
  <si>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</si>
  <si>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</si>
  <si>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Other Current Assets</t>
  </si>
  <si>
    <t>Sub - Total Current Assets</t>
  </si>
  <si>
    <t>Total Current Assets</t>
  </si>
  <si>
    <t>Assets held for sale</t>
  </si>
  <si>
    <t>Assets classified as held for sale</t>
  </si>
  <si>
    <t>TOTAL -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</si>
  <si>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</si>
  <si>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</si>
  <si>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</si>
  <si>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</si>
  <si>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</si>
  <si>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</si>
  <si>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Share Application Money Pending Allotment</t>
  </si>
  <si>
    <t>Share application money pending allotment</t>
  </si>
  <si>
    <t>Non - Controlling Interest</t>
  </si>
  <si>
    <t>Minority Interest</t>
  </si>
  <si>
    <t>LIABILITIES</t>
  </si>
  <si>
    <t>Non - Current Liabilities</t>
  </si>
  <si>
    <t>Financial Liabilities :</t>
  </si>
  <si>
    <t>Borrowings</t>
  </si>
  <si>
    <t>Lease Liabilities</t>
  </si>
  <si>
    <t>Lease liabilities</t>
  </si>
  <si>
    <t>Other Financial Liabilities</t>
  </si>
  <si>
    <t>Other Non Current Financial Liabilities</t>
  </si>
  <si>
    <t>Non - Current 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</si>
  <si>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</si>
  <si>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</si>
  <si>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</si>
  <si>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</si>
  <si>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</si>
  <si>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Sub - Total - Non - Current Liabilities</t>
  </si>
  <si>
    <t>Total Non-Current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</si>
  <si>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</si>
  <si>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</si>
  <si>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</si>
  <si>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</si>
  <si>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other than Micro Enterprises and Small Enterprises</t>
  </si>
  <si>
    <t>Other Current Liabilities</t>
  </si>
  <si>
    <t>Other liabilities</t>
  </si>
  <si>
    <t>Current Tax Liabilities ( Net )</t>
  </si>
  <si>
    <t>Current Tax Liabilities (Net)</t>
  </si>
  <si>
    <t>Sub - Total - Current Liabilities</t>
  </si>
  <si>
    <t>TOTAL - EQUITY AND LIABILITIES</t>
  </si>
  <si>
    <t>Total Equity And Liabilities</t>
  </si>
  <si>
    <t>Purchases of Stock - In - Trade</t>
  </si>
  <si>
    <t>Changes in Inventories of Finished Goods Stock - in - Trade and Work-in-Progress</t>
  </si>
  <si>
    <t>Profit before Exceptional Item and Tax Expense</t>
  </si>
  <si>
    <t>Exceptional Item : Stamp Duty on Business Combinations</t>
  </si>
  <si>
    <t xml:space="preserve">Net Profit for the period </t>
  </si>
  <si>
    <t>Other Comprehensive Income/(Loss ) for the period</t>
  </si>
  <si>
    <t>Paid - up Equity Share Capital ( Face Value   10/- Per Share )</t>
  </si>
  <si>
    <t>Earnings per equity share ( of e 10/- each ) ( Not Annualised ):</t>
  </si>
  <si>
    <t>Basic ( in ? )</t>
  </si>
  <si>
    <t>Diluted ( In ? )</t>
  </si>
  <si>
    <t>Right of Use Assets</t>
  </si>
  <si>
    <t>Sub Total Non - Current Assets</t>
  </si>
  <si>
    <t>Sub Total Current Assets</t>
  </si>
  <si>
    <t>Assets Held for Sale</t>
  </si>
  <si>
    <t>Sub Total - Non Current Liabilities</t>
  </si>
  <si>
    <t>Sub Total   Current Liabilities</t>
  </si>
  <si>
    <t>Total Current Liabilities</t>
  </si>
  <si>
    <t>Gain on Fair Valuation of SGST Deferment Loan</t>
  </si>
  <si>
    <t>Allowances for Credit Losses on Advances / Debts ( net )</t>
  </si>
  <si>
    <t>Excess Provision/ Unclaimed Liabilities written back ( net )</t>
  </si>
  <si>
    <t>Interest and Dividend Income</t>
  </si>
  <si>
    <t>Financa Costs</t>
  </si>
  <si>
    <t>Unrealised Foreign Exchange Gain</t>
  </si>
  <si>
    <t>Loss/(Profit ) on Sale of Property Plant and Equipment ( net )</t>
  </si>
  <si>
    <t>Decrease In Trade payables and other Liabilities</t>
  </si>
  <si>
    <t>Increase)Decrease in Trade receivables</t>
  </si>
  <si>
    <t>Decrease/(Increase ) in Financial and Other Assets</t>
  </si>
  <si>
    <t>Taxes paid ( net of refunds )</t>
  </si>
  <si>
    <t>(Purchase)/Redemption of Liquid Investment ( net )</t>
  </si>
  <si>
    <t>Redemption of Non - Current Fixed Deposits with Bank</t>
  </si>
  <si>
    <t>Investment in Other Bank deposits</t>
  </si>
  <si>
    <t>Investment in Subsidiaries/ Joint Venture and Associates</t>
  </si>
  <si>
    <t>Investment in Other Non - Current Equity Investments</t>
  </si>
  <si>
    <t>Inter Corporate Deposit given to Subsidiary</t>
  </si>
  <si>
    <t>Interest Paid on Lease Liabilities</t>
  </si>
  <si>
    <t>Net Cash (used)/generated from in Financing Activities</t>
  </si>
  <si>
    <t>Net Decrease In Cash and Cash Equivalents</t>
  </si>
  <si>
    <t>Cash and Cash Equivalents at the beginning of the period</t>
  </si>
  <si>
    <t>Cash and Cash Equivalents transferred from Kesoram Industries Limited ( Kesoram )</t>
  </si>
  <si>
    <t>Status</t>
  </si>
  <si>
    <t>Correct Field Mapping</t>
  </si>
  <si>
    <t>Field id</t>
  </si>
  <si>
    <t>Correct</t>
  </si>
  <si>
    <t>Incorrect</t>
  </si>
  <si>
    <t>Accuracy %</t>
  </si>
  <si>
    <t>Revenue from Operations</t>
  </si>
  <si>
    <t>The ‘Revenue from Operations’ field is not captured and has been added manually.</t>
  </si>
  <si>
    <t>Label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</si>
  <si>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</si>
  <si>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</si>
  <si>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</si>
  <si>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</si>
  <si>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</si>
  <si>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Other Adjustments</t>
  </si>
  <si>
    <t>correct</t>
  </si>
  <si>
    <t>Other Exceptional Items</t>
  </si>
  <si>
    <t>Profit/(Loss) From Ordinary Activities before Tax</t>
  </si>
  <si>
    <t>Owners of the company</t>
  </si>
  <si>
    <t>Others-Before Working Capital Changes</t>
  </si>
  <si>
    <t>Inter Corporate Deposits</t>
  </si>
  <si>
    <t>Power and Fuel</t>
  </si>
  <si>
    <t>Freight &amp; Handling Expenses</t>
  </si>
  <si>
    <t>Goodwill On Consolidation</t>
  </si>
  <si>
    <t>Current Tax Assets (Net)</t>
  </si>
  <si>
    <t>Investment In Subsidiaries</t>
  </si>
  <si>
    <t>Ignored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</si>
</sst>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0" borderId="0" xfId="0" applyAlignment="1">
      <alignment vertical="center"/>
    </xf>
    <xf numFmtId="0" fontId="0" fillId="2" borderId="1" xfId="0" applyFill="1" applyBorder="1"/>
    <xf numFmtId="0" fontId="0" fillId="0" borderId="8" xfId="0" applyBorder="1"/>
    <xf numFmtId="0" fontId="3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tabSelected="1" zoomScale="94" workbookViewId="0"/>
  </sheetViews>
  <sheetFormatPr defaultRowHeight="15" x14ac:dyDescent="0.25"/>
  <cols>
    <col min="1" max="1" width="51.140625" customWidth="1"/>
    <col min="2" max="2" width="57.5703125" customWidth="1"/>
    <col min="3" max="3" width="9" bestFit="1" customWidth="1"/>
    <col min="4" max="4" width="44.855468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280</v>
      </c>
      <c r="D1" s="2" t="s">
        <v>281</v>
      </c>
      <c r="E1" s="3" t="s">
        <v>282</v>
      </c>
      <c r="G1" s="4" t="s">
        <v>283</v>
      </c>
      <c r="H1" s="5">
        <f>COUNTIF(C:C,G1)</f>
        <v>26</v>
      </c>
    </row>
    <row r="2" spans="1:8" x14ac:dyDescent="0.25">
      <c r="A2" t="s">
        <v>286</v>
      </c>
      <c r="B2" s="10"/>
      <c r="C2" s="10" t="s">
        <v>284</v>
      </c>
      <c r="D2" s="11" t="s">
        <v>287</v>
      </c>
      <c r="E2" s="3"/>
      <c r="G2" s="6" t="s">
        <v>284</v>
      </c>
      <c r="H2" s="7">
        <f>COUNTIF(C:C,G2)</f>
        <v>7</v>
      </c>
    </row>
    <row r="3" spans="1:8" ht="15.75" thickBot="1" x14ac:dyDescent="0.3">
      <c r="A3" s="10" t="s">
        <v>102</v>
      </c>
      <c r="B3" s="10" t="s">
        <v>103</v>
      </c>
      <c r="C3" s="10" t="s">
        <v>283</v>
      </c>
      <c r="D3" s="10"/>
      <c r="E3" s="10"/>
      <c r="G3" s="8" t="s">
        <v>285</v>
      </c>
      <c r="H3" s="9">
        <f>H1/SUM(H1:H2)</f>
        <v>0.78787878787878785</v>
      </c>
    </row>
    <row r="4" spans="1:8" x14ac:dyDescent="0.25">
      <c r="A4" s="10" t="s">
        <v>104</v>
      </c>
      <c r="B4" s="10" t="s">
        <v>104</v>
      </c>
      <c r="C4" s="10" t="s">
        <v>283</v>
      </c>
      <c r="D4" s="10"/>
      <c r="E4" s="10"/>
    </row>
    <row r="5" spans="1:8" x14ac:dyDescent="0.25">
      <c r="A5" s="10" t="s">
        <v>105</v>
      </c>
      <c r="B5" s="10" t="s">
        <v>3</v>
      </c>
      <c r="C5" s="10" t="s">
        <v>283</v>
      </c>
      <c r="D5" s="10"/>
      <c r="E5" s="10"/>
    </row>
    <row r="6" spans="1:8" x14ac:dyDescent="0.25">
      <c r="A6" s="10" t="s">
        <v>106</v>
      </c>
      <c r="B6" s="10" t="s">
        <v>106</v>
      </c>
      <c r="C6" s="10" t="s">
        <v>283</v>
      </c>
      <c r="D6" s="10"/>
      <c r="E6" s="10"/>
    </row>
    <row r="7" spans="1:8" x14ac:dyDescent="0.25">
      <c r="A7" s="10" t="s">
        <v>241</v>
      </c>
      <c r="B7" s="10" t="s">
        <v>108</v>
      </c>
      <c r="C7" s="10" t="s">
        <v>283</v>
      </c>
      <c r="D7" s="10"/>
      <c r="E7" s="10"/>
    </row>
    <row r="8" spans="1:8" x14ac:dyDescent="0.25">
      <c r="A8" s="10" t="s">
        <v>242</v>
      </c>
      <c r="B8" s="10" t="s">
        <v>110</v>
      </c>
      <c r="C8" s="10" t="s">
        <v>283</v>
      </c>
      <c r="D8" s="10"/>
      <c r="E8" s="10"/>
    </row>
    <row r="9" spans="1:8" x14ac:dyDescent="0.25">
      <c r="A9" s="10" t="s">
        <v>111</v>
      </c>
      <c r="B9" s="10" t="s">
        <v>112</v>
      </c>
      <c r="C9" s="10" t="s">
        <v>283</v>
      </c>
      <c r="D9" s="10"/>
      <c r="E9" s="10"/>
    </row>
    <row r="10" spans="1:8" x14ac:dyDescent="0.25">
      <c r="A10" s="10" t="s">
        <v>25</v>
      </c>
      <c r="B10" s="10" t="s">
        <v>25</v>
      </c>
      <c r="C10" s="10" t="s">
        <v>283</v>
      </c>
      <c r="D10" s="10"/>
      <c r="E10" s="10"/>
    </row>
    <row r="11" spans="1:8" x14ac:dyDescent="0.25">
      <c r="A11" s="10" t="s">
        <v>4</v>
      </c>
      <c r="B11" s="10" t="s">
        <v>113</v>
      </c>
      <c r="C11" s="10" t="s">
        <v>283</v>
      </c>
      <c r="D11" s="10"/>
      <c r="E11" s="10"/>
    </row>
    <row r="12" spans="1:8" x14ac:dyDescent="0.25">
      <c r="A12" s="10" t="s">
        <v>114</v>
      </c>
      <c r="B12" s="10" t="s">
        <v>115</v>
      </c>
      <c r="C12" s="10" t="s">
        <v>284</v>
      </c>
      <c r="D12" s="10" t="s">
        <v>301</v>
      </c>
      <c r="E12" s="12">
        <v>297</v>
      </c>
    </row>
    <row r="13" spans="1:8" x14ac:dyDescent="0.25">
      <c r="A13" s="10" t="s">
        <v>116</v>
      </c>
      <c r="B13" s="10" t="s">
        <v>117</v>
      </c>
      <c r="C13" s="10" t="s">
        <v>284</v>
      </c>
      <c r="D13" s="10" t="s">
        <v>302</v>
      </c>
      <c r="E13" s="12">
        <v>248</v>
      </c>
    </row>
    <row r="14" spans="1:8" x14ac:dyDescent="0.25">
      <c r="A14" s="10" t="s">
        <v>117</v>
      </c>
      <c r="B14" s="10" t="s">
        <v>117</v>
      </c>
      <c r="C14" s="10" t="s">
        <v>283</v>
      </c>
      <c r="D14" s="10"/>
      <c r="E14" s="10"/>
    </row>
    <row r="15" spans="1:8" x14ac:dyDescent="0.25">
      <c r="A15" s="10" t="s">
        <v>118</v>
      </c>
      <c r="B15" s="10" t="s">
        <v>118</v>
      </c>
      <c r="C15" s="10" t="s">
        <v>283</v>
      </c>
      <c r="D15" s="10"/>
      <c r="E15" s="10"/>
    </row>
    <row r="16" spans="1:8" x14ac:dyDescent="0.25">
      <c r="A16" s="10" t="s">
        <v>243</v>
      </c>
      <c r="B16" s="10" t="s">
        <v>127</v>
      </c>
      <c r="C16" s="10" t="s">
        <v>283</v>
      </c>
      <c r="D16" s="10"/>
      <c r="E16" s="10"/>
    </row>
    <row r="17" spans="1:5" x14ac:dyDescent="0.25">
      <c r="A17" s="10" t="s">
        <v>244</v>
      </c>
      <c r="B17" s="10" t="s">
        <v>127</v>
      </c>
      <c r="C17" s="10" t="s">
        <v>284</v>
      </c>
      <c r="D17" s="10" t="s">
        <v>296</v>
      </c>
      <c r="E17" s="12">
        <v>278</v>
      </c>
    </row>
    <row r="18" spans="1:5" x14ac:dyDescent="0.25">
      <c r="A18" s="10" t="s">
        <v>126</v>
      </c>
      <c r="B18" s="10" t="s">
        <v>127</v>
      </c>
      <c r="C18" s="10" t="s">
        <v>284</v>
      </c>
      <c r="D18" s="10" t="s">
        <v>297</v>
      </c>
      <c r="E18" s="12">
        <v>296</v>
      </c>
    </row>
    <row r="19" spans="1:5" x14ac:dyDescent="0.25">
      <c r="A19" s="10" t="s">
        <v>130</v>
      </c>
      <c r="B19" s="10" t="s">
        <v>130</v>
      </c>
      <c r="C19" s="10" t="s">
        <v>284</v>
      </c>
      <c r="D19" s="10" t="s">
        <v>288</v>
      </c>
      <c r="E19" s="10"/>
    </row>
    <row r="20" spans="1:5" x14ac:dyDescent="0.25">
      <c r="A20" s="10" t="s">
        <v>129</v>
      </c>
      <c r="B20" s="10" t="s">
        <v>130</v>
      </c>
      <c r="C20" s="10" t="s">
        <v>283</v>
      </c>
      <c r="D20" s="10"/>
      <c r="E20" s="10"/>
    </row>
    <row r="21" spans="1:5" x14ac:dyDescent="0.25">
      <c r="A21" s="10" t="s">
        <v>131</v>
      </c>
      <c r="B21" s="10" t="s">
        <v>132</v>
      </c>
      <c r="C21" s="10" t="s">
        <v>283</v>
      </c>
      <c r="D21" s="10"/>
      <c r="E21" s="10"/>
    </row>
    <row r="22" spans="1:5" x14ac:dyDescent="0.25">
      <c r="A22" s="10" t="s">
        <v>245</v>
      </c>
      <c r="B22" s="10" t="s">
        <v>134</v>
      </c>
      <c r="C22" s="10" t="s">
        <v>283</v>
      </c>
      <c r="D22" s="10"/>
      <c r="E22" s="10"/>
    </row>
    <row r="23" spans="1:5" x14ac:dyDescent="0.25">
      <c r="A23" s="10" t="s">
        <v>138</v>
      </c>
      <c r="B23" s="10" t="s">
        <v>3</v>
      </c>
      <c r="C23" s="10" t="s">
        <v>283</v>
      </c>
      <c r="D23" s="10"/>
      <c r="E23" s="10"/>
    </row>
    <row r="24" spans="1:5" x14ac:dyDescent="0.25">
      <c r="A24" s="10" t="s">
        <v>139</v>
      </c>
      <c r="B24" s="10" t="s">
        <v>123</v>
      </c>
      <c r="C24" s="10" t="s">
        <v>283</v>
      </c>
      <c r="D24" s="10"/>
      <c r="E24" s="10"/>
    </row>
    <row r="25" spans="1:5" x14ac:dyDescent="0.25">
      <c r="A25" s="10" t="s">
        <v>140</v>
      </c>
      <c r="B25" s="10" t="s">
        <v>141</v>
      </c>
      <c r="C25" s="10" t="s">
        <v>283</v>
      </c>
      <c r="D25" s="10"/>
      <c r="E25" s="10"/>
    </row>
    <row r="26" spans="1:5" x14ac:dyDescent="0.25">
      <c r="A26" s="10" t="s">
        <v>142</v>
      </c>
      <c r="B26" s="10" t="s">
        <v>143</v>
      </c>
      <c r="C26" s="10" t="s">
        <v>283</v>
      </c>
      <c r="D26" s="10"/>
      <c r="E26" s="10"/>
    </row>
    <row r="27" spans="1:5" x14ac:dyDescent="0.25">
      <c r="A27" s="10" t="s">
        <v>144</v>
      </c>
      <c r="B27" s="10" t="s">
        <v>145</v>
      </c>
      <c r="C27" s="10" t="s">
        <v>283</v>
      </c>
      <c r="D27" s="10"/>
      <c r="E27" s="10"/>
    </row>
    <row r="28" spans="1:5" x14ac:dyDescent="0.25">
      <c r="A28" s="10" t="s">
        <v>246</v>
      </c>
      <c r="B28" s="10" t="s">
        <v>147</v>
      </c>
      <c r="C28" s="10" t="s">
        <v>284</v>
      </c>
      <c r="D28" s="10" t="s">
        <v>138</v>
      </c>
      <c r="E28" s="12">
        <v>16484</v>
      </c>
    </row>
    <row r="29" spans="1:5" x14ac:dyDescent="0.25">
      <c r="A29" s="10" t="s">
        <v>150</v>
      </c>
      <c r="B29" s="10" t="s">
        <v>151</v>
      </c>
      <c r="C29" s="10" t="s">
        <v>283</v>
      </c>
      <c r="D29" s="10"/>
      <c r="E29" s="10"/>
    </row>
    <row r="30" spans="1:5" x14ac:dyDescent="0.25">
      <c r="A30" s="10" t="s">
        <v>247</v>
      </c>
      <c r="B30" s="10" t="s">
        <v>156</v>
      </c>
      <c r="C30" s="10" t="s">
        <v>283</v>
      </c>
      <c r="D30" s="10"/>
      <c r="E30" s="10"/>
    </row>
    <row r="31" spans="1:5" x14ac:dyDescent="0.25">
      <c r="A31" s="10" t="s">
        <v>157</v>
      </c>
      <c r="B31" s="10" t="s">
        <v>158</v>
      </c>
      <c r="C31" s="10" t="s">
        <v>283</v>
      </c>
      <c r="D31" s="10"/>
      <c r="E31" s="10"/>
    </row>
    <row r="32" spans="1:5" x14ac:dyDescent="0.25">
      <c r="A32" s="10" t="s">
        <v>248</v>
      </c>
      <c r="B32" s="10" t="s">
        <v>3</v>
      </c>
      <c r="C32" s="10" t="s">
        <v>283</v>
      </c>
      <c r="D32" s="10"/>
      <c r="E32" s="10"/>
    </row>
    <row r="33" spans="1:5" x14ac:dyDescent="0.25">
      <c r="A33" s="10" t="s">
        <v>249</v>
      </c>
      <c r="B33" s="10" t="s">
        <v>161</v>
      </c>
      <c r="C33" s="10" t="s">
        <v>283</v>
      </c>
      <c r="D33" s="10"/>
      <c r="E33" s="10"/>
    </row>
    <row r="34" spans="1:5" x14ac:dyDescent="0.25">
      <c r="A34" s="10" t="s">
        <v>250</v>
      </c>
      <c r="B34" s="10" t="s">
        <v>163</v>
      </c>
      <c r="C34" s="10" t="s">
        <v>283</v>
      </c>
      <c r="D34" s="10"/>
      <c r="E3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workbookViewId="0"/>
  </sheetViews>
  <sheetFormatPr defaultRowHeight="15" x14ac:dyDescent="0.25"/>
  <cols>
    <col min="1" max="1" width="58.85546875" customWidth="1"/>
    <col min="2" max="2" width="48.85546875" customWidth="1"/>
    <col min="3" max="3" width="8.85546875" bestFit="1" customWidth="1"/>
    <col min="4" max="4" width="40.85546875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280</v>
      </c>
      <c r="D1" s="2" t="s">
        <v>281</v>
      </c>
      <c r="E1" s="3" t="s">
        <v>282</v>
      </c>
      <c r="G1" s="4" t="s">
        <v>283</v>
      </c>
      <c r="H1" s="5">
        <f>COUNTIF(C:C,G1)</f>
        <v>28</v>
      </c>
    </row>
    <row r="2" spans="1:8" x14ac:dyDescent="0.25">
      <c r="A2" t="s">
        <v>286</v>
      </c>
      <c r="B2" s="10"/>
      <c r="C2" s="10" t="s">
        <v>284</v>
      </c>
      <c r="D2" s="11" t="s">
        <v>287</v>
      </c>
      <c r="E2" s="3"/>
      <c r="G2" s="6" t="s">
        <v>284</v>
      </c>
      <c r="H2" s="7">
        <f>COUNTIF(C:C,G2)</f>
        <v>13</v>
      </c>
    </row>
    <row r="3" spans="1:8" ht="15.75" thickBot="1" x14ac:dyDescent="0.3">
      <c r="A3" s="10" t="s">
        <v>102</v>
      </c>
      <c r="B3" s="10" t="s">
        <v>103</v>
      </c>
      <c r="C3" s="10" t="s">
        <v>283</v>
      </c>
      <c r="D3" s="10"/>
      <c r="E3" s="10"/>
      <c r="G3" s="8" t="s">
        <v>285</v>
      </c>
      <c r="H3" s="9">
        <f>H1/SUM(H1:H2)</f>
        <v>0.68292682926829273</v>
      </c>
    </row>
    <row r="4" spans="1:8" x14ac:dyDescent="0.25">
      <c r="A4" s="10" t="s">
        <v>104</v>
      </c>
      <c r="B4" s="10" t="s">
        <v>104</v>
      </c>
      <c r="C4" s="10" t="s">
        <v>283</v>
      </c>
      <c r="D4" s="10"/>
      <c r="E4" s="10"/>
    </row>
    <row r="5" spans="1:8" x14ac:dyDescent="0.25">
      <c r="A5" s="10" t="s">
        <v>105</v>
      </c>
      <c r="B5" s="10" t="s">
        <v>3</v>
      </c>
      <c r="C5" s="10" t="s">
        <v>283</v>
      </c>
      <c r="D5" s="10"/>
      <c r="E5" s="10"/>
    </row>
    <row r="6" spans="1:8" x14ac:dyDescent="0.25">
      <c r="A6" s="10" t="s">
        <v>106</v>
      </c>
      <c r="B6" s="10" t="s">
        <v>106</v>
      </c>
      <c r="C6" s="10" t="s">
        <v>283</v>
      </c>
      <c r="D6" s="10"/>
      <c r="E6" s="10"/>
    </row>
    <row r="7" spans="1:8" x14ac:dyDescent="0.25">
      <c r="A7" s="10" t="s">
        <v>107</v>
      </c>
      <c r="B7" s="10" t="s">
        <v>108</v>
      </c>
      <c r="C7" s="10" t="s">
        <v>283</v>
      </c>
      <c r="D7" s="10"/>
      <c r="E7" s="10"/>
    </row>
    <row r="8" spans="1:8" x14ac:dyDescent="0.25">
      <c r="A8" s="10" t="s">
        <v>109</v>
      </c>
      <c r="B8" s="10" t="s">
        <v>110</v>
      </c>
      <c r="C8" s="10" t="s">
        <v>283</v>
      </c>
      <c r="D8" s="10"/>
      <c r="E8" s="10"/>
    </row>
    <row r="9" spans="1:8" x14ac:dyDescent="0.25">
      <c r="A9" s="10" t="s">
        <v>111</v>
      </c>
      <c r="B9" s="10" t="s">
        <v>112</v>
      </c>
      <c r="C9" s="10" t="s">
        <v>283</v>
      </c>
      <c r="D9" s="10"/>
      <c r="E9" s="10"/>
    </row>
    <row r="10" spans="1:8" x14ac:dyDescent="0.25">
      <c r="A10" s="10" t="s">
        <v>25</v>
      </c>
      <c r="B10" s="10" t="s">
        <v>25</v>
      </c>
      <c r="C10" s="10" t="s">
        <v>283</v>
      </c>
      <c r="D10" s="10"/>
      <c r="E10" s="10"/>
    </row>
    <row r="11" spans="1:8" x14ac:dyDescent="0.25">
      <c r="A11" s="10" t="s">
        <v>4</v>
      </c>
      <c r="B11" s="10" t="s">
        <v>113</v>
      </c>
      <c r="C11" s="10" t="s">
        <v>283</v>
      </c>
      <c r="D11" s="10"/>
      <c r="E11" s="10"/>
    </row>
    <row r="12" spans="1:8" x14ac:dyDescent="0.25">
      <c r="A12" s="10" t="s">
        <v>114</v>
      </c>
      <c r="B12" s="10" t="s">
        <v>115</v>
      </c>
      <c r="C12" s="10" t="s">
        <v>284</v>
      </c>
      <c r="D12" s="10" t="s">
        <v>301</v>
      </c>
      <c r="E12" s="12">
        <v>297</v>
      </c>
    </row>
    <row r="13" spans="1:8" x14ac:dyDescent="0.25">
      <c r="A13" s="10" t="s">
        <v>116</v>
      </c>
      <c r="B13" s="10" t="s">
        <v>117</v>
      </c>
      <c r="C13" s="10" t="s">
        <v>284</v>
      </c>
      <c r="D13" s="10" t="s">
        <v>302</v>
      </c>
      <c r="E13" s="12">
        <v>248</v>
      </c>
    </row>
    <row r="14" spans="1:8" x14ac:dyDescent="0.25">
      <c r="A14" s="10" t="s">
        <v>117</v>
      </c>
      <c r="B14" s="10" t="s">
        <v>117</v>
      </c>
      <c r="C14" s="10" t="s">
        <v>283</v>
      </c>
      <c r="D14" s="10"/>
      <c r="E14" s="10"/>
    </row>
    <row r="15" spans="1:8" x14ac:dyDescent="0.25">
      <c r="A15" s="10" t="s">
        <v>118</v>
      </c>
      <c r="B15" s="10" t="s">
        <v>118</v>
      </c>
      <c r="C15" s="10" t="s">
        <v>283</v>
      </c>
      <c r="D15" s="10"/>
      <c r="E15" s="10"/>
    </row>
    <row r="16" spans="1:8" x14ac:dyDescent="0.25">
      <c r="A16" s="10" t="s">
        <v>119</v>
      </c>
      <c r="B16" s="10" t="s">
        <v>120</v>
      </c>
      <c r="C16" s="10" t="s">
        <v>284</v>
      </c>
      <c r="D16" s="10" t="s">
        <v>306</v>
      </c>
      <c r="E16" s="10"/>
    </row>
    <row r="17" spans="1:5" x14ac:dyDescent="0.25">
      <c r="A17" s="10" t="s">
        <v>121</v>
      </c>
      <c r="B17" s="10" t="s">
        <v>3</v>
      </c>
      <c r="C17" s="10" t="s">
        <v>284</v>
      </c>
      <c r="D17" s="10" t="s">
        <v>296</v>
      </c>
      <c r="E17" s="12">
        <v>278</v>
      </c>
    </row>
    <row r="18" spans="1:5" x14ac:dyDescent="0.25">
      <c r="A18" s="10" t="s">
        <v>122</v>
      </c>
      <c r="B18" s="10" t="s">
        <v>123</v>
      </c>
      <c r="C18" s="10" t="s">
        <v>284</v>
      </c>
      <c r="D18" s="10" t="s">
        <v>296</v>
      </c>
      <c r="E18" s="12">
        <v>278</v>
      </c>
    </row>
    <row r="19" spans="1:5" x14ac:dyDescent="0.25">
      <c r="A19" s="10" t="s">
        <v>124</v>
      </c>
      <c r="B19" s="10" t="s">
        <v>125</v>
      </c>
      <c r="C19" s="10" t="s">
        <v>284</v>
      </c>
      <c r="D19" s="10" t="s">
        <v>125</v>
      </c>
      <c r="E19" s="12">
        <v>25236</v>
      </c>
    </row>
    <row r="20" spans="1:5" x14ac:dyDescent="0.25">
      <c r="A20" s="10" t="s">
        <v>126</v>
      </c>
      <c r="B20" s="10" t="s">
        <v>127</v>
      </c>
      <c r="C20" s="10" t="s">
        <v>284</v>
      </c>
      <c r="D20" s="10" t="s">
        <v>297</v>
      </c>
      <c r="E20" s="10">
        <v>296</v>
      </c>
    </row>
    <row r="21" spans="1:5" x14ac:dyDescent="0.25">
      <c r="A21" s="10" t="s">
        <v>128</v>
      </c>
      <c r="B21" s="10" t="s">
        <v>3</v>
      </c>
      <c r="C21" s="10" t="s">
        <v>283</v>
      </c>
      <c r="D21" s="10"/>
      <c r="E21" s="10"/>
    </row>
    <row r="22" spans="1:5" x14ac:dyDescent="0.25">
      <c r="A22" s="10" t="s">
        <v>129</v>
      </c>
      <c r="B22" s="10" t="s">
        <v>130</v>
      </c>
      <c r="C22" s="10" t="s">
        <v>283</v>
      </c>
      <c r="D22" s="10"/>
      <c r="E22" s="10"/>
    </row>
    <row r="23" spans="1:5" x14ac:dyDescent="0.25">
      <c r="A23" s="10" t="s">
        <v>131</v>
      </c>
      <c r="B23" s="10" t="s">
        <v>132</v>
      </c>
      <c r="C23" s="10" t="s">
        <v>283</v>
      </c>
      <c r="D23" s="10"/>
      <c r="E23" s="10"/>
    </row>
    <row r="24" spans="1:5" x14ac:dyDescent="0.25">
      <c r="A24" s="10" t="s">
        <v>133</v>
      </c>
      <c r="B24" s="10" t="s">
        <v>134</v>
      </c>
      <c r="C24" s="10" t="s">
        <v>283</v>
      </c>
      <c r="D24" s="10"/>
      <c r="E24" s="10"/>
    </row>
    <row r="25" spans="1:5" x14ac:dyDescent="0.25">
      <c r="A25" s="10" t="s">
        <v>135</v>
      </c>
      <c r="B25" s="10" t="s">
        <v>136</v>
      </c>
      <c r="C25" s="10" t="s">
        <v>283</v>
      </c>
      <c r="D25" s="10" t="s">
        <v>136</v>
      </c>
      <c r="E25" s="12">
        <v>22298</v>
      </c>
    </row>
    <row r="26" spans="1:5" x14ac:dyDescent="0.25">
      <c r="A26" s="10" t="s">
        <v>137</v>
      </c>
      <c r="B26" s="10" t="s">
        <v>3</v>
      </c>
      <c r="C26" s="10" t="s">
        <v>284</v>
      </c>
      <c r="D26" s="10" t="s">
        <v>298</v>
      </c>
      <c r="E26" s="12">
        <v>22299</v>
      </c>
    </row>
    <row r="27" spans="1:5" x14ac:dyDescent="0.25">
      <c r="A27" s="10" t="s">
        <v>138</v>
      </c>
      <c r="B27" s="10" t="s">
        <v>3</v>
      </c>
      <c r="C27" s="10" t="s">
        <v>283</v>
      </c>
      <c r="D27" s="10"/>
      <c r="E27" s="10"/>
    </row>
    <row r="28" spans="1:5" x14ac:dyDescent="0.25">
      <c r="A28" s="10" t="s">
        <v>139</v>
      </c>
      <c r="B28" s="10" t="s">
        <v>123</v>
      </c>
      <c r="C28" s="10" t="s">
        <v>283</v>
      </c>
      <c r="D28" s="10"/>
      <c r="E28" s="10"/>
    </row>
    <row r="29" spans="1:5" x14ac:dyDescent="0.25">
      <c r="A29" s="10" t="s">
        <v>140</v>
      </c>
      <c r="B29" s="10" t="s">
        <v>141</v>
      </c>
      <c r="C29" s="10" t="s">
        <v>283</v>
      </c>
      <c r="D29" s="10"/>
      <c r="E29" s="10"/>
    </row>
    <row r="30" spans="1:5" x14ac:dyDescent="0.25">
      <c r="A30" s="10" t="s">
        <v>142</v>
      </c>
      <c r="B30" s="10" t="s">
        <v>143</v>
      </c>
      <c r="C30" s="10" t="s">
        <v>283</v>
      </c>
      <c r="D30" s="10"/>
      <c r="E30" s="10"/>
    </row>
    <row r="31" spans="1:5" x14ac:dyDescent="0.25">
      <c r="A31" s="10" t="s">
        <v>144</v>
      </c>
      <c r="B31" s="10" t="s">
        <v>145</v>
      </c>
      <c r="C31" s="10" t="s">
        <v>283</v>
      </c>
      <c r="D31" s="10"/>
      <c r="E31" s="10"/>
    </row>
    <row r="32" spans="1:5" x14ac:dyDescent="0.25">
      <c r="A32" s="10" t="s">
        <v>146</v>
      </c>
      <c r="B32" s="10" t="s">
        <v>147</v>
      </c>
      <c r="C32" s="10" t="s">
        <v>284</v>
      </c>
      <c r="D32" s="10" t="s">
        <v>138</v>
      </c>
      <c r="E32" s="12">
        <v>16484</v>
      </c>
    </row>
    <row r="33" spans="1:5" x14ac:dyDescent="0.25">
      <c r="A33" s="10" t="s">
        <v>148</v>
      </c>
      <c r="B33" s="10" t="s">
        <v>136</v>
      </c>
      <c r="C33" s="10" t="s">
        <v>283</v>
      </c>
      <c r="D33" s="10" t="s">
        <v>136</v>
      </c>
      <c r="E33" s="12">
        <v>22290</v>
      </c>
    </row>
    <row r="34" spans="1:5" x14ac:dyDescent="0.25">
      <c r="A34" s="10" t="s">
        <v>149</v>
      </c>
      <c r="B34" s="10" t="s">
        <v>147</v>
      </c>
      <c r="C34" s="10" t="s">
        <v>284</v>
      </c>
      <c r="D34" s="10" t="s">
        <v>298</v>
      </c>
      <c r="E34" s="12">
        <v>22291</v>
      </c>
    </row>
    <row r="35" spans="1:5" x14ac:dyDescent="0.25">
      <c r="A35" s="10" t="s">
        <v>150</v>
      </c>
      <c r="B35" s="10" t="s">
        <v>151</v>
      </c>
      <c r="C35" s="10" t="s">
        <v>283</v>
      </c>
      <c r="D35" s="2"/>
      <c r="E35" s="14"/>
    </row>
    <row r="36" spans="1:5" x14ac:dyDescent="0.25">
      <c r="A36" s="10" t="s">
        <v>152</v>
      </c>
      <c r="B36" s="10" t="s">
        <v>153</v>
      </c>
      <c r="C36" s="10" t="s">
        <v>284</v>
      </c>
      <c r="D36" s="10" t="s">
        <v>136</v>
      </c>
      <c r="E36" s="12">
        <v>22302</v>
      </c>
    </row>
    <row r="37" spans="1:5" x14ac:dyDescent="0.25">
      <c r="A37" s="10" t="s">
        <v>154</v>
      </c>
      <c r="B37" s="10" t="s">
        <v>153</v>
      </c>
      <c r="C37" s="10" t="s">
        <v>284</v>
      </c>
      <c r="D37" s="10" t="s">
        <v>298</v>
      </c>
      <c r="E37" s="12">
        <v>22303</v>
      </c>
    </row>
    <row r="38" spans="1:5" x14ac:dyDescent="0.25">
      <c r="A38" s="10" t="s">
        <v>155</v>
      </c>
      <c r="B38" s="10" t="s">
        <v>156</v>
      </c>
      <c r="C38" s="10" t="s">
        <v>283</v>
      </c>
      <c r="D38" s="10"/>
      <c r="E38" s="10"/>
    </row>
    <row r="39" spans="1:5" x14ac:dyDescent="0.25">
      <c r="A39" s="10" t="s">
        <v>157</v>
      </c>
      <c r="B39" s="10" t="s">
        <v>158</v>
      </c>
      <c r="C39" s="10" t="s">
        <v>283</v>
      </c>
      <c r="D39" s="10"/>
      <c r="E39" s="10"/>
    </row>
    <row r="40" spans="1:5" x14ac:dyDescent="0.25">
      <c r="A40" s="10" t="s">
        <v>159</v>
      </c>
      <c r="B40" s="10" t="s">
        <v>3</v>
      </c>
      <c r="C40" s="10" t="s">
        <v>283</v>
      </c>
      <c r="D40" s="10"/>
      <c r="E40" s="10"/>
    </row>
    <row r="41" spans="1:5" x14ac:dyDescent="0.25">
      <c r="A41" s="10" t="s">
        <v>160</v>
      </c>
      <c r="B41" s="10" t="s">
        <v>161</v>
      </c>
      <c r="C41" s="10" t="s">
        <v>283</v>
      </c>
      <c r="D41" s="10"/>
      <c r="E41" s="10"/>
    </row>
    <row r="42" spans="1:5" x14ac:dyDescent="0.25">
      <c r="A42" s="10" t="s">
        <v>162</v>
      </c>
      <c r="B42" s="10" t="s">
        <v>163</v>
      </c>
      <c r="C42" s="10" t="s">
        <v>283</v>
      </c>
      <c r="D42" s="10"/>
      <c r="E4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4"/>
  <sheetViews>
    <sheetView zoomScale="92" zoomScaleNormal="130" workbookViewId="0"/>
  </sheetViews>
  <sheetFormatPr defaultRowHeight="15" x14ac:dyDescent="0.25"/>
  <cols>
    <col min="1" max="1" width="57.42578125" customWidth="1"/>
    <col min="2" max="2" width="43" bestFit="1" customWidth="1"/>
    <col min="3" max="3" width="9.4257812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280</v>
      </c>
      <c r="D1" s="2" t="s">
        <v>281</v>
      </c>
      <c r="E1" s="3" t="s">
        <v>282</v>
      </c>
      <c r="G1" s="4" t="s">
        <v>283</v>
      </c>
      <c r="H1" s="5">
        <f>COUNTIF(C:C,G1)</f>
        <v>47</v>
      </c>
    </row>
    <row r="2" spans="1:8" x14ac:dyDescent="0.25">
      <c r="A2" s="10" t="s">
        <v>164</v>
      </c>
      <c r="B2" s="10" t="s">
        <v>165</v>
      </c>
      <c r="C2" s="10" t="s">
        <v>283</v>
      </c>
      <c r="D2" s="10"/>
      <c r="E2" s="10"/>
      <c r="G2" s="6" t="s">
        <v>284</v>
      </c>
      <c r="H2" s="7">
        <f>COUNTIF(C:C,G2)</f>
        <v>6</v>
      </c>
    </row>
    <row r="3" spans="1:8" ht="15.75" thickBot="1" x14ac:dyDescent="0.3">
      <c r="A3" s="10" t="s">
        <v>166</v>
      </c>
      <c r="B3" s="10" t="s">
        <v>167</v>
      </c>
      <c r="C3" s="10" t="s">
        <v>283</v>
      </c>
      <c r="D3" s="10"/>
      <c r="E3" s="10"/>
      <c r="G3" s="8" t="s">
        <v>285</v>
      </c>
      <c r="H3" s="9">
        <f>H1/SUM(H1:H2)</f>
        <v>0.8867924528301887</v>
      </c>
    </row>
    <row r="4" spans="1:8" x14ac:dyDescent="0.25">
      <c r="A4" s="10" t="s">
        <v>168</v>
      </c>
      <c r="B4" s="10" t="s">
        <v>168</v>
      </c>
      <c r="C4" s="10" t="s">
        <v>283</v>
      </c>
      <c r="D4" s="10"/>
      <c r="E4" s="10"/>
    </row>
    <row r="5" spans="1:8" x14ac:dyDescent="0.25">
      <c r="A5" s="10" t="s">
        <v>169</v>
      </c>
      <c r="B5" s="10" t="s">
        <v>169</v>
      </c>
      <c r="C5" s="10" t="s">
        <v>283</v>
      </c>
      <c r="D5" s="10"/>
      <c r="E5" s="10"/>
    </row>
    <row r="6" spans="1:8" x14ac:dyDescent="0.25">
      <c r="A6" s="10" t="s">
        <v>170</v>
      </c>
      <c r="B6" s="10" t="s">
        <v>171</v>
      </c>
      <c r="C6" s="10" t="s">
        <v>283</v>
      </c>
      <c r="D6" s="10"/>
      <c r="E6" s="10"/>
    </row>
    <row r="7" spans="1:8" x14ac:dyDescent="0.25">
      <c r="A7" s="10" t="s">
        <v>251</v>
      </c>
      <c r="B7" s="10" t="s">
        <v>173</v>
      </c>
      <c r="C7" s="10" t="s">
        <v>283</v>
      </c>
      <c r="D7" s="10"/>
      <c r="E7" s="10"/>
    </row>
    <row r="8" spans="1:8" x14ac:dyDescent="0.25">
      <c r="A8" s="10" t="s">
        <v>176</v>
      </c>
      <c r="B8" s="10" t="s">
        <v>3</v>
      </c>
      <c r="C8" s="10" t="s">
        <v>283</v>
      </c>
      <c r="D8" s="10"/>
      <c r="E8" s="10"/>
    </row>
    <row r="9" spans="1:8" x14ac:dyDescent="0.25">
      <c r="A9" s="10" t="s">
        <v>177</v>
      </c>
      <c r="B9" s="10" t="s">
        <v>178</v>
      </c>
      <c r="C9" s="10" t="s">
        <v>283</v>
      </c>
      <c r="D9" s="10"/>
      <c r="E9" s="10"/>
    </row>
    <row r="10" spans="1:8" x14ac:dyDescent="0.25">
      <c r="A10" s="10" t="s">
        <v>179</v>
      </c>
      <c r="B10" s="10" t="s">
        <v>180</v>
      </c>
      <c r="C10" s="10" t="s">
        <v>284</v>
      </c>
      <c r="D10" s="10" t="s">
        <v>289</v>
      </c>
      <c r="E10" s="12">
        <v>20217</v>
      </c>
    </row>
    <row r="11" spans="1:8" x14ac:dyDescent="0.25">
      <c r="A11" s="10" t="s">
        <v>181</v>
      </c>
      <c r="B11" s="10" t="s">
        <v>182</v>
      </c>
      <c r="C11" s="10" t="s">
        <v>283</v>
      </c>
      <c r="D11" s="10"/>
      <c r="E11" s="10"/>
    </row>
    <row r="12" spans="1:8" x14ac:dyDescent="0.25">
      <c r="A12" s="10" t="s">
        <v>185</v>
      </c>
      <c r="B12" s="10" t="s">
        <v>186</v>
      </c>
      <c r="C12" s="10" t="s">
        <v>283</v>
      </c>
      <c r="D12" s="10"/>
      <c r="E12" s="10"/>
    </row>
    <row r="13" spans="1:8" x14ac:dyDescent="0.25">
      <c r="A13" s="10" t="s">
        <v>187</v>
      </c>
      <c r="B13" s="10" t="s">
        <v>188</v>
      </c>
      <c r="C13" s="10" t="s">
        <v>283</v>
      </c>
      <c r="D13" s="10"/>
      <c r="E13" s="10"/>
    </row>
    <row r="14" spans="1:8" x14ac:dyDescent="0.25">
      <c r="A14" s="10" t="s">
        <v>252</v>
      </c>
      <c r="B14" s="10" t="s">
        <v>190</v>
      </c>
      <c r="C14" s="10" t="s">
        <v>283</v>
      </c>
      <c r="D14" s="10"/>
      <c r="E14" s="10"/>
    </row>
    <row r="15" spans="1:8" x14ac:dyDescent="0.25">
      <c r="A15" s="10" t="s">
        <v>191</v>
      </c>
      <c r="B15" s="10" t="s">
        <v>3</v>
      </c>
      <c r="C15" s="10" t="s">
        <v>283</v>
      </c>
      <c r="D15" s="10"/>
      <c r="E15" s="10"/>
    </row>
    <row r="16" spans="1:8" x14ac:dyDescent="0.25">
      <c r="A16" s="10" t="s">
        <v>38</v>
      </c>
      <c r="B16" s="10" t="s">
        <v>38</v>
      </c>
      <c r="C16" s="10" t="s">
        <v>283</v>
      </c>
      <c r="D16" s="10"/>
      <c r="E16" s="10"/>
    </row>
    <row r="17" spans="1:5" x14ac:dyDescent="0.25">
      <c r="A17" s="10" t="s">
        <v>176</v>
      </c>
      <c r="B17" s="10" t="s">
        <v>3</v>
      </c>
      <c r="C17" s="10" t="s">
        <v>283</v>
      </c>
      <c r="D17" s="10"/>
      <c r="E17" s="10"/>
    </row>
    <row r="18" spans="1:5" x14ac:dyDescent="0.25">
      <c r="A18" s="10" t="s">
        <v>177</v>
      </c>
      <c r="B18" s="10" t="s">
        <v>178</v>
      </c>
      <c r="C18" s="10" t="s">
        <v>284</v>
      </c>
      <c r="D18" s="10" t="s">
        <v>290</v>
      </c>
      <c r="E18" s="12">
        <v>13724</v>
      </c>
    </row>
    <row r="19" spans="1:5" x14ac:dyDescent="0.25">
      <c r="A19" s="10" t="s">
        <v>192</v>
      </c>
      <c r="B19" s="10" t="s">
        <v>192</v>
      </c>
      <c r="C19" s="10" t="s">
        <v>283</v>
      </c>
      <c r="D19" s="10"/>
      <c r="E19" s="10"/>
    </row>
    <row r="20" spans="1:5" x14ac:dyDescent="0.25">
      <c r="A20" s="10" t="s">
        <v>193</v>
      </c>
      <c r="B20" s="10" t="s">
        <v>194</v>
      </c>
      <c r="C20" s="10" t="s">
        <v>283</v>
      </c>
      <c r="D20" s="10"/>
      <c r="E20" s="10"/>
    </row>
    <row r="21" spans="1:5" x14ac:dyDescent="0.25">
      <c r="A21" s="10" t="s">
        <v>195</v>
      </c>
      <c r="B21" s="10" t="s">
        <v>196</v>
      </c>
      <c r="C21" s="10" t="s">
        <v>283</v>
      </c>
      <c r="D21" s="10"/>
      <c r="E21" s="10"/>
    </row>
    <row r="22" spans="1:5" x14ac:dyDescent="0.25">
      <c r="A22" s="10" t="s">
        <v>179</v>
      </c>
      <c r="B22" s="10" t="s">
        <v>180</v>
      </c>
      <c r="C22" s="10" t="s">
        <v>283</v>
      </c>
      <c r="D22" s="10"/>
      <c r="E22" s="10"/>
    </row>
    <row r="23" spans="1:5" x14ac:dyDescent="0.25">
      <c r="A23" s="10" t="s">
        <v>181</v>
      </c>
      <c r="B23" s="10" t="s">
        <v>182</v>
      </c>
      <c r="C23" s="10" t="s">
        <v>284</v>
      </c>
      <c r="D23" s="10" t="s">
        <v>291</v>
      </c>
      <c r="E23" s="12">
        <v>20231</v>
      </c>
    </row>
    <row r="24" spans="1:5" x14ac:dyDescent="0.25">
      <c r="A24" s="10" t="s">
        <v>197</v>
      </c>
      <c r="B24" s="10" t="s">
        <v>197</v>
      </c>
      <c r="C24" s="10" t="s">
        <v>283</v>
      </c>
      <c r="D24" s="10"/>
      <c r="E24" s="10"/>
    </row>
    <row r="25" spans="1:5" x14ac:dyDescent="0.25">
      <c r="A25" s="10" t="s">
        <v>253</v>
      </c>
      <c r="B25" s="10" t="s">
        <v>199</v>
      </c>
      <c r="C25" s="10" t="s">
        <v>283</v>
      </c>
      <c r="D25" s="10"/>
      <c r="E25" s="10"/>
    </row>
    <row r="26" spans="1:5" x14ac:dyDescent="0.25">
      <c r="A26" s="10" t="s">
        <v>254</v>
      </c>
      <c r="B26" s="10" t="s">
        <v>201</v>
      </c>
      <c r="C26" s="10" t="s">
        <v>283</v>
      </c>
      <c r="D26" s="10"/>
      <c r="E26" s="10"/>
    </row>
    <row r="27" spans="1:5" x14ac:dyDescent="0.25">
      <c r="A27" s="10" t="s">
        <v>202</v>
      </c>
      <c r="B27" s="10" t="s">
        <v>203</v>
      </c>
      <c r="C27" s="10" t="s">
        <v>283</v>
      </c>
      <c r="D27" s="10"/>
      <c r="E27" s="10"/>
    </row>
    <row r="28" spans="1:5" x14ac:dyDescent="0.25">
      <c r="A28" s="10" t="s">
        <v>204</v>
      </c>
      <c r="B28" s="10" t="s">
        <v>3</v>
      </c>
      <c r="C28" s="10" t="s">
        <v>283</v>
      </c>
      <c r="D28" s="10"/>
      <c r="E28" s="10"/>
    </row>
    <row r="29" spans="1:5" x14ac:dyDescent="0.25">
      <c r="A29" s="10" t="s">
        <v>205</v>
      </c>
      <c r="B29" s="10" t="s">
        <v>3</v>
      </c>
      <c r="C29" s="10" t="s">
        <v>283</v>
      </c>
      <c r="D29" s="10"/>
      <c r="E29" s="10"/>
    </row>
    <row r="30" spans="1:5" x14ac:dyDescent="0.25">
      <c r="A30" s="10" t="s">
        <v>206</v>
      </c>
      <c r="B30" s="10" t="s">
        <v>207</v>
      </c>
      <c r="C30" s="10" t="s">
        <v>283</v>
      </c>
      <c r="D30" s="10"/>
      <c r="E30" s="10"/>
    </row>
    <row r="31" spans="1:5" x14ac:dyDescent="0.25">
      <c r="A31" s="10" t="s">
        <v>157</v>
      </c>
      <c r="B31" s="10" t="s">
        <v>208</v>
      </c>
      <c r="C31" s="10" t="s">
        <v>283</v>
      </c>
      <c r="D31" s="10"/>
      <c r="E31" s="10"/>
    </row>
    <row r="32" spans="1:5" x14ac:dyDescent="0.25">
      <c r="A32" s="10" t="s">
        <v>209</v>
      </c>
      <c r="B32" s="10" t="s">
        <v>210</v>
      </c>
      <c r="C32" s="10" t="s">
        <v>283</v>
      </c>
      <c r="D32" s="10"/>
      <c r="E32" s="10"/>
    </row>
    <row r="33" spans="1:5" x14ac:dyDescent="0.25">
      <c r="A33" s="10" t="s">
        <v>213</v>
      </c>
      <c r="B33" s="10" t="s">
        <v>3</v>
      </c>
      <c r="C33" s="10" t="s">
        <v>283</v>
      </c>
      <c r="D33" s="10"/>
      <c r="E33" s="10"/>
    </row>
    <row r="34" spans="1:5" x14ac:dyDescent="0.25">
      <c r="A34" s="10" t="s">
        <v>214</v>
      </c>
      <c r="B34" s="10" t="s">
        <v>3</v>
      </c>
      <c r="C34" s="10" t="s">
        <v>283</v>
      </c>
      <c r="D34" s="10"/>
      <c r="E34" s="10"/>
    </row>
    <row r="35" spans="1:5" x14ac:dyDescent="0.25">
      <c r="A35" s="10" t="s">
        <v>215</v>
      </c>
      <c r="B35" s="10" t="s">
        <v>3</v>
      </c>
      <c r="C35" s="10" t="s">
        <v>283</v>
      </c>
      <c r="D35" s="10"/>
      <c r="E35" s="10"/>
    </row>
    <row r="36" spans="1:5" x14ac:dyDescent="0.25">
      <c r="A36" s="10" t="s">
        <v>216</v>
      </c>
      <c r="B36" s="10" t="s">
        <v>216</v>
      </c>
      <c r="C36" s="10" t="s">
        <v>283</v>
      </c>
      <c r="D36" s="10"/>
      <c r="E36" s="10"/>
    </row>
    <row r="37" spans="1:5" x14ac:dyDescent="0.25">
      <c r="A37" s="10" t="s">
        <v>217</v>
      </c>
      <c r="B37" s="10" t="s">
        <v>218</v>
      </c>
      <c r="C37" s="10" t="s">
        <v>283</v>
      </c>
      <c r="D37" s="10"/>
      <c r="E37" s="10"/>
    </row>
    <row r="38" spans="1:5" x14ac:dyDescent="0.25">
      <c r="A38" s="10" t="s">
        <v>219</v>
      </c>
      <c r="B38" s="10" t="s">
        <v>220</v>
      </c>
      <c r="C38" s="10" t="s">
        <v>283</v>
      </c>
      <c r="D38" s="10"/>
      <c r="E38" s="10"/>
    </row>
    <row r="39" spans="1:5" x14ac:dyDescent="0.25">
      <c r="A39" s="10" t="s">
        <v>34</v>
      </c>
      <c r="B39" s="10" t="s">
        <v>222</v>
      </c>
      <c r="C39" s="10" t="s">
        <v>283</v>
      </c>
      <c r="D39" s="10"/>
      <c r="E39" s="10"/>
    </row>
    <row r="40" spans="1:5" x14ac:dyDescent="0.25">
      <c r="A40" s="10" t="s">
        <v>223</v>
      </c>
      <c r="B40" s="10" t="s">
        <v>224</v>
      </c>
      <c r="C40" s="10" t="s">
        <v>283</v>
      </c>
      <c r="D40" s="10"/>
      <c r="E40" s="10"/>
    </row>
    <row r="41" spans="1:5" x14ac:dyDescent="0.25">
      <c r="A41" s="10" t="s">
        <v>255</v>
      </c>
      <c r="B41" s="10" t="s">
        <v>228</v>
      </c>
      <c r="C41" s="10" t="s">
        <v>283</v>
      </c>
      <c r="D41" s="10"/>
      <c r="E41" s="10"/>
    </row>
    <row r="42" spans="1:5" x14ac:dyDescent="0.25">
      <c r="A42" s="10" t="s">
        <v>229</v>
      </c>
      <c r="B42" s="10" t="s">
        <v>3</v>
      </c>
      <c r="C42" s="10" t="s">
        <v>283</v>
      </c>
      <c r="D42" s="10"/>
      <c r="E42" s="10"/>
    </row>
    <row r="43" spans="1:5" x14ac:dyDescent="0.25">
      <c r="A43" s="10" t="s">
        <v>215</v>
      </c>
      <c r="B43" s="10" t="s">
        <v>3</v>
      </c>
      <c r="C43" s="10" t="s">
        <v>283</v>
      </c>
      <c r="D43" s="10"/>
      <c r="E43" s="10"/>
    </row>
    <row r="44" spans="1:5" x14ac:dyDescent="0.25">
      <c r="A44" s="10" t="s">
        <v>216</v>
      </c>
      <c r="B44" s="10" t="s">
        <v>216</v>
      </c>
      <c r="C44" s="10" t="s">
        <v>283</v>
      </c>
      <c r="D44" s="10"/>
      <c r="E44" s="10"/>
    </row>
    <row r="45" spans="1:5" x14ac:dyDescent="0.25">
      <c r="A45" s="10" t="s">
        <v>217</v>
      </c>
      <c r="B45" s="10" t="s">
        <v>218</v>
      </c>
      <c r="C45" s="10" t="s">
        <v>283</v>
      </c>
      <c r="D45" s="10"/>
      <c r="E45" s="10"/>
    </row>
    <row r="46" spans="1:5" x14ac:dyDescent="0.25">
      <c r="A46" s="10" t="s">
        <v>231</v>
      </c>
      <c r="B46" s="10" t="s">
        <v>231</v>
      </c>
      <c r="C46" s="10" t="s">
        <v>284</v>
      </c>
      <c r="D46" s="10" t="s">
        <v>288</v>
      </c>
      <c r="E46" s="10"/>
    </row>
    <row r="47" spans="1:5" x14ac:dyDescent="0.25">
      <c r="A47" s="10" t="s">
        <v>232</v>
      </c>
      <c r="B47" s="10" t="s">
        <v>231</v>
      </c>
      <c r="C47" s="10" t="s">
        <v>283</v>
      </c>
      <c r="D47" s="10"/>
      <c r="E47" s="10"/>
    </row>
    <row r="48" spans="1:5" x14ac:dyDescent="0.25">
      <c r="A48" s="10" t="s">
        <v>233</v>
      </c>
      <c r="B48" s="10" t="s">
        <v>231</v>
      </c>
      <c r="C48" s="10" t="s">
        <v>283</v>
      </c>
      <c r="D48" s="10"/>
      <c r="E48" s="10"/>
    </row>
    <row r="49" spans="1:5" x14ac:dyDescent="0.25">
      <c r="A49" s="10" t="s">
        <v>219</v>
      </c>
      <c r="B49" s="10" t="s">
        <v>220</v>
      </c>
      <c r="C49" s="10" t="s">
        <v>284</v>
      </c>
      <c r="D49" s="10" t="s">
        <v>292</v>
      </c>
      <c r="E49" s="12">
        <v>20214</v>
      </c>
    </row>
    <row r="50" spans="1:5" x14ac:dyDescent="0.25">
      <c r="A50" s="10" t="s">
        <v>234</v>
      </c>
      <c r="B50" s="10" t="s">
        <v>235</v>
      </c>
      <c r="C50" s="10" t="s">
        <v>283</v>
      </c>
      <c r="D50" s="10"/>
      <c r="E50" s="10"/>
    </row>
    <row r="51" spans="1:5" x14ac:dyDescent="0.25">
      <c r="A51" s="10" t="s">
        <v>34</v>
      </c>
      <c r="B51" s="10" t="s">
        <v>222</v>
      </c>
      <c r="C51" s="10" t="s">
        <v>284</v>
      </c>
      <c r="D51" s="10" t="s">
        <v>293</v>
      </c>
      <c r="E51" s="12">
        <v>13767</v>
      </c>
    </row>
    <row r="52" spans="1:5" x14ac:dyDescent="0.25">
      <c r="A52" s="10" t="s">
        <v>236</v>
      </c>
      <c r="B52" s="10" t="s">
        <v>237</v>
      </c>
      <c r="C52" s="10" t="s">
        <v>283</v>
      </c>
      <c r="D52" s="10"/>
      <c r="E52" s="10"/>
    </row>
    <row r="53" spans="1:5" x14ac:dyDescent="0.25">
      <c r="A53" s="10" t="s">
        <v>256</v>
      </c>
      <c r="B53" s="10" t="s">
        <v>257</v>
      </c>
      <c r="C53" s="10" t="s">
        <v>283</v>
      </c>
      <c r="D53" s="10"/>
      <c r="E53" s="10"/>
    </row>
    <row r="54" spans="1:5" x14ac:dyDescent="0.25">
      <c r="A54" s="10" t="s">
        <v>239</v>
      </c>
      <c r="B54" s="10" t="s">
        <v>240</v>
      </c>
      <c r="C54" s="10" t="s">
        <v>283</v>
      </c>
      <c r="D54" s="10"/>
      <c r="E5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"/>
  <sheetViews>
    <sheetView zoomScale="101" workbookViewId="0"/>
  </sheetViews>
  <sheetFormatPr defaultRowHeight="15" x14ac:dyDescent="0.25"/>
  <cols>
    <col min="1" max="1" width="64.85546875" bestFit="1" customWidth="1"/>
    <col min="2" max="2" width="43" bestFit="1" customWidth="1"/>
    <col min="3" max="3" width="8.85546875" bestFit="1" customWidth="1"/>
    <col min="4" max="4" width="31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280</v>
      </c>
      <c r="D1" s="2" t="s">
        <v>281</v>
      </c>
      <c r="E1" s="3" t="s">
        <v>282</v>
      </c>
      <c r="G1" s="4" t="s">
        <v>283</v>
      </c>
      <c r="H1" s="5">
        <f>COUNTIF(C:C,G1)</f>
        <v>49</v>
      </c>
    </row>
    <row r="2" spans="1:8" x14ac:dyDescent="0.25">
      <c r="A2" s="10" t="s">
        <v>164</v>
      </c>
      <c r="B2" s="10" t="s">
        <v>165</v>
      </c>
      <c r="C2" s="10" t="s">
        <v>283</v>
      </c>
      <c r="D2" s="10"/>
      <c r="E2" s="10"/>
      <c r="G2" s="6" t="s">
        <v>284</v>
      </c>
      <c r="H2" s="7">
        <f>COUNTIF(C:C,G2)</f>
        <v>9</v>
      </c>
    </row>
    <row r="3" spans="1:8" ht="15.75" thickBot="1" x14ac:dyDescent="0.3">
      <c r="A3" s="10" t="s">
        <v>166</v>
      </c>
      <c r="B3" s="10" t="s">
        <v>167</v>
      </c>
      <c r="C3" s="10" t="s">
        <v>283</v>
      </c>
      <c r="D3" s="10"/>
      <c r="E3" s="10"/>
      <c r="G3" s="8" t="s">
        <v>285</v>
      </c>
      <c r="H3" s="9">
        <f>H1/SUM(H1:H2)</f>
        <v>0.84482758620689657</v>
      </c>
    </row>
    <row r="4" spans="1:8" x14ac:dyDescent="0.25">
      <c r="A4" s="10" t="s">
        <v>168</v>
      </c>
      <c r="B4" s="10" t="s">
        <v>168</v>
      </c>
      <c r="C4" s="10" t="s">
        <v>284</v>
      </c>
      <c r="D4" s="10" t="s">
        <v>303</v>
      </c>
      <c r="E4" s="12">
        <v>13734</v>
      </c>
    </row>
    <row r="5" spans="1:8" x14ac:dyDescent="0.25">
      <c r="A5" s="10" t="s">
        <v>169</v>
      </c>
      <c r="B5" s="10" t="s">
        <v>169</v>
      </c>
      <c r="C5" s="10" t="s">
        <v>283</v>
      </c>
      <c r="D5" s="10"/>
      <c r="E5" s="10"/>
    </row>
    <row r="6" spans="1:8" x14ac:dyDescent="0.25">
      <c r="A6" s="10" t="s">
        <v>170</v>
      </c>
      <c r="B6" s="10" t="s">
        <v>171</v>
      </c>
      <c r="C6" s="10" t="s">
        <v>283</v>
      </c>
      <c r="D6" s="10"/>
      <c r="E6" s="10"/>
    </row>
    <row r="7" spans="1:8" x14ac:dyDescent="0.25">
      <c r="A7" s="10" t="s">
        <v>172</v>
      </c>
      <c r="B7" s="10" t="s">
        <v>173</v>
      </c>
      <c r="C7" s="10" t="s">
        <v>283</v>
      </c>
      <c r="D7" s="10"/>
      <c r="E7" s="10"/>
    </row>
    <row r="8" spans="1:8" x14ac:dyDescent="0.25">
      <c r="A8" s="10" t="s">
        <v>174</v>
      </c>
      <c r="B8" s="10" t="s">
        <v>175</v>
      </c>
      <c r="C8" s="10" t="s">
        <v>283</v>
      </c>
      <c r="D8" s="10"/>
      <c r="E8" s="10"/>
    </row>
    <row r="9" spans="1:8" x14ac:dyDescent="0.25">
      <c r="A9" s="10" t="s">
        <v>176</v>
      </c>
      <c r="B9" s="10" t="s">
        <v>3</v>
      </c>
      <c r="C9" s="10" t="s">
        <v>283</v>
      </c>
      <c r="D9" s="10"/>
      <c r="E9" s="10"/>
    </row>
    <row r="10" spans="1:8" x14ac:dyDescent="0.25">
      <c r="A10" s="10" t="s">
        <v>177</v>
      </c>
      <c r="B10" s="10" t="s">
        <v>178</v>
      </c>
      <c r="C10" s="10" t="s">
        <v>283</v>
      </c>
      <c r="D10" s="10"/>
      <c r="E10" s="10"/>
    </row>
    <row r="11" spans="1:8" x14ac:dyDescent="0.25">
      <c r="A11" s="10" t="s">
        <v>179</v>
      </c>
      <c r="B11" s="10" t="s">
        <v>180</v>
      </c>
      <c r="C11" s="10" t="s">
        <v>284</v>
      </c>
      <c r="D11" s="10" t="s">
        <v>289</v>
      </c>
      <c r="E11" s="12">
        <v>20217</v>
      </c>
    </row>
    <row r="12" spans="1:8" x14ac:dyDescent="0.25">
      <c r="A12" s="10" t="s">
        <v>181</v>
      </c>
      <c r="B12" s="10" t="s">
        <v>182</v>
      </c>
      <c r="C12" s="10" t="s">
        <v>283</v>
      </c>
      <c r="D12" s="10"/>
      <c r="E12" s="10"/>
    </row>
    <row r="13" spans="1:8" x14ac:dyDescent="0.25">
      <c r="A13" s="10" t="s">
        <v>183</v>
      </c>
      <c r="B13" s="10" t="s">
        <v>184</v>
      </c>
      <c r="C13" s="10" t="s">
        <v>283</v>
      </c>
      <c r="D13" s="10"/>
      <c r="E13" s="10"/>
    </row>
    <row r="14" spans="1:8" x14ac:dyDescent="0.25">
      <c r="A14" s="10" t="s">
        <v>185</v>
      </c>
      <c r="B14" s="10" t="s">
        <v>186</v>
      </c>
      <c r="C14" s="10" t="s">
        <v>283</v>
      </c>
      <c r="D14" s="10"/>
      <c r="E14" s="10"/>
    </row>
    <row r="15" spans="1:8" x14ac:dyDescent="0.25">
      <c r="A15" s="10" t="s">
        <v>187</v>
      </c>
      <c r="B15" s="10" t="s">
        <v>188</v>
      </c>
      <c r="C15" s="10" t="s">
        <v>283</v>
      </c>
      <c r="D15" s="10"/>
      <c r="E15" s="10"/>
    </row>
    <row r="16" spans="1:8" x14ac:dyDescent="0.25">
      <c r="A16" s="10" t="s">
        <v>189</v>
      </c>
      <c r="B16" s="10" t="s">
        <v>190</v>
      </c>
      <c r="C16" s="10" t="s">
        <v>283</v>
      </c>
      <c r="D16" s="10"/>
      <c r="E16" s="10"/>
    </row>
    <row r="17" spans="1:5" x14ac:dyDescent="0.25">
      <c r="A17" s="10" t="s">
        <v>191</v>
      </c>
      <c r="B17" s="10" t="s">
        <v>3</v>
      </c>
      <c r="C17" s="10" t="s">
        <v>283</v>
      </c>
      <c r="D17" s="10"/>
      <c r="E17" s="10"/>
    </row>
    <row r="18" spans="1:5" x14ac:dyDescent="0.25">
      <c r="A18" s="10" t="s">
        <v>38</v>
      </c>
      <c r="B18" s="10" t="s">
        <v>38</v>
      </c>
      <c r="C18" s="10" t="s">
        <v>283</v>
      </c>
      <c r="D18" s="10"/>
      <c r="E18" s="10"/>
    </row>
    <row r="19" spans="1:5" x14ac:dyDescent="0.25">
      <c r="A19" s="10" t="s">
        <v>176</v>
      </c>
      <c r="B19" s="10" t="s">
        <v>3</v>
      </c>
      <c r="C19" s="10" t="s">
        <v>283</v>
      </c>
      <c r="D19" s="10"/>
      <c r="E19" s="10"/>
    </row>
    <row r="20" spans="1:5" x14ac:dyDescent="0.25">
      <c r="A20" s="10" t="s">
        <v>177</v>
      </c>
      <c r="B20" s="10" t="s">
        <v>178</v>
      </c>
      <c r="C20" s="10" t="s">
        <v>284</v>
      </c>
      <c r="D20" s="10" t="s">
        <v>290</v>
      </c>
      <c r="E20" s="12">
        <v>13724</v>
      </c>
    </row>
    <row r="21" spans="1:5" x14ac:dyDescent="0.25">
      <c r="A21" s="10" t="s">
        <v>192</v>
      </c>
      <c r="B21" s="10" t="s">
        <v>192</v>
      </c>
      <c r="C21" s="10" t="s">
        <v>283</v>
      </c>
      <c r="D21" s="10"/>
      <c r="E21" s="10"/>
    </row>
    <row r="22" spans="1:5" x14ac:dyDescent="0.25">
      <c r="A22" s="10" t="s">
        <v>193</v>
      </c>
      <c r="B22" s="10" t="s">
        <v>194</v>
      </c>
      <c r="C22" s="10" t="s">
        <v>283</v>
      </c>
      <c r="D22" s="10"/>
      <c r="E22" s="10"/>
    </row>
    <row r="23" spans="1:5" x14ac:dyDescent="0.25">
      <c r="A23" s="10" t="s">
        <v>195</v>
      </c>
      <c r="B23" s="10" t="s">
        <v>196</v>
      </c>
      <c r="C23" s="10" t="s">
        <v>283</v>
      </c>
      <c r="D23" s="10"/>
      <c r="E23" s="10"/>
    </row>
    <row r="24" spans="1:5" x14ac:dyDescent="0.25">
      <c r="A24" s="10" t="s">
        <v>179</v>
      </c>
      <c r="B24" s="10" t="s">
        <v>180</v>
      </c>
      <c r="C24" s="10" t="s">
        <v>283</v>
      </c>
      <c r="D24" s="10"/>
      <c r="E24" s="10"/>
    </row>
    <row r="25" spans="1:5" x14ac:dyDescent="0.25">
      <c r="A25" s="10" t="s">
        <v>181</v>
      </c>
      <c r="B25" s="10" t="s">
        <v>182</v>
      </c>
      <c r="C25" s="10" t="s">
        <v>284</v>
      </c>
      <c r="D25" s="10" t="s">
        <v>291</v>
      </c>
      <c r="E25" s="12">
        <v>20231</v>
      </c>
    </row>
    <row r="26" spans="1:5" x14ac:dyDescent="0.25">
      <c r="A26" s="10" t="s">
        <v>185</v>
      </c>
      <c r="B26" s="10" t="s">
        <v>186</v>
      </c>
      <c r="C26" s="10" t="s">
        <v>284</v>
      </c>
      <c r="D26" s="10" t="s">
        <v>304</v>
      </c>
      <c r="E26" s="12">
        <v>20228</v>
      </c>
    </row>
    <row r="27" spans="1:5" x14ac:dyDescent="0.25">
      <c r="A27" s="10" t="s">
        <v>197</v>
      </c>
      <c r="B27" s="10" t="s">
        <v>197</v>
      </c>
      <c r="C27" s="10" t="s">
        <v>283</v>
      </c>
      <c r="D27" s="10"/>
      <c r="E27" s="10"/>
    </row>
    <row r="28" spans="1:5" x14ac:dyDescent="0.25">
      <c r="A28" s="10" t="s">
        <v>198</v>
      </c>
      <c r="B28" s="10" t="s">
        <v>199</v>
      </c>
      <c r="C28" s="10" t="s">
        <v>283</v>
      </c>
      <c r="D28" s="10"/>
      <c r="E28" s="10"/>
    </row>
    <row r="29" spans="1:5" x14ac:dyDescent="0.25">
      <c r="A29" s="10" t="s">
        <v>200</v>
      </c>
      <c r="B29" s="10" t="s">
        <v>201</v>
      </c>
      <c r="C29" s="10" t="s">
        <v>283</v>
      </c>
      <c r="D29" s="10"/>
      <c r="E29" s="10"/>
    </row>
    <row r="30" spans="1:5" x14ac:dyDescent="0.25">
      <c r="A30" s="10" t="s">
        <v>202</v>
      </c>
      <c r="B30" s="10" t="s">
        <v>203</v>
      </c>
      <c r="C30" s="10" t="s">
        <v>283</v>
      </c>
      <c r="D30" s="10"/>
      <c r="E30" s="10"/>
    </row>
    <row r="31" spans="1:5" x14ac:dyDescent="0.25">
      <c r="A31" s="10" t="s">
        <v>204</v>
      </c>
      <c r="B31" s="10" t="s">
        <v>3</v>
      </c>
      <c r="C31" s="10" t="s">
        <v>283</v>
      </c>
      <c r="D31" s="10"/>
      <c r="E31" s="10"/>
    </row>
    <row r="32" spans="1:5" x14ac:dyDescent="0.25">
      <c r="A32" s="10" t="s">
        <v>205</v>
      </c>
      <c r="B32" s="10" t="s">
        <v>3</v>
      </c>
      <c r="C32" s="10" t="s">
        <v>283</v>
      </c>
      <c r="D32" s="10"/>
      <c r="E32" s="10"/>
    </row>
    <row r="33" spans="1:5" x14ac:dyDescent="0.25">
      <c r="A33" s="10" t="s">
        <v>206</v>
      </c>
      <c r="B33" s="10" t="s">
        <v>207</v>
      </c>
      <c r="C33" s="10" t="s">
        <v>283</v>
      </c>
      <c r="D33" s="10"/>
      <c r="E33" s="10"/>
    </row>
    <row r="34" spans="1:5" x14ac:dyDescent="0.25">
      <c r="A34" s="10" t="s">
        <v>157</v>
      </c>
      <c r="B34" s="10" t="s">
        <v>208</v>
      </c>
      <c r="C34" s="10" t="s">
        <v>283</v>
      </c>
      <c r="D34" s="10"/>
      <c r="E34" s="10"/>
    </row>
    <row r="35" spans="1:5" x14ac:dyDescent="0.25">
      <c r="A35" s="10" t="s">
        <v>209</v>
      </c>
      <c r="B35" s="10" t="s">
        <v>210</v>
      </c>
      <c r="C35" s="10" t="s">
        <v>283</v>
      </c>
      <c r="D35" s="10"/>
      <c r="E35" s="10"/>
    </row>
    <row r="36" spans="1:5" x14ac:dyDescent="0.25">
      <c r="A36" s="10" t="s">
        <v>211</v>
      </c>
      <c r="B36" s="10" t="s">
        <v>212</v>
      </c>
      <c r="C36" s="10" t="s">
        <v>283</v>
      </c>
      <c r="D36" s="10"/>
      <c r="E36" s="10"/>
    </row>
    <row r="37" spans="1:5" x14ac:dyDescent="0.25">
      <c r="A37" s="10" t="s">
        <v>213</v>
      </c>
      <c r="B37" s="10" t="s">
        <v>3</v>
      </c>
      <c r="C37" s="10" t="s">
        <v>283</v>
      </c>
      <c r="D37" s="10"/>
      <c r="E37" s="10"/>
    </row>
    <row r="38" spans="1:5" x14ac:dyDescent="0.25">
      <c r="A38" s="10" t="s">
        <v>214</v>
      </c>
      <c r="B38" s="10" t="s">
        <v>3</v>
      </c>
      <c r="C38" s="10" t="s">
        <v>283</v>
      </c>
      <c r="D38" s="10"/>
      <c r="E38" s="10"/>
    </row>
    <row r="39" spans="1:5" x14ac:dyDescent="0.25">
      <c r="A39" s="10" t="s">
        <v>215</v>
      </c>
      <c r="B39" s="10" t="s">
        <v>3</v>
      </c>
      <c r="C39" s="10" t="s">
        <v>283</v>
      </c>
      <c r="D39" s="10"/>
      <c r="E39" s="10"/>
    </row>
    <row r="40" spans="1:5" x14ac:dyDescent="0.25">
      <c r="A40" s="10" t="s">
        <v>216</v>
      </c>
      <c r="B40" s="10" t="s">
        <v>216</v>
      </c>
      <c r="C40" s="10" t="s">
        <v>283</v>
      </c>
      <c r="D40" s="10"/>
      <c r="E40" s="10"/>
    </row>
    <row r="41" spans="1:5" x14ac:dyDescent="0.25">
      <c r="A41" s="10" t="s">
        <v>217</v>
      </c>
      <c r="B41" s="10" t="s">
        <v>218</v>
      </c>
      <c r="C41" s="10" t="s">
        <v>283</v>
      </c>
      <c r="D41" s="10"/>
      <c r="E41" s="10"/>
    </row>
    <row r="42" spans="1:5" x14ac:dyDescent="0.25">
      <c r="A42" s="10" t="s">
        <v>219</v>
      </c>
      <c r="B42" s="10" t="s">
        <v>220</v>
      </c>
      <c r="C42" s="10" t="s">
        <v>283</v>
      </c>
      <c r="D42" s="10"/>
      <c r="E42" s="10"/>
    </row>
    <row r="43" spans="1:5" x14ac:dyDescent="0.25">
      <c r="A43" s="10" t="s">
        <v>221</v>
      </c>
      <c r="B43" s="10" t="s">
        <v>222</v>
      </c>
      <c r="C43" s="10" t="s">
        <v>283</v>
      </c>
      <c r="D43" s="10"/>
      <c r="E43" s="10"/>
    </row>
    <row r="44" spans="1:5" x14ac:dyDescent="0.25">
      <c r="A44" s="10" t="s">
        <v>223</v>
      </c>
      <c r="B44" s="10" t="s">
        <v>224</v>
      </c>
      <c r="C44" s="10" t="s">
        <v>283</v>
      </c>
      <c r="D44" s="10"/>
      <c r="E44" s="10"/>
    </row>
    <row r="45" spans="1:5" x14ac:dyDescent="0.25">
      <c r="A45" s="10" t="s">
        <v>225</v>
      </c>
      <c r="B45" s="10" t="s">
        <v>226</v>
      </c>
      <c r="C45" s="10" t="s">
        <v>283</v>
      </c>
      <c r="D45" s="10"/>
      <c r="E45" s="10"/>
    </row>
    <row r="46" spans="1:5" x14ac:dyDescent="0.25">
      <c r="A46" s="10" t="s">
        <v>227</v>
      </c>
      <c r="B46" s="10" t="s">
        <v>228</v>
      </c>
      <c r="C46" s="10" t="s">
        <v>283</v>
      </c>
      <c r="D46" s="10"/>
      <c r="E46" s="10"/>
    </row>
    <row r="47" spans="1:5" x14ac:dyDescent="0.25">
      <c r="A47" s="10" t="s">
        <v>229</v>
      </c>
      <c r="B47" s="10" t="s">
        <v>3</v>
      </c>
      <c r="C47" s="10" t="s">
        <v>283</v>
      </c>
      <c r="D47" s="10"/>
      <c r="E47" s="10"/>
    </row>
    <row r="48" spans="1:5" x14ac:dyDescent="0.25">
      <c r="A48" s="10" t="s">
        <v>215</v>
      </c>
      <c r="B48" s="10" t="s">
        <v>3</v>
      </c>
      <c r="C48" s="10" t="s">
        <v>283</v>
      </c>
      <c r="D48" s="10"/>
      <c r="E48" s="10"/>
    </row>
    <row r="49" spans="1:5" x14ac:dyDescent="0.25">
      <c r="A49" s="10" t="s">
        <v>216</v>
      </c>
      <c r="B49" s="10" t="s">
        <v>216</v>
      </c>
      <c r="C49" s="10" t="s">
        <v>283</v>
      </c>
      <c r="D49" s="10"/>
      <c r="E49" s="10"/>
    </row>
    <row r="50" spans="1:5" x14ac:dyDescent="0.25">
      <c r="A50" s="10" t="s">
        <v>217</v>
      </c>
      <c r="B50" s="10" t="s">
        <v>218</v>
      </c>
      <c r="C50" s="10" t="s">
        <v>283</v>
      </c>
      <c r="D50" s="10"/>
      <c r="E50" s="10"/>
    </row>
    <row r="51" spans="1:5" x14ac:dyDescent="0.25">
      <c r="A51" s="10" t="s">
        <v>230</v>
      </c>
      <c r="B51" s="10" t="s">
        <v>231</v>
      </c>
      <c r="C51" s="10" t="s">
        <v>284</v>
      </c>
      <c r="D51" s="10" t="s">
        <v>288</v>
      </c>
      <c r="E51" s="10"/>
    </row>
    <row r="52" spans="1:5" x14ac:dyDescent="0.25">
      <c r="A52" s="10" t="s">
        <v>232</v>
      </c>
      <c r="B52" s="10" t="s">
        <v>231</v>
      </c>
      <c r="C52" s="10" t="s">
        <v>283</v>
      </c>
      <c r="D52" s="10"/>
      <c r="E52" s="10"/>
    </row>
    <row r="53" spans="1:5" x14ac:dyDescent="0.25">
      <c r="A53" s="10" t="s">
        <v>233</v>
      </c>
      <c r="B53" s="10" t="s">
        <v>231</v>
      </c>
      <c r="C53" s="10" t="s">
        <v>283</v>
      </c>
      <c r="D53" s="10"/>
      <c r="E53" s="10"/>
    </row>
    <row r="54" spans="1:5" x14ac:dyDescent="0.25">
      <c r="A54" s="10" t="s">
        <v>219</v>
      </c>
      <c r="B54" s="10" t="s">
        <v>220</v>
      </c>
      <c r="C54" s="10" t="s">
        <v>284</v>
      </c>
      <c r="D54" s="10" t="s">
        <v>292</v>
      </c>
      <c r="E54" s="12">
        <v>20214</v>
      </c>
    </row>
    <row r="55" spans="1:5" x14ac:dyDescent="0.25">
      <c r="A55" s="10" t="s">
        <v>234</v>
      </c>
      <c r="B55" s="10" t="s">
        <v>235</v>
      </c>
      <c r="C55" s="10" t="s">
        <v>283</v>
      </c>
      <c r="D55" s="10"/>
      <c r="E55" s="10"/>
    </row>
    <row r="56" spans="1:5" x14ac:dyDescent="0.25">
      <c r="A56" s="10" t="s">
        <v>34</v>
      </c>
      <c r="B56" s="10" t="s">
        <v>222</v>
      </c>
      <c r="C56" s="10" t="s">
        <v>284</v>
      </c>
      <c r="D56" s="10" t="s">
        <v>293</v>
      </c>
      <c r="E56" s="12">
        <v>13767</v>
      </c>
    </row>
    <row r="57" spans="1:5" x14ac:dyDescent="0.25">
      <c r="A57" s="10" t="s">
        <v>236</v>
      </c>
      <c r="B57" s="10" t="s">
        <v>237</v>
      </c>
      <c r="C57" s="10" t="s">
        <v>283</v>
      </c>
      <c r="D57" s="10"/>
      <c r="E57" s="10"/>
    </row>
    <row r="58" spans="1:5" x14ac:dyDescent="0.25">
      <c r="A58" s="10" t="s">
        <v>238</v>
      </c>
      <c r="B58" s="10" t="s">
        <v>153</v>
      </c>
      <c r="C58" s="10" t="s">
        <v>284</v>
      </c>
      <c r="D58" s="10" t="s">
        <v>257</v>
      </c>
      <c r="E58" s="12">
        <v>13775</v>
      </c>
    </row>
    <row r="59" spans="1:5" x14ac:dyDescent="0.25">
      <c r="A59" s="10" t="s">
        <v>239</v>
      </c>
      <c r="B59" s="10" t="s">
        <v>240</v>
      </c>
      <c r="C59" s="10" t="s">
        <v>283</v>
      </c>
      <c r="D59" s="10"/>
      <c r="E5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4"/>
  <sheetViews>
    <sheetView zoomScale="81" zoomScaleNormal="130" workbookViewId="0"/>
  </sheetViews>
  <sheetFormatPr defaultRowHeight="15" x14ac:dyDescent="0.25"/>
  <cols>
    <col min="1" max="1" width="58.28515625" bestFit="1" customWidth="1"/>
    <col min="2" max="2" width="60.5703125" bestFit="1" customWidth="1"/>
    <col min="3" max="3" width="9.42578125" bestFit="1" customWidth="1"/>
    <col min="4" max="4" width="40.140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280</v>
      </c>
      <c r="D1" s="2" t="s">
        <v>281</v>
      </c>
      <c r="E1" s="3" t="s">
        <v>282</v>
      </c>
      <c r="G1" s="4" t="s">
        <v>283</v>
      </c>
      <c r="H1" s="5">
        <f>COUNTIF(C:C,G1)</f>
        <v>46</v>
      </c>
    </row>
    <row r="2" spans="1:8" x14ac:dyDescent="0.25">
      <c r="A2" s="10" t="s">
        <v>2</v>
      </c>
      <c r="B2" s="10" t="s">
        <v>3</v>
      </c>
      <c r="C2" s="10" t="s">
        <v>283</v>
      </c>
      <c r="D2" s="10"/>
      <c r="E2" s="10"/>
      <c r="G2" s="6" t="s">
        <v>284</v>
      </c>
      <c r="H2" s="7">
        <f>COUNTIF(C:C,G2)</f>
        <v>7</v>
      </c>
    </row>
    <row r="3" spans="1:8" ht="15.75" thickBot="1" x14ac:dyDescent="0.3">
      <c r="A3" s="10" t="s">
        <v>4</v>
      </c>
      <c r="B3" s="10" t="s">
        <v>4</v>
      </c>
      <c r="C3" s="10" t="s">
        <v>283</v>
      </c>
      <c r="D3" s="10"/>
      <c r="E3" s="10"/>
      <c r="G3" s="8" t="s">
        <v>285</v>
      </c>
      <c r="H3" s="9">
        <f>H1/SUM(H1:H2)</f>
        <v>0.86792452830188682</v>
      </c>
    </row>
    <row r="4" spans="1:8" x14ac:dyDescent="0.25">
      <c r="A4" s="10" t="s">
        <v>5</v>
      </c>
      <c r="B4" s="10" t="s">
        <v>6</v>
      </c>
      <c r="C4" s="10" t="s">
        <v>284</v>
      </c>
      <c r="D4" s="10" t="s">
        <v>299</v>
      </c>
      <c r="E4" s="12">
        <v>17542</v>
      </c>
    </row>
    <row r="5" spans="1:8" x14ac:dyDescent="0.25">
      <c r="A5" s="10" t="s">
        <v>258</v>
      </c>
      <c r="B5" s="10" t="s">
        <v>8</v>
      </c>
      <c r="C5" s="10" t="s">
        <v>284</v>
      </c>
      <c r="D5" s="10" t="s">
        <v>299</v>
      </c>
      <c r="E5" s="12">
        <v>17542</v>
      </c>
    </row>
    <row r="6" spans="1:8" x14ac:dyDescent="0.25">
      <c r="A6" s="10" t="s">
        <v>15</v>
      </c>
      <c r="B6" s="10" t="s">
        <v>16</v>
      </c>
      <c r="C6" s="10" t="s">
        <v>283</v>
      </c>
      <c r="D6" s="10"/>
      <c r="E6" s="10"/>
    </row>
    <row r="7" spans="1:8" x14ac:dyDescent="0.25">
      <c r="A7" s="10" t="s">
        <v>259</v>
      </c>
      <c r="B7" s="10" t="s">
        <v>18</v>
      </c>
      <c r="C7" s="10" t="s">
        <v>283</v>
      </c>
      <c r="D7" s="10"/>
      <c r="E7" s="10"/>
    </row>
    <row r="8" spans="1:8" x14ac:dyDescent="0.25">
      <c r="A8" s="10" t="s">
        <v>19</v>
      </c>
      <c r="B8" s="10" t="s">
        <v>20</v>
      </c>
      <c r="C8" s="10" t="s">
        <v>283</v>
      </c>
      <c r="D8" s="10"/>
      <c r="E8" s="10"/>
    </row>
    <row r="9" spans="1:8" x14ac:dyDescent="0.25">
      <c r="A9" s="10" t="s">
        <v>260</v>
      </c>
      <c r="B9" s="10" t="s">
        <v>20</v>
      </c>
      <c r="C9" s="10" t="s">
        <v>283</v>
      </c>
      <c r="D9" s="10"/>
      <c r="E9" s="10"/>
    </row>
    <row r="10" spans="1:8" x14ac:dyDescent="0.25">
      <c r="A10" s="10" t="s">
        <v>22</v>
      </c>
      <c r="B10" s="10" t="s">
        <v>18</v>
      </c>
      <c r="C10" s="10" t="s">
        <v>283</v>
      </c>
      <c r="D10" s="10"/>
      <c r="E10" s="10"/>
    </row>
    <row r="11" spans="1:8" x14ac:dyDescent="0.25">
      <c r="A11" s="10" t="s">
        <v>261</v>
      </c>
      <c r="B11" s="10" t="s">
        <v>23</v>
      </c>
      <c r="C11" s="10" t="s">
        <v>283</v>
      </c>
      <c r="D11" s="10"/>
      <c r="E11" s="10"/>
    </row>
    <row r="12" spans="1:8" x14ac:dyDescent="0.25">
      <c r="A12" s="10" t="s">
        <v>262</v>
      </c>
      <c r="B12" s="10" t="s">
        <v>87</v>
      </c>
      <c r="C12" s="10" t="s">
        <v>284</v>
      </c>
      <c r="D12" s="10" t="s">
        <v>26</v>
      </c>
      <c r="E12" s="12">
        <v>30479</v>
      </c>
    </row>
    <row r="13" spans="1:8" x14ac:dyDescent="0.25">
      <c r="A13" s="10" t="s">
        <v>263</v>
      </c>
      <c r="B13" s="10" t="s">
        <v>10</v>
      </c>
      <c r="C13" s="10" t="s">
        <v>283</v>
      </c>
      <c r="D13" s="10"/>
      <c r="E13" s="10"/>
    </row>
    <row r="14" spans="1:8" x14ac:dyDescent="0.25">
      <c r="A14" s="10" t="s">
        <v>264</v>
      </c>
      <c r="B14" s="10" t="s">
        <v>28</v>
      </c>
      <c r="C14" s="10" t="s">
        <v>283</v>
      </c>
      <c r="D14" s="10"/>
      <c r="E14" s="10"/>
    </row>
    <row r="15" spans="1:8" x14ac:dyDescent="0.25">
      <c r="A15" s="10" t="s">
        <v>29</v>
      </c>
      <c r="B15" s="10" t="s">
        <v>6</v>
      </c>
      <c r="C15" s="10" t="s">
        <v>283</v>
      </c>
      <c r="D15" s="10"/>
      <c r="E15" s="10"/>
    </row>
    <row r="16" spans="1:8" x14ac:dyDescent="0.25">
      <c r="A16" s="10" t="s">
        <v>30</v>
      </c>
      <c r="B16" s="10" t="s">
        <v>3</v>
      </c>
      <c r="C16" s="10" t="s">
        <v>283</v>
      </c>
      <c r="D16" s="10"/>
      <c r="E16" s="10"/>
    </row>
    <row r="17" spans="1:5" x14ac:dyDescent="0.25">
      <c r="A17" s="10" t="s">
        <v>265</v>
      </c>
      <c r="B17" s="10" t="s">
        <v>32</v>
      </c>
      <c r="C17" s="10" t="s">
        <v>283</v>
      </c>
      <c r="D17" s="10"/>
      <c r="E17" s="10"/>
    </row>
    <row r="18" spans="1:5" x14ac:dyDescent="0.25">
      <c r="A18" s="10" t="s">
        <v>33</v>
      </c>
      <c r="B18" s="10" t="s">
        <v>34</v>
      </c>
      <c r="C18" s="10" t="s">
        <v>283</v>
      </c>
      <c r="D18" s="10"/>
      <c r="E18" s="10"/>
    </row>
    <row r="19" spans="1:5" x14ac:dyDescent="0.25">
      <c r="A19" s="10" t="s">
        <v>266</v>
      </c>
      <c r="B19" s="10" t="s">
        <v>36</v>
      </c>
      <c r="C19" s="10" t="s">
        <v>283</v>
      </c>
      <c r="D19" s="10"/>
      <c r="E19" s="10"/>
    </row>
    <row r="20" spans="1:5" x14ac:dyDescent="0.25">
      <c r="A20" s="10" t="s">
        <v>37</v>
      </c>
      <c r="B20" s="10" t="s">
        <v>38</v>
      </c>
      <c r="C20" s="10" t="s">
        <v>283</v>
      </c>
      <c r="D20" s="10"/>
      <c r="E20" s="10"/>
    </row>
    <row r="21" spans="1:5" x14ac:dyDescent="0.25">
      <c r="A21" s="10" t="s">
        <v>267</v>
      </c>
      <c r="B21" s="10" t="s">
        <v>40</v>
      </c>
      <c r="C21" s="10" t="s">
        <v>283</v>
      </c>
      <c r="D21" s="10"/>
      <c r="E21" s="10"/>
    </row>
    <row r="22" spans="1:5" x14ac:dyDescent="0.25">
      <c r="A22" s="10" t="s">
        <v>41</v>
      </c>
      <c r="B22" s="10" t="s">
        <v>42</v>
      </c>
      <c r="C22" s="10" t="s">
        <v>283</v>
      </c>
      <c r="D22" s="10"/>
      <c r="E22" s="10"/>
    </row>
    <row r="23" spans="1:5" x14ac:dyDescent="0.25">
      <c r="A23" s="10" t="s">
        <v>268</v>
      </c>
      <c r="B23" s="10" t="s">
        <v>44</v>
      </c>
      <c r="C23" s="10" t="s">
        <v>283</v>
      </c>
      <c r="D23" s="10"/>
      <c r="E23" s="10"/>
    </row>
    <row r="24" spans="1:5" x14ac:dyDescent="0.25">
      <c r="A24" s="10" t="s">
        <v>45</v>
      </c>
      <c r="B24" s="10" t="s">
        <v>46</v>
      </c>
      <c r="C24" s="10" t="s">
        <v>283</v>
      </c>
      <c r="D24" s="10"/>
      <c r="E24" s="10"/>
    </row>
    <row r="25" spans="1:5" x14ac:dyDescent="0.25">
      <c r="A25" s="10" t="s">
        <v>47</v>
      </c>
      <c r="B25" s="10" t="s">
        <v>3</v>
      </c>
      <c r="C25" s="10" t="s">
        <v>283</v>
      </c>
      <c r="D25" s="10"/>
      <c r="E25" s="10"/>
    </row>
    <row r="26" spans="1:5" x14ac:dyDescent="0.25">
      <c r="A26" s="10" t="s">
        <v>48</v>
      </c>
      <c r="B26" s="10" t="s">
        <v>49</v>
      </c>
      <c r="C26" s="10" t="s">
        <v>283</v>
      </c>
      <c r="D26" s="10"/>
      <c r="E26" s="10"/>
    </row>
    <row r="27" spans="1:5" x14ac:dyDescent="0.25">
      <c r="A27" s="10" t="s">
        <v>50</v>
      </c>
      <c r="B27" s="10" t="s">
        <v>51</v>
      </c>
      <c r="C27" s="10" t="s">
        <v>283</v>
      </c>
      <c r="D27" s="10"/>
      <c r="E27" s="10"/>
    </row>
    <row r="28" spans="1:5" x14ac:dyDescent="0.25">
      <c r="A28" s="10" t="s">
        <v>269</v>
      </c>
      <c r="B28" s="10" t="s">
        <v>53</v>
      </c>
      <c r="C28" s="10" t="s">
        <v>283</v>
      </c>
      <c r="D28" s="10"/>
      <c r="E28" s="10"/>
    </row>
    <row r="29" spans="1:5" x14ac:dyDescent="0.25">
      <c r="A29" s="10" t="s">
        <v>54</v>
      </c>
      <c r="B29" s="10" t="s">
        <v>53</v>
      </c>
      <c r="C29" s="10" t="s">
        <v>283</v>
      </c>
      <c r="D29" s="10"/>
      <c r="E29" s="10"/>
    </row>
    <row r="30" spans="1:5" x14ac:dyDescent="0.25">
      <c r="A30" s="10" t="s">
        <v>55</v>
      </c>
      <c r="B30" s="10" t="s">
        <v>56</v>
      </c>
      <c r="C30" s="10" t="s">
        <v>283</v>
      </c>
      <c r="D30" s="10"/>
      <c r="E30" s="10"/>
    </row>
    <row r="31" spans="1:5" x14ac:dyDescent="0.25">
      <c r="A31" s="10" t="s">
        <v>270</v>
      </c>
      <c r="B31" s="10" t="s">
        <v>58</v>
      </c>
      <c r="C31" s="10" t="s">
        <v>283</v>
      </c>
      <c r="D31" s="10"/>
      <c r="E31" s="10"/>
    </row>
    <row r="32" spans="1:5" x14ac:dyDescent="0.25">
      <c r="A32" s="10" t="s">
        <v>271</v>
      </c>
      <c r="B32" s="10" t="s">
        <v>58</v>
      </c>
      <c r="C32" s="10" t="s">
        <v>283</v>
      </c>
      <c r="D32" s="10"/>
      <c r="E32" s="10"/>
    </row>
    <row r="33" spans="1:5" x14ac:dyDescent="0.25">
      <c r="A33" s="10" t="s">
        <v>67</v>
      </c>
      <c r="B33" s="10" t="s">
        <v>68</v>
      </c>
      <c r="C33" s="10" t="s">
        <v>284</v>
      </c>
      <c r="D33" s="10" t="s">
        <v>56</v>
      </c>
      <c r="E33" s="12">
        <v>17563</v>
      </c>
    </row>
    <row r="34" spans="1:5" x14ac:dyDescent="0.25">
      <c r="A34" s="10" t="s">
        <v>272</v>
      </c>
      <c r="B34" s="10" t="s">
        <v>60</v>
      </c>
      <c r="C34" s="10" t="s">
        <v>283</v>
      </c>
      <c r="D34" s="10"/>
      <c r="E34" s="10"/>
    </row>
    <row r="35" spans="1:5" x14ac:dyDescent="0.25">
      <c r="A35" s="10" t="s">
        <v>273</v>
      </c>
      <c r="B35" s="10" t="s">
        <v>53</v>
      </c>
      <c r="C35" s="10" t="s">
        <v>283</v>
      </c>
      <c r="D35" s="10"/>
      <c r="E35" s="10"/>
    </row>
    <row r="36" spans="1:5" x14ac:dyDescent="0.25">
      <c r="A36" s="10" t="s">
        <v>274</v>
      </c>
      <c r="B36" s="10" t="s">
        <v>75</v>
      </c>
      <c r="C36" s="10" t="s">
        <v>284</v>
      </c>
      <c r="D36" s="10" t="s">
        <v>300</v>
      </c>
      <c r="E36" s="12">
        <v>30419</v>
      </c>
    </row>
    <row r="37" spans="1:5" x14ac:dyDescent="0.25">
      <c r="A37" s="10" t="s">
        <v>69</v>
      </c>
      <c r="B37" s="10" t="s">
        <v>69</v>
      </c>
      <c r="C37" s="10" t="s">
        <v>283</v>
      </c>
      <c r="D37" s="10"/>
      <c r="E37" s="10"/>
    </row>
    <row r="38" spans="1:5" x14ac:dyDescent="0.25">
      <c r="A38" s="10" t="s">
        <v>24</v>
      </c>
      <c r="B38" s="10" t="s">
        <v>23</v>
      </c>
      <c r="C38" s="10" t="s">
        <v>284</v>
      </c>
      <c r="D38" s="10" t="s">
        <v>24</v>
      </c>
      <c r="E38" s="12">
        <v>30485</v>
      </c>
    </row>
    <row r="39" spans="1:5" x14ac:dyDescent="0.25">
      <c r="A39" s="10" t="s">
        <v>70</v>
      </c>
      <c r="B39" s="10" t="s">
        <v>71</v>
      </c>
      <c r="C39" s="10" t="s">
        <v>283</v>
      </c>
      <c r="D39" s="10"/>
      <c r="E39" s="10"/>
    </row>
    <row r="40" spans="1:5" x14ac:dyDescent="0.25">
      <c r="A40" s="10" t="s">
        <v>72</v>
      </c>
      <c r="B40" s="10" t="s">
        <v>3</v>
      </c>
      <c r="C40" s="13" t="s">
        <v>283</v>
      </c>
      <c r="D40" s="10"/>
      <c r="E40" s="10"/>
    </row>
    <row r="41" spans="1:5" x14ac:dyDescent="0.25">
      <c r="A41" s="10" t="s">
        <v>74</v>
      </c>
      <c r="B41" s="10" t="s">
        <v>75</v>
      </c>
      <c r="C41" s="10" t="s">
        <v>283</v>
      </c>
      <c r="D41" s="10"/>
      <c r="E41" s="10"/>
    </row>
    <row r="42" spans="1:5" x14ac:dyDescent="0.25">
      <c r="A42" s="10" t="s">
        <v>76</v>
      </c>
      <c r="B42" s="10" t="s">
        <v>68</v>
      </c>
      <c r="C42" s="10" t="s">
        <v>283</v>
      </c>
      <c r="D42" s="10"/>
      <c r="E42" s="10"/>
    </row>
    <row r="43" spans="1:5" x14ac:dyDescent="0.25">
      <c r="A43" s="10" t="s">
        <v>77</v>
      </c>
      <c r="B43" s="10" t="s">
        <v>78</v>
      </c>
      <c r="C43" s="10" t="s">
        <v>283</v>
      </c>
      <c r="D43" s="10"/>
      <c r="E43" s="10"/>
    </row>
    <row r="44" spans="1:5" x14ac:dyDescent="0.25">
      <c r="A44" s="10" t="s">
        <v>79</v>
      </c>
      <c r="B44" s="10" t="s">
        <v>80</v>
      </c>
      <c r="C44" s="10" t="s">
        <v>283</v>
      </c>
      <c r="D44" s="10"/>
      <c r="E44" s="10"/>
    </row>
    <row r="45" spans="1:5" x14ac:dyDescent="0.25">
      <c r="A45" s="10" t="s">
        <v>81</v>
      </c>
      <c r="B45" s="10" t="s">
        <v>82</v>
      </c>
      <c r="C45" s="10" t="s">
        <v>283</v>
      </c>
      <c r="D45" s="10"/>
      <c r="E45" s="10"/>
    </row>
    <row r="46" spans="1:5" x14ac:dyDescent="0.25">
      <c r="A46" s="10" t="s">
        <v>83</v>
      </c>
      <c r="B46" s="10" t="s">
        <v>84</v>
      </c>
      <c r="C46" s="10" t="s">
        <v>283</v>
      </c>
      <c r="D46" s="10"/>
      <c r="E46" s="10"/>
    </row>
    <row r="47" spans="1:5" x14ac:dyDescent="0.25">
      <c r="A47" s="10" t="s">
        <v>275</v>
      </c>
      <c r="B47" s="10" t="s">
        <v>87</v>
      </c>
      <c r="C47" s="10" t="s">
        <v>283</v>
      </c>
      <c r="D47" s="10"/>
      <c r="E47" s="10"/>
    </row>
    <row r="48" spans="1:5" x14ac:dyDescent="0.25">
      <c r="A48" s="10" t="s">
        <v>87</v>
      </c>
      <c r="B48" s="10" t="s">
        <v>87</v>
      </c>
      <c r="C48" s="10" t="s">
        <v>283</v>
      </c>
      <c r="D48" s="10"/>
      <c r="E48" s="10"/>
    </row>
    <row r="49" spans="1:5" x14ac:dyDescent="0.25">
      <c r="A49" s="10" t="s">
        <v>88</v>
      </c>
      <c r="B49" s="10" t="s">
        <v>88</v>
      </c>
      <c r="C49" s="10" t="s">
        <v>283</v>
      </c>
      <c r="D49" s="10"/>
      <c r="E49" s="10"/>
    </row>
    <row r="50" spans="1:5" x14ac:dyDescent="0.25">
      <c r="A50" s="10" t="s">
        <v>276</v>
      </c>
      <c r="B50" s="10" t="s">
        <v>90</v>
      </c>
      <c r="C50" s="10" t="s">
        <v>283</v>
      </c>
      <c r="D50" s="10"/>
      <c r="E50" s="10"/>
    </row>
    <row r="51" spans="1:5" x14ac:dyDescent="0.25">
      <c r="A51" s="10" t="s">
        <v>277</v>
      </c>
      <c r="B51" s="10" t="s">
        <v>92</v>
      </c>
      <c r="C51" s="10" t="s">
        <v>283</v>
      </c>
      <c r="D51" s="10"/>
      <c r="E51" s="10"/>
    </row>
    <row r="52" spans="1:5" x14ac:dyDescent="0.25">
      <c r="A52" s="10" t="s">
        <v>278</v>
      </c>
      <c r="B52" s="10" t="s">
        <v>94</v>
      </c>
      <c r="C52" s="10" t="s">
        <v>283</v>
      </c>
      <c r="D52" s="10"/>
      <c r="E52" s="10"/>
    </row>
    <row r="53" spans="1:5" x14ac:dyDescent="0.25">
      <c r="A53" s="10" t="s">
        <v>279</v>
      </c>
      <c r="B53" s="10" t="s">
        <v>42</v>
      </c>
      <c r="C53" s="10" t="s">
        <v>284</v>
      </c>
      <c r="D53" s="10" t="s">
        <v>294</v>
      </c>
      <c r="E53" s="12">
        <v>30513</v>
      </c>
    </row>
    <row r="54" spans="1:5" x14ac:dyDescent="0.25">
      <c r="A54" s="10" t="s">
        <v>100</v>
      </c>
      <c r="B54" s="10" t="s">
        <v>101</v>
      </c>
      <c r="C54" s="10" t="s">
        <v>283</v>
      </c>
      <c r="D54" s="10"/>
      <c r="E5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zoomScale="87" zoomScaleNormal="115" workbookViewId="0"/>
  </sheetViews>
  <sheetFormatPr defaultRowHeight="15" x14ac:dyDescent="0.25"/>
  <cols>
    <col min="1" max="1" width="58.28515625" customWidth="1"/>
    <col min="2" max="2" width="62.28515625" bestFit="1" customWidth="1"/>
    <col min="3" max="3" width="9.28515625" bestFit="1" customWidth="1"/>
    <col min="4" max="4" width="37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280</v>
      </c>
      <c r="D1" s="2" t="s">
        <v>281</v>
      </c>
      <c r="E1" s="3" t="s">
        <v>282</v>
      </c>
      <c r="G1" s="4" t="s">
        <v>283</v>
      </c>
      <c r="H1" s="5">
        <f>COUNTIF(C:C,G1)</f>
        <v>48</v>
      </c>
    </row>
    <row r="2" spans="1:8" x14ac:dyDescent="0.25">
      <c r="A2" s="10" t="s">
        <v>2</v>
      </c>
      <c r="B2" s="10" t="s">
        <v>3</v>
      </c>
      <c r="C2" s="10" t="s">
        <v>283</v>
      </c>
      <c r="D2" s="10"/>
      <c r="E2" s="10"/>
      <c r="G2" s="6" t="s">
        <v>284</v>
      </c>
      <c r="H2" s="7">
        <f>COUNTIF(C:C,G2)</f>
        <v>12</v>
      </c>
    </row>
    <row r="3" spans="1:8" ht="15.75" thickBot="1" x14ac:dyDescent="0.3">
      <c r="A3" s="10" t="s">
        <v>4</v>
      </c>
      <c r="B3" s="10" t="s">
        <v>4</v>
      </c>
      <c r="C3" s="10" t="s">
        <v>283</v>
      </c>
      <c r="D3" s="10"/>
      <c r="E3" s="10"/>
      <c r="G3" s="8" t="s">
        <v>285</v>
      </c>
      <c r="H3" s="9">
        <f>H1/SUM(H1:H2)</f>
        <v>0.8</v>
      </c>
    </row>
    <row r="4" spans="1:8" x14ac:dyDescent="0.25">
      <c r="A4" s="10" t="s">
        <v>5</v>
      </c>
      <c r="B4" s="10" t="s">
        <v>6</v>
      </c>
      <c r="C4" s="10" t="s">
        <v>284</v>
      </c>
      <c r="D4" s="10" t="s">
        <v>299</v>
      </c>
      <c r="E4" s="12">
        <v>17542</v>
      </c>
    </row>
    <row r="5" spans="1:8" x14ac:dyDescent="0.25">
      <c r="A5" s="10" t="s">
        <v>7</v>
      </c>
      <c r="B5" s="10" t="s">
        <v>8</v>
      </c>
      <c r="C5" s="10" t="s">
        <v>284</v>
      </c>
      <c r="D5" s="10" t="s">
        <v>299</v>
      </c>
      <c r="E5" s="12">
        <v>17542</v>
      </c>
    </row>
    <row r="6" spans="1:8" x14ac:dyDescent="0.25">
      <c r="A6" s="10" t="s">
        <v>9</v>
      </c>
      <c r="B6" s="10" t="s">
        <v>10</v>
      </c>
      <c r="C6" s="10" t="s">
        <v>283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283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283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283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283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283</v>
      </c>
      <c r="D11" s="10"/>
      <c r="E11" s="10"/>
    </row>
    <row r="12" spans="1:8" x14ac:dyDescent="0.25">
      <c r="A12" s="10" t="s">
        <v>21</v>
      </c>
      <c r="B12" s="10" t="s">
        <v>20</v>
      </c>
      <c r="C12" s="10" t="s">
        <v>283</v>
      </c>
      <c r="D12" s="10"/>
      <c r="E12" s="10"/>
    </row>
    <row r="13" spans="1:8" x14ac:dyDescent="0.25">
      <c r="A13" s="10" t="s">
        <v>22</v>
      </c>
      <c r="B13" s="10" t="s">
        <v>18</v>
      </c>
      <c r="C13" s="10" t="s">
        <v>283</v>
      </c>
      <c r="D13" s="10"/>
      <c r="E13" s="10"/>
    </row>
    <row r="14" spans="1:8" x14ac:dyDescent="0.25">
      <c r="A14" s="10" t="s">
        <v>23</v>
      </c>
      <c r="B14" s="10" t="s">
        <v>24</v>
      </c>
      <c r="C14" s="10" t="s">
        <v>284</v>
      </c>
      <c r="D14" s="10" t="s">
        <v>23</v>
      </c>
      <c r="E14" s="12">
        <v>30481</v>
      </c>
    </row>
    <row r="15" spans="1:8" x14ac:dyDescent="0.25">
      <c r="A15" s="10" t="s">
        <v>25</v>
      </c>
      <c r="B15" s="10" t="s">
        <v>26</v>
      </c>
      <c r="C15" s="10" t="s">
        <v>283</v>
      </c>
      <c r="D15" s="10"/>
      <c r="E15" s="10"/>
    </row>
    <row r="16" spans="1:8" x14ac:dyDescent="0.25">
      <c r="A16" s="10" t="s">
        <v>27</v>
      </c>
      <c r="B16" s="10" t="s">
        <v>28</v>
      </c>
      <c r="C16" s="10" t="s">
        <v>283</v>
      </c>
      <c r="D16" s="10"/>
      <c r="E16" s="10"/>
    </row>
    <row r="17" spans="1:5" x14ac:dyDescent="0.25">
      <c r="A17" s="10" t="s">
        <v>29</v>
      </c>
      <c r="B17" s="10" t="s">
        <v>6</v>
      </c>
      <c r="C17" s="10" t="s">
        <v>283</v>
      </c>
      <c r="D17" s="10"/>
      <c r="E17" s="10"/>
    </row>
    <row r="18" spans="1:5" x14ac:dyDescent="0.25">
      <c r="A18" s="10" t="s">
        <v>30</v>
      </c>
      <c r="B18" s="10" t="s">
        <v>3</v>
      </c>
      <c r="C18" s="10" t="s">
        <v>283</v>
      </c>
      <c r="D18" s="10"/>
      <c r="E18" s="10"/>
    </row>
    <row r="19" spans="1:5" x14ac:dyDescent="0.25">
      <c r="A19" s="10" t="s">
        <v>31</v>
      </c>
      <c r="B19" s="10" t="s">
        <v>32</v>
      </c>
      <c r="C19" s="10" t="s">
        <v>283</v>
      </c>
      <c r="D19" s="10"/>
      <c r="E19" s="10"/>
    </row>
    <row r="20" spans="1:5" x14ac:dyDescent="0.25">
      <c r="A20" s="10" t="s">
        <v>33</v>
      </c>
      <c r="B20" s="10" t="s">
        <v>34</v>
      </c>
      <c r="C20" s="10" t="s">
        <v>283</v>
      </c>
      <c r="D20" s="10"/>
      <c r="E20" s="10"/>
    </row>
    <row r="21" spans="1:5" x14ac:dyDescent="0.25">
      <c r="A21" s="10" t="s">
        <v>35</v>
      </c>
      <c r="B21" s="10" t="s">
        <v>36</v>
      </c>
      <c r="C21" s="10" t="s">
        <v>283</v>
      </c>
      <c r="D21" s="10"/>
      <c r="E21" s="10"/>
    </row>
    <row r="22" spans="1:5" x14ac:dyDescent="0.25">
      <c r="A22" s="10" t="s">
        <v>37</v>
      </c>
      <c r="B22" s="10" t="s">
        <v>38</v>
      </c>
      <c r="C22" s="10" t="s">
        <v>283</v>
      </c>
      <c r="D22" s="10"/>
      <c r="E22" s="10"/>
    </row>
    <row r="23" spans="1:5" x14ac:dyDescent="0.25">
      <c r="A23" s="10" t="s">
        <v>39</v>
      </c>
      <c r="B23" s="10" t="s">
        <v>40</v>
      </c>
      <c r="C23" s="10" t="s">
        <v>283</v>
      </c>
      <c r="D23" s="10"/>
      <c r="E23" s="10"/>
    </row>
    <row r="24" spans="1:5" x14ac:dyDescent="0.25">
      <c r="A24" s="10" t="s">
        <v>41</v>
      </c>
      <c r="B24" s="10" t="s">
        <v>42</v>
      </c>
      <c r="C24" s="10" t="s">
        <v>283</v>
      </c>
      <c r="D24" s="10"/>
      <c r="E24" s="10"/>
    </row>
    <row r="25" spans="1:5" x14ac:dyDescent="0.25">
      <c r="A25" s="10" t="s">
        <v>43</v>
      </c>
      <c r="B25" s="10" t="s">
        <v>44</v>
      </c>
      <c r="C25" s="10" t="s">
        <v>283</v>
      </c>
      <c r="D25" s="10"/>
      <c r="E25" s="10"/>
    </row>
    <row r="26" spans="1:5" x14ac:dyDescent="0.25">
      <c r="A26" s="10" t="s">
        <v>45</v>
      </c>
      <c r="B26" s="10" t="s">
        <v>46</v>
      </c>
      <c r="C26" s="10" t="s">
        <v>283</v>
      </c>
      <c r="D26" s="10"/>
      <c r="E26" s="10"/>
    </row>
    <row r="27" spans="1:5" x14ac:dyDescent="0.25">
      <c r="A27" s="10" t="s">
        <v>47</v>
      </c>
      <c r="B27" s="10" t="s">
        <v>3</v>
      </c>
      <c r="C27" s="10" t="s">
        <v>283</v>
      </c>
      <c r="D27" s="10"/>
      <c r="E27" s="10"/>
    </row>
    <row r="28" spans="1:5" x14ac:dyDescent="0.25">
      <c r="A28" s="10" t="s">
        <v>48</v>
      </c>
      <c r="B28" s="10" t="s">
        <v>49</v>
      </c>
      <c r="C28" s="10" t="s">
        <v>283</v>
      </c>
      <c r="D28" s="10"/>
      <c r="E28" s="10"/>
    </row>
    <row r="29" spans="1:5" x14ac:dyDescent="0.25">
      <c r="A29" s="10" t="s">
        <v>50</v>
      </c>
      <c r="B29" s="10" t="s">
        <v>51</v>
      </c>
      <c r="C29" s="10" t="s">
        <v>283</v>
      </c>
      <c r="D29" s="10"/>
      <c r="E29" s="10"/>
    </row>
    <row r="30" spans="1:5" x14ac:dyDescent="0.25">
      <c r="A30" s="10" t="s">
        <v>52</v>
      </c>
      <c r="B30" s="10" t="s">
        <v>53</v>
      </c>
      <c r="C30" s="10" t="s">
        <v>283</v>
      </c>
      <c r="D30" s="10"/>
      <c r="E30" s="10"/>
    </row>
    <row r="31" spans="1:5" x14ac:dyDescent="0.25">
      <c r="A31" s="10" t="s">
        <v>54</v>
      </c>
      <c r="B31" s="10" t="s">
        <v>53</v>
      </c>
      <c r="C31" s="10" t="s">
        <v>283</v>
      </c>
      <c r="D31" s="10"/>
      <c r="E31" s="10"/>
    </row>
    <row r="32" spans="1:5" x14ac:dyDescent="0.25">
      <c r="A32" s="10" t="s">
        <v>55</v>
      </c>
      <c r="B32" s="10" t="s">
        <v>56</v>
      </c>
      <c r="C32" s="10" t="s">
        <v>283</v>
      </c>
      <c r="D32" s="10"/>
      <c r="E32" s="10"/>
    </row>
    <row r="33" spans="1:5" x14ac:dyDescent="0.25">
      <c r="A33" s="10" t="s">
        <v>57</v>
      </c>
      <c r="B33" s="10" t="s">
        <v>58</v>
      </c>
      <c r="C33" s="10" t="s">
        <v>283</v>
      </c>
      <c r="D33" s="10"/>
      <c r="E33" s="10"/>
    </row>
    <row r="34" spans="1:5" x14ac:dyDescent="0.25">
      <c r="A34" s="10" t="s">
        <v>59</v>
      </c>
      <c r="B34" s="10" t="s">
        <v>60</v>
      </c>
      <c r="C34" s="10" t="s">
        <v>283</v>
      </c>
      <c r="D34" s="10"/>
      <c r="E34" s="10"/>
    </row>
    <row r="35" spans="1:5" x14ac:dyDescent="0.25">
      <c r="A35" s="10" t="s">
        <v>61</v>
      </c>
      <c r="B35" s="10" t="s">
        <v>62</v>
      </c>
      <c r="C35" s="10" t="s">
        <v>284</v>
      </c>
      <c r="D35" s="10" t="s">
        <v>305</v>
      </c>
      <c r="E35" s="12">
        <v>30491</v>
      </c>
    </row>
    <row r="36" spans="1:5" x14ac:dyDescent="0.25">
      <c r="A36" s="10" t="s">
        <v>63</v>
      </c>
      <c r="B36" s="10" t="s">
        <v>62</v>
      </c>
      <c r="C36" s="10" t="s">
        <v>284</v>
      </c>
      <c r="D36" s="10" t="s">
        <v>305</v>
      </c>
      <c r="E36" s="12">
        <v>30491</v>
      </c>
    </row>
    <row r="37" spans="1:5" x14ac:dyDescent="0.25">
      <c r="A37" s="10" t="s">
        <v>64</v>
      </c>
      <c r="B37" s="10" t="s">
        <v>58</v>
      </c>
      <c r="C37" s="10" t="s">
        <v>283</v>
      </c>
      <c r="D37" s="10"/>
      <c r="E37" s="10"/>
    </row>
    <row r="38" spans="1:5" x14ac:dyDescent="0.25">
      <c r="A38" s="10" t="s">
        <v>65</v>
      </c>
      <c r="B38" s="10" t="s">
        <v>66</v>
      </c>
      <c r="C38" s="10" t="s">
        <v>284</v>
      </c>
      <c r="D38" s="10" t="s">
        <v>53</v>
      </c>
      <c r="E38" s="12">
        <v>17557</v>
      </c>
    </row>
    <row r="39" spans="1:5" x14ac:dyDescent="0.25">
      <c r="A39" s="10" t="s">
        <v>67</v>
      </c>
      <c r="B39" s="10" t="s">
        <v>68</v>
      </c>
      <c r="C39" s="10" t="s">
        <v>284</v>
      </c>
      <c r="D39" s="10" t="s">
        <v>56</v>
      </c>
      <c r="E39" s="12">
        <v>17563</v>
      </c>
    </row>
    <row r="40" spans="1:5" x14ac:dyDescent="0.25">
      <c r="A40" s="10" t="s">
        <v>69</v>
      </c>
      <c r="B40" s="10" t="s">
        <v>69</v>
      </c>
      <c r="C40" s="10" t="s">
        <v>283</v>
      </c>
      <c r="D40" s="10"/>
      <c r="E40" s="10"/>
    </row>
    <row r="41" spans="1:5" x14ac:dyDescent="0.25">
      <c r="A41" s="10" t="s">
        <v>24</v>
      </c>
      <c r="B41" s="10" t="s">
        <v>23</v>
      </c>
      <c r="C41" t="s">
        <v>284</v>
      </c>
      <c r="D41" s="10" t="s">
        <v>24</v>
      </c>
      <c r="E41" s="12">
        <v>30485</v>
      </c>
    </row>
    <row r="42" spans="1:5" x14ac:dyDescent="0.25">
      <c r="A42" s="10" t="s">
        <v>70</v>
      </c>
      <c r="B42" s="10" t="s">
        <v>71</v>
      </c>
      <c r="C42" s="10" t="s">
        <v>283</v>
      </c>
      <c r="D42" s="10"/>
      <c r="E42" s="10"/>
    </row>
    <row r="43" spans="1:5" x14ac:dyDescent="0.25">
      <c r="A43" s="10" t="s">
        <v>72</v>
      </c>
      <c r="B43" s="10" t="s">
        <v>3</v>
      </c>
      <c r="C43" s="10" t="s">
        <v>283</v>
      </c>
      <c r="D43" s="10"/>
      <c r="E43" s="10"/>
    </row>
    <row r="44" spans="1:5" x14ac:dyDescent="0.25">
      <c r="A44" s="10" t="s">
        <v>73</v>
      </c>
      <c r="B44" s="10" t="s">
        <v>68</v>
      </c>
      <c r="C44" s="10" t="s">
        <v>283</v>
      </c>
      <c r="D44" s="10"/>
      <c r="E44" s="10"/>
    </row>
    <row r="45" spans="1:5" x14ac:dyDescent="0.25">
      <c r="A45" s="10" t="s">
        <v>74</v>
      </c>
      <c r="B45" s="10" t="s">
        <v>75</v>
      </c>
      <c r="C45" s="10" t="s">
        <v>283</v>
      </c>
      <c r="D45" s="10"/>
      <c r="E45" s="10"/>
    </row>
    <row r="46" spans="1:5" x14ac:dyDescent="0.25">
      <c r="A46" s="10" t="s">
        <v>76</v>
      </c>
      <c r="B46" s="10" t="s">
        <v>68</v>
      </c>
      <c r="C46" s="10" t="s">
        <v>283</v>
      </c>
      <c r="D46" s="10"/>
      <c r="E46" s="10"/>
    </row>
    <row r="47" spans="1:5" x14ac:dyDescent="0.25">
      <c r="A47" s="10" t="s">
        <v>77</v>
      </c>
      <c r="B47" s="10" t="s">
        <v>78</v>
      </c>
      <c r="C47" s="10" t="s">
        <v>283</v>
      </c>
      <c r="D47" s="10"/>
      <c r="E47" s="10"/>
    </row>
    <row r="48" spans="1:5" x14ac:dyDescent="0.25">
      <c r="A48" s="10" t="s">
        <v>79</v>
      </c>
      <c r="B48" s="10" t="s">
        <v>80</v>
      </c>
      <c r="C48" s="10" t="s">
        <v>283</v>
      </c>
      <c r="D48" s="10"/>
      <c r="E48" s="10"/>
    </row>
    <row r="49" spans="1:5" x14ac:dyDescent="0.25">
      <c r="A49" s="10" t="s">
        <v>81</v>
      </c>
      <c r="B49" s="10" t="s">
        <v>82</v>
      </c>
      <c r="C49" s="10" t="s">
        <v>283</v>
      </c>
      <c r="D49" s="10"/>
      <c r="E49" s="10"/>
    </row>
    <row r="50" spans="1:5" x14ac:dyDescent="0.25">
      <c r="A50" s="10" t="s">
        <v>83</v>
      </c>
      <c r="B50" s="10" t="s">
        <v>84</v>
      </c>
      <c r="C50" s="10" t="s">
        <v>283</v>
      </c>
      <c r="D50" s="10"/>
      <c r="E50" s="10"/>
    </row>
    <row r="51" spans="1:5" x14ac:dyDescent="0.25">
      <c r="A51" s="10" t="s">
        <v>85</v>
      </c>
      <c r="B51" s="10" t="s">
        <v>86</v>
      </c>
      <c r="C51" s="10" t="s">
        <v>284</v>
      </c>
      <c r="D51" s="10" t="s">
        <v>8</v>
      </c>
      <c r="E51" s="12">
        <v>30467</v>
      </c>
    </row>
    <row r="52" spans="1:5" x14ac:dyDescent="0.25">
      <c r="A52" s="10" t="s">
        <v>87</v>
      </c>
      <c r="B52" s="10" t="s">
        <v>87</v>
      </c>
      <c r="C52" s="10" t="s">
        <v>283</v>
      </c>
      <c r="D52" s="10"/>
      <c r="E52" s="10"/>
    </row>
    <row r="53" spans="1:5" x14ac:dyDescent="0.25">
      <c r="A53" s="10" t="s">
        <v>88</v>
      </c>
      <c r="B53" s="10" t="s">
        <v>88</v>
      </c>
      <c r="C53" s="10" t="s">
        <v>283</v>
      </c>
      <c r="D53" s="10"/>
      <c r="E53" s="10"/>
    </row>
    <row r="54" spans="1:5" x14ac:dyDescent="0.25">
      <c r="A54" s="10" t="s">
        <v>89</v>
      </c>
      <c r="B54" s="10" t="s">
        <v>90</v>
      </c>
      <c r="C54" s="10" t="s">
        <v>283</v>
      </c>
      <c r="D54" s="10"/>
      <c r="E54" s="10"/>
    </row>
    <row r="55" spans="1:5" x14ac:dyDescent="0.25">
      <c r="A55" s="10" t="s">
        <v>91</v>
      </c>
      <c r="B55" s="10" t="s">
        <v>92</v>
      </c>
      <c r="C55" s="10" t="s">
        <v>283</v>
      </c>
      <c r="D55" s="10"/>
      <c r="E55" s="10"/>
    </row>
    <row r="56" spans="1:5" x14ac:dyDescent="0.25">
      <c r="A56" s="10" t="s">
        <v>93</v>
      </c>
      <c r="B56" s="10" t="s">
        <v>94</v>
      </c>
      <c r="C56" s="10" t="s">
        <v>283</v>
      </c>
      <c r="D56" s="10"/>
      <c r="E56" s="10"/>
    </row>
    <row r="57" spans="1:5" x14ac:dyDescent="0.25">
      <c r="A57" s="10" t="s">
        <v>95</v>
      </c>
      <c r="B57" s="10" t="s">
        <v>42</v>
      </c>
      <c r="C57" s="10" t="s">
        <v>284</v>
      </c>
      <c r="D57" s="10" t="s">
        <v>294</v>
      </c>
      <c r="E57" s="12">
        <v>30513</v>
      </c>
    </row>
    <row r="58" spans="1:5" x14ac:dyDescent="0.25">
      <c r="A58" s="10" t="s">
        <v>96</v>
      </c>
      <c r="B58" s="10" t="s">
        <v>42</v>
      </c>
      <c r="C58" s="10" t="s">
        <v>284</v>
      </c>
      <c r="D58" s="10" t="s">
        <v>294</v>
      </c>
      <c r="E58" s="12">
        <v>30513</v>
      </c>
    </row>
    <row r="59" spans="1:5" x14ac:dyDescent="0.25">
      <c r="A59" s="10" t="s">
        <v>97</v>
      </c>
      <c r="B59" s="10" t="s">
        <v>94</v>
      </c>
      <c r="C59" s="10" t="s">
        <v>284</v>
      </c>
      <c r="D59" s="10" t="s">
        <v>294</v>
      </c>
      <c r="E59" s="12">
        <v>30513</v>
      </c>
    </row>
    <row r="60" spans="1:5" x14ac:dyDescent="0.25">
      <c r="A60" s="10" t="s">
        <v>98</v>
      </c>
      <c r="B60" s="10" t="s">
        <v>99</v>
      </c>
      <c r="C60" s="10" t="s">
        <v>283</v>
      </c>
      <c r="D60" s="10"/>
      <c r="E60" s="10"/>
    </row>
    <row r="61" spans="1:5" x14ac:dyDescent="0.25">
      <c r="A61" s="10" t="s">
        <v>100</v>
      </c>
      <c r="B61" s="10" t="s">
        <v>101</v>
      </c>
      <c r="C61" s="10" t="s">
        <v>295</v>
      </c>
      <c r="D61" s="10"/>
      <c r="E6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and Loss</vt:lpstr>
      <vt:lpstr>Consolidated Profit and Loss</vt:lpstr>
      <vt:lpstr>Standalone Balance Sheet</vt:lpstr>
      <vt:lpstr>Consolidated Balance Sheet</vt:lpstr>
      <vt:lpstr>Standalone Cash Flows</vt:lpstr>
      <vt:lpstr>Consolidated Cash 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2026-03-16T07:16:13Z</dcterms:created>
  <dcterms:modified xsi:type="dcterms:W3CDTF">2026-03-25T10:30:05Z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2026-03-20T11:06:44Z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9fbd08ba-30ea-4a63-bc6a-f5dab02fd04e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