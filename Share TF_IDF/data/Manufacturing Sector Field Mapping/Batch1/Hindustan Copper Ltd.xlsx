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-03-2026\"/>
    </mc:Choice>
  </mc:AlternateContent>
  <xr:revisionPtr revIDLastSave="0" documentId="13_ncr:1_{02EC2A4A-9C2A-4B6E-AD89-3D8929D040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4" hidden="1">'Standalone Cash Flow'!$A$1:$H$34</definedName>
    <definedName name="_xlnm._FilterDatabase" localSheetId="0" hidden="1">'Standalone Profit &amp; Loss'!$A$1:$H$41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3" i="6" s="1"/>
  <c r="H2" i="3"/>
  <c r="H1" i="3"/>
  <c r="H2" i="5"/>
  <c r="H1" i="5"/>
  <c r="H2" i="2"/>
  <c r="H1" i="2"/>
  <c r="H2" i="4"/>
  <c r="H1" i="4"/>
  <c r="H2" i="1"/>
  <c r="H1" i="1"/>
  <c r="H3" i="3" l="1"/>
  <c r="H3" i="5"/>
  <c r="H3" i="2"/>
  <c r="H3" i="4"/>
  <c r="H3" i="1"/>
</calcChain>
</file>

<file path=xl/sharedStrings.xml><?xml version="1.0" encoding="utf-8"?>
<sst xmlns="http://schemas.openxmlformats.org/spreadsheetml/2006/main" count="878" uniqueCount="229">
  <si>
    <t>Particulars</t>
  </si>
  <si>
    <t>Cogencis Field</t>
  </si>
  <si>
    <t>Status</t>
  </si>
  <si>
    <t>Revised Field Mapping</t>
  </si>
  <si>
    <t>Field id</t>
  </si>
  <si>
    <t>Correct</t>
  </si>
  <si>
    <t>Revenue from Operations</t>
  </si>
  <si>
    <t>Gross Sales/Income from Operations</t>
  </si>
  <si>
    <t>Incorrect</t>
  </si>
  <si>
    <t>The ‘Revenue from Operations’ field is not captured and has been added manually.</t>
  </si>
  <si>
    <t>Other Income</t>
  </si>
  <si>
    <t>Miscellaneous Income</t>
  </si>
  <si>
    <t>Accuracy %</t>
  </si>
  <si>
    <t>Total Income</t>
  </si>
  <si>
    <t>Expenses</t>
  </si>
  <si>
    <t>Lable</t>
  </si>
  <si>
    <t>Cost of Materials Consumed</t>
  </si>
  <si>
    <t>Changes in Inventories of Finished goods &amp; Work - in - progress</t>
  </si>
  <si>
    <t>Changes in Inventories of Finished Goods, Work-In-Progress and Stock-In-Trade</t>
  </si>
  <si>
    <t>Cost of Stores Spares &amp; Tools consumed</t>
  </si>
  <si>
    <t>Employee Benefits Expense</t>
  </si>
  <si>
    <t>Employee Benefit Expense</t>
  </si>
  <si>
    <t>Consumption of Power &amp; Fuel</t>
  </si>
  <si>
    <t>Power and Fuel</t>
  </si>
  <si>
    <t>Finance Costs</t>
  </si>
  <si>
    <t>Depreciation and Amortisation Expense</t>
  </si>
  <si>
    <t>Depreciation, Depletion and Amortisation Expense</t>
  </si>
  <si>
    <t>Other Expenses</t>
  </si>
  <si>
    <t>Total expenses</t>
  </si>
  <si>
    <t>Total Expenses</t>
  </si>
  <si>
    <t>Profit/(Loss ) before exceptional items &amp; tax</t>
  </si>
  <si>
    <t>Profit/(Loss) from Ordinary Activities after Finance Costs but before Exceptional Items</t>
  </si>
  <si>
    <t>Exceptional items</t>
  </si>
  <si>
    <t>Other Exceptional Items</t>
  </si>
  <si>
    <t>Profit/(Loss ) before tax</t>
  </si>
  <si>
    <t>Profit/(Loss) From Ordinary Activities before Tax</t>
  </si>
  <si>
    <t>Tax expense :</t>
  </si>
  <si>
    <t>Current Tax</t>
  </si>
  <si>
    <t>Tax Expense</t>
  </si>
  <si>
    <t>Deferred Tax</t>
  </si>
  <si>
    <t>Profit/(Loss } for the period from continuing operations ( after tax )</t>
  </si>
  <si>
    <t>Net Profit/(Loss) from Ordinary Activities after Tax</t>
  </si>
  <si>
    <t>Profit/(Loss) for the Period from Continuing Operations</t>
  </si>
  <si>
    <t>Profit /(Loss ) for the period from discontinued operations</t>
  </si>
  <si>
    <t>Net Profit From Discontinuing Operations (After Tax)</t>
  </si>
  <si>
    <t>Profit/(Loss) from Discontinuing Operations</t>
  </si>
  <si>
    <t>Tax expense of discontinued operations</t>
  </si>
  <si>
    <t>Tax Expense of Discontinuing Operations</t>
  </si>
  <si>
    <t>Profit /(Loss ) for the period from discontinued operations ( after tax )</t>
  </si>
  <si>
    <t>Profit/(Loss ) for the period</t>
  </si>
  <si>
    <t>Net Profit/(Loss) for the Period</t>
  </si>
  <si>
    <t>Other Comprehensive Income ( OCI )</t>
  </si>
  <si>
    <t>Items that will not be reclassified to Profit/(Loss )</t>
  </si>
  <si>
    <t>Items that will not be reclassified to Profit or Loss</t>
  </si>
  <si>
    <t>Income tax relating to Items that will not be reclassified to Profit/(Loss )</t>
  </si>
  <si>
    <t>Income Tax related to items that will not be reclassified to Profit or Loss</t>
  </si>
  <si>
    <t>Other Comprehensive Income for the period ( net of Tax )</t>
  </si>
  <si>
    <t>Other Comprehensive Income</t>
  </si>
  <si>
    <t>Total Comprehensive Income for the Period</t>
  </si>
  <si>
    <t>Total Comprehensive Gain (Loss) For the Year</t>
  </si>
  <si>
    <t>Paid-up Equity Share Capital (Face Value f 5/- Per Share)</t>
  </si>
  <si>
    <t>Paid-Up Equity Share Capital</t>
  </si>
  <si>
    <t>Other Equity excluding Revaluation Reserves as per balance sheet of previous accounting year</t>
  </si>
  <si>
    <t>Reserve excluding Revaluation Reserves (as per Balance Sheet of Previous Accounting Year)</t>
  </si>
  <si>
    <t>Earnings per share ( EPS ) ( for continuing operations )</t>
  </si>
  <si>
    <t>Basic ( ? )</t>
  </si>
  <si>
    <t>Basic EPS</t>
  </si>
  <si>
    <t>Diluted ( ? )</t>
  </si>
  <si>
    <t>Diluted EPS</t>
  </si>
  <si>
    <t>Earnings per share ( EPS ) ( for discontinued operations )</t>
  </si>
  <si>
    <t>Earnings per share(EPS ) ( for continuing and discontinued operations )</t>
  </si>
  <si>
    <t>Changes in inventories of Finished goods &amp; Work - in - progress</t>
  </si>
  <si>
    <t xml:space="preserve">Profit/(Loss ) before exceptional items &amp; tax </t>
  </si>
  <si>
    <t xml:space="preserve">Profit/(Loss ) for the period from continuing operations ( after tax ) </t>
  </si>
  <si>
    <t>Attributable to Owners of the Company</t>
  </si>
  <si>
    <t>Owners of the company</t>
  </si>
  <si>
    <t>Non Controlling Interest</t>
  </si>
  <si>
    <t>Non-Controlling Interests</t>
  </si>
  <si>
    <t>Net Profit/(Loss) After Taxes But Before Share of Profit/(Loss) of Associates and Minority Interest</t>
  </si>
  <si>
    <t>Share of Profit/(loss ) of Joint venture/ Associate</t>
  </si>
  <si>
    <t>Share of Profit/(loss) of associates and Joint Ventures before ebt</t>
  </si>
  <si>
    <t>Share of Profit/(Loss) of Associates/Joint Ventures</t>
  </si>
  <si>
    <t xml:space="preserve">Net Profit/(Loss ) for the period after tax &amp; Share of profit/(Loss ) of JV/Associate </t>
  </si>
  <si>
    <t>Items that will not be reclassified to Profit /(Loss )</t>
  </si>
  <si>
    <t>Income tax relating to Items that will not be reclassified to Profit /(Loss )</t>
  </si>
  <si>
    <t>NON - CURRENT ASSETS</t>
  </si>
  <si>
    <t>Property Plant and Equipment</t>
  </si>
  <si>
    <t>Property, Plant &amp; Equipment</t>
  </si>
  <si>
    <t>Capital Work In Progress</t>
  </si>
  <si>
    <t>Capital Work-In-Progress</t>
  </si>
  <si>
    <t>Other Intangible Assets</t>
  </si>
  <si>
    <t>Financial Assets</t>
  </si>
  <si>
    <t>Investments</t>
  </si>
  <si>
    <t>Non-Current Investments</t>
  </si>
  <si>
    <t>Others</t>
  </si>
  <si>
    <t>Other Non-Current Financial Assets</t>
  </si>
  <si>
    <t>Deferred Tax Assets ( net )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</si>
  <si>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</si>
  <si>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</si>
  <si>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</si>
  <si>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</si>
  <si>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</si>
  <si>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</si>
  <si>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</si>
  <si>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Current Investments</t>
  </si>
  <si>
    <t>Trada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</si>
  <si>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</si>
  <si>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</si>
  <si>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</si>
  <si>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</si>
  <si>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</si>
  <si>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Financial Assets</t>
  </si>
  <si>
    <t>Current Tax Assets ( Net )</t>
  </si>
  <si>
    <t>Current Tax Assets (Net)</t>
  </si>
  <si>
    <t>Other current assets</t>
  </si>
  <si>
    <t>Other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</si>
  <si>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</si>
  <si>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</si>
  <si>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</si>
  <si>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</si>
  <si>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</si>
  <si>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</si>
  <si>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</si>
  <si>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</si>
  <si>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</si>
  <si>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</si>
  <si>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</si>
  <si>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NON - CURRENT LIABILITIES</t>
  </si>
  <si>
    <t>Financial Liabilities</t>
  </si>
  <si>
    <t>Borrowings</t>
  </si>
  <si>
    <t>Lease Liabilities</t>
  </si>
  <si>
    <t>Lease liabilities</t>
  </si>
  <si>
    <t>Trade Payables</t>
  </si>
  <si>
    <t>Label</t>
  </si>
  <si>
    <t>Dues to Micro and Small Enterprises</t>
  </si>
  <si>
    <t>Dues to Other than Micro and Small Enterprises</t>
  </si>
  <si>
    <t>Other financial liabilities</t>
  </si>
  <si>
    <t>Other Non Current Financial Liabilities</t>
  </si>
  <si>
    <t>Provisions</t>
  </si>
  <si>
    <t>Long-Term Provisions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</si>
  <si>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</si>
  <si>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</si>
  <si>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</si>
  <si>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</si>
  <si>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</si>
  <si>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Other Current Financial Liabilities</t>
  </si>
  <si>
    <t>Other current liabilities</t>
  </si>
  <si>
    <t>Other liabilities</t>
  </si>
  <si>
    <t>Short-Term Provisions</t>
  </si>
  <si>
    <t>Current tax liabilities</t>
  </si>
  <si>
    <t>Current Tax Liabilities (Net)</t>
  </si>
  <si>
    <t>Total Current Liabilities</t>
  </si>
  <si>
    <t>TOTAL EQUITY &amp; LIABILITIES</t>
  </si>
  <si>
    <t>Total Equity And Liabilities</t>
  </si>
  <si>
    <t>Trade receivables</t>
  </si>
  <si>
    <t>Equity Attributable to the Owners of the Company</t>
  </si>
  <si>
    <t>Minority Interest</t>
  </si>
  <si>
    <t>Calculated Field</t>
  </si>
  <si>
    <t>PROFIT/(LOSS ) BEFORE TAX</t>
  </si>
  <si>
    <t>Net Profit Before Tax And Exceptional Item</t>
  </si>
  <si>
    <t>Adjusted for :</t>
  </si>
  <si>
    <t>Depreciation</t>
  </si>
  <si>
    <t>Foreign Currency Fluctuation</t>
  </si>
  <si>
    <t>Others-Financing Activities</t>
  </si>
  <si>
    <t>Foreign Exchange Gain / Loss</t>
  </si>
  <si>
    <t>Provisions charged</t>
  </si>
  <si>
    <t>Other Provisions Written Off</t>
  </si>
  <si>
    <t>Provisions written back</t>
  </si>
  <si>
    <t>Interest expense</t>
  </si>
  <si>
    <t>Interest Expense</t>
  </si>
  <si>
    <t>Amortisation</t>
  </si>
  <si>
    <t>Value of Ore Raised during Mine expansion / construction / development</t>
  </si>
  <si>
    <t>Trade Payables And Others</t>
  </si>
  <si>
    <t>Others-Before Working Capital Changes</t>
  </si>
  <si>
    <t>Interest income</t>
  </si>
  <si>
    <t>Interest Received</t>
  </si>
  <si>
    <t>Interest Income</t>
  </si>
  <si>
    <t>Loss / ( Profit ) on disposal of fixed assets</t>
  </si>
  <si>
    <t>Profit On Sale Of Investments</t>
  </si>
  <si>
    <t>Profit On Sale Of Fixed Assets</t>
  </si>
  <si>
    <t>OPERATING PROFIT/(LOSS ) BEFORE WORKING CAPITAL CHANGES</t>
  </si>
  <si>
    <t>Operating Profit Before Working Capital Changes</t>
  </si>
  <si>
    <t>Decrease/ ( Increase ) in Trede Receivables</t>
  </si>
  <si>
    <t>Trade And Other Receivables</t>
  </si>
  <si>
    <t>Decrease/ ( Increase ) in Inventories</t>
  </si>
  <si>
    <t>Decrease/ ( Increase ) in Current &amp; Non - Current essets</t>
  </si>
  <si>
    <t>Other Current and Non Current Liabilities</t>
  </si>
  <si>
    <t>Other Current and Non Current Assets</t>
  </si>
  <si>
    <t>Increase/(Decrease ) in Current &amp; Non - Current Liabilities</t>
  </si>
  <si>
    <t>CASH GENERATED FROM OPERATIONS</t>
  </si>
  <si>
    <t>Cash Generated From Operations</t>
  </si>
  <si>
    <t>Taxes paid ( Net )</t>
  </si>
  <si>
    <t>Others-From Operations</t>
  </si>
  <si>
    <t>Income Tax Paid</t>
  </si>
  <si>
    <t>NET CASH FROM / ( USED IN ) OPERATING ACTIVITIES</t>
  </si>
  <si>
    <t>Net Cash Flow From Operating Activities</t>
  </si>
  <si>
    <t>CASH FLOW FROM INVESTING ACTIVITIES :</t>
  </si>
  <si>
    <t>Purchase of Fixed Assets</t>
  </si>
  <si>
    <t>Purchase Of Fixed Assets (Tangible / Intangible)</t>
  </si>
  <si>
    <t>Sale of Fixed Assets</t>
  </si>
  <si>
    <t>Sale Of Fixed Assets (Tangible / Intangible)</t>
  </si>
  <si>
    <t>Interest received</t>
  </si>
  <si>
    <t>Mining Properties ( Mine Development Expenditure )</t>
  </si>
  <si>
    <t>Others-Investing Activities</t>
  </si>
  <si>
    <t>NET CASH FROM / ( USED IN ) INVESTING ACTIVITIES</t>
  </si>
  <si>
    <t>Net Cash Flow From Investing Activities</t>
  </si>
  <si>
    <t>CASH FLOW FROM FINANCING ACTIVITIES</t>
  </si>
  <si>
    <t>Non - Current borrowings / ( Loans repaid )</t>
  </si>
  <si>
    <t>Repayment Of Long Term Borrowings</t>
  </si>
  <si>
    <t>Interest paid</t>
  </si>
  <si>
    <t>Interest Paid</t>
  </si>
  <si>
    <t>NET CASH FROM / ( USED IN )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</si>
  <si>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</si>
  <si>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</si>
  <si>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</si>
  <si>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CASH AND CASH EQUIVALENTS -at the beginning of the year</t>
  </si>
  <si>
    <t>Cash and Cash Equivalents at the Beginning of the Year</t>
  </si>
  <si>
    <t>CASH AND CASH EQUIVALENTS - at the end of the Half year</t>
  </si>
  <si>
    <t>Cash and Cash Equivalents at the End of the Year</t>
  </si>
  <si>
    <t>PROFIT/ ( LOSS ) BEFORE TAX</t>
  </si>
  <si>
    <t>Adjusted tor :</t>
  </si>
  <si>
    <t>Decrease/ ( Increase ) in Trade &amp; other Receivables</t>
  </si>
  <si>
    <t>Decrease/ ( Increase ) in Currant &amp; Non - Current assets</t>
  </si>
  <si>
    <t>Increase/ ( Decrease ) in Current &amp; Non - Current Liabilities</t>
  </si>
  <si>
    <t>Investment in Subsidiary / Joint Venture</t>
  </si>
  <si>
    <t>Investment In Subsidiaries</t>
  </si>
  <si>
    <t>Non - Current borrowings/ ( Loans repaid )</t>
  </si>
  <si>
    <t>NET CASH FROM / ( USED IN FINANCING ACTIVITIES</t>
  </si>
  <si>
    <t>CASH AND CASH EQUIVALENTS - at the Beginning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</si>
</sst>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/>
    <xf numFmtId="0" fontId="4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0" borderId="0" xfId="0" applyAlignment="1">
      <alignment vertical="center"/>
    </xf>
    <xf numFmtId="0" fontId="0" fillId="2" borderId="1" xfId="0" applyFill="1" applyBorder="1"/>
    <xf numFmtId="0" fontId="4" fillId="2" borderId="1" xfId="0" applyFont="1" applyFill="1" applyBorder="1"/>
    <xf numFmtId="0" fontId="3" fillId="0" borderId="1" xfId="0" applyFont="1" applyBorder="1"/>
    <xf numFmtId="0" fontId="5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zoomScale="94" zoomScaleNormal="130" workbookViewId="0">
      <selection activeCell="A2" sqref="A2"/>
    </sheetView>
  </sheetViews>
  <sheetFormatPr defaultRowHeight="15"/>
  <cols>
    <col min="1" max="1" width="52.7109375" customWidth="1"/>
    <col min="2" max="2" width="76.42578125" bestFit="1" customWidth="1"/>
    <col min="3" max="3" width="8" customWidth="1"/>
    <col min="4" max="4" width="20" bestFit="1" customWidth="1"/>
    <col min="5" max="5" width="6.8554687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34</v>
      </c>
    </row>
    <row r="2" spans="1:8">
      <c r="A2" t="s">
        <v>6</v>
      </c>
      <c r="B2" s="10" t="s">
        <v>7</v>
      </c>
      <c r="C2" s="10" t="s">
        <v>8</v>
      </c>
      <c r="D2" s="11" t="s">
        <v>9</v>
      </c>
      <c r="E2" s="3"/>
      <c r="G2" s="6" t="s">
        <v>8</v>
      </c>
      <c r="H2" s="7">
        <f>COUNTIF(C:C,G2)</f>
        <v>6</v>
      </c>
    </row>
    <row r="3" spans="1:8" ht="15.75" thickBot="1">
      <c r="A3" s="10" t="s">
        <v>10</v>
      </c>
      <c r="B3" s="10" t="s">
        <v>11</v>
      </c>
      <c r="C3" s="10" t="s">
        <v>5</v>
      </c>
      <c r="D3" s="10"/>
      <c r="E3" s="10"/>
      <c r="G3" s="8" t="s">
        <v>12</v>
      </c>
      <c r="H3" s="9">
        <f>H1/SUM(H1:H2)</f>
        <v>0.85</v>
      </c>
    </row>
    <row r="4" spans="1:8">
      <c r="A4" s="10" t="s">
        <v>13</v>
      </c>
      <c r="B4" s="10" t="s">
        <v>13</v>
      </c>
      <c r="C4" s="10" t="s">
        <v>5</v>
      </c>
      <c r="D4" s="10"/>
      <c r="E4" s="10"/>
    </row>
    <row r="5" spans="1:8">
      <c r="A5" s="10" t="s">
        <v>14</v>
      </c>
      <c r="B5" s="10" t="s">
        <v>15</v>
      </c>
      <c r="C5" s="10" t="s">
        <v>5</v>
      </c>
      <c r="D5" s="10"/>
      <c r="E5" s="10"/>
    </row>
    <row r="6" spans="1:8">
      <c r="A6" s="10" t="s">
        <v>16</v>
      </c>
      <c r="B6" s="10" t="s">
        <v>16</v>
      </c>
      <c r="C6" s="10" t="s">
        <v>5</v>
      </c>
      <c r="D6" s="10"/>
      <c r="E6" s="10"/>
    </row>
    <row r="7" spans="1:8">
      <c r="A7" s="10" t="s">
        <v>17</v>
      </c>
      <c r="B7" s="10" t="s">
        <v>18</v>
      </c>
      <c r="C7" s="10" t="s">
        <v>5</v>
      </c>
      <c r="D7" s="10"/>
      <c r="E7" s="10"/>
    </row>
    <row r="8" spans="1:8">
      <c r="A8" s="10" t="s">
        <v>19</v>
      </c>
      <c r="B8" s="10" t="s">
        <v>16</v>
      </c>
      <c r="C8" s="10" t="s">
        <v>5</v>
      </c>
      <c r="D8" s="10"/>
      <c r="E8" s="10"/>
    </row>
    <row r="9" spans="1:8">
      <c r="A9" s="10" t="s">
        <v>20</v>
      </c>
      <c r="B9" s="10" t="s">
        <v>21</v>
      </c>
      <c r="C9" s="10" t="s">
        <v>5</v>
      </c>
      <c r="D9" s="10"/>
      <c r="E9" s="10"/>
    </row>
    <row r="10" spans="1:8">
      <c r="A10" s="10" t="s">
        <v>22</v>
      </c>
      <c r="B10" s="10" t="s">
        <v>16</v>
      </c>
      <c r="C10" s="10" t="s">
        <v>8</v>
      </c>
      <c r="D10" s="10" t="s">
        <v>23</v>
      </c>
      <c r="E10" s="12">
        <v>297</v>
      </c>
    </row>
    <row r="11" spans="1:8">
      <c r="A11" s="10" t="s">
        <v>24</v>
      </c>
      <c r="B11" s="10" t="s">
        <v>24</v>
      </c>
      <c r="C11" s="10" t="s">
        <v>5</v>
      </c>
      <c r="D11" s="10"/>
      <c r="E11" s="10"/>
    </row>
    <row r="12" spans="1:8">
      <c r="A12" s="10" t="s">
        <v>25</v>
      </c>
      <c r="B12" s="10" t="s">
        <v>26</v>
      </c>
      <c r="C12" s="10" t="s">
        <v>5</v>
      </c>
      <c r="D12" s="10"/>
      <c r="E12" s="10"/>
    </row>
    <row r="13" spans="1:8">
      <c r="A13" s="10" t="s">
        <v>27</v>
      </c>
      <c r="B13" s="10" t="s">
        <v>27</v>
      </c>
      <c r="C13" s="10" t="s">
        <v>5</v>
      </c>
      <c r="D13" s="10"/>
      <c r="E13" s="10"/>
    </row>
    <row r="14" spans="1:8">
      <c r="A14" s="10" t="s">
        <v>28</v>
      </c>
      <c r="B14" s="10" t="s">
        <v>29</v>
      </c>
      <c r="C14" s="10" t="s">
        <v>5</v>
      </c>
      <c r="D14" s="10"/>
      <c r="E14" s="10"/>
    </row>
    <row r="15" spans="1:8">
      <c r="A15" s="10" t="s">
        <v>30</v>
      </c>
      <c r="B15" s="10" t="s">
        <v>31</v>
      </c>
      <c r="C15" s="10" t="s">
        <v>5</v>
      </c>
      <c r="D15" s="10"/>
      <c r="E15" s="10"/>
    </row>
    <row r="16" spans="1:8">
      <c r="A16" s="10" t="s">
        <v>32</v>
      </c>
      <c r="B16" s="10" t="s">
        <v>33</v>
      </c>
      <c r="C16" s="10" t="s">
        <v>5</v>
      </c>
      <c r="D16" s="10"/>
      <c r="E16" s="10"/>
    </row>
    <row r="17" spans="1:5">
      <c r="A17" s="10" t="s">
        <v>34</v>
      </c>
      <c r="B17" s="10" t="s">
        <v>15</v>
      </c>
      <c r="C17" s="10" t="s">
        <v>8</v>
      </c>
      <c r="D17" s="10" t="s">
        <v>35</v>
      </c>
      <c r="E17" s="12">
        <v>296</v>
      </c>
    </row>
    <row r="18" spans="1:5">
      <c r="A18" s="10" t="s">
        <v>36</v>
      </c>
      <c r="B18" s="10" t="s">
        <v>15</v>
      </c>
      <c r="C18" s="10" t="s">
        <v>5</v>
      </c>
      <c r="D18" s="10"/>
      <c r="E18" s="10"/>
    </row>
    <row r="19" spans="1:5">
      <c r="A19" s="10" t="s">
        <v>37</v>
      </c>
      <c r="B19" s="10" t="s">
        <v>38</v>
      </c>
      <c r="C19" s="10" t="s">
        <v>5</v>
      </c>
      <c r="D19" s="10"/>
      <c r="E19" s="10"/>
    </row>
    <row r="20" spans="1:5">
      <c r="A20" s="10" t="s">
        <v>39</v>
      </c>
      <c r="B20" s="10" t="s">
        <v>39</v>
      </c>
      <c r="C20" s="10" t="s">
        <v>5</v>
      </c>
      <c r="D20" s="10"/>
      <c r="E20" s="10"/>
    </row>
    <row r="21" spans="1:5">
      <c r="A21" s="10" t="s">
        <v>40</v>
      </c>
      <c r="B21" s="10" t="s">
        <v>41</v>
      </c>
      <c r="C21" s="10" t="s">
        <v>8</v>
      </c>
      <c r="D21" s="10" t="s">
        <v>42</v>
      </c>
      <c r="E21" s="12">
        <v>20017</v>
      </c>
    </row>
    <row r="22" spans="1:5">
      <c r="A22" s="10" t="s">
        <v>43</v>
      </c>
      <c r="B22" s="10" t="s">
        <v>44</v>
      </c>
      <c r="C22" s="10" t="s">
        <v>8</v>
      </c>
      <c r="D22" s="10" t="s">
        <v>45</v>
      </c>
      <c r="E22" s="12">
        <v>20016</v>
      </c>
    </row>
    <row r="23" spans="1:5">
      <c r="A23" s="10" t="s">
        <v>46</v>
      </c>
      <c r="B23" s="10" t="s">
        <v>47</v>
      </c>
      <c r="C23" s="10" t="s">
        <v>5</v>
      </c>
      <c r="D23" s="10"/>
      <c r="E23" s="10"/>
    </row>
    <row r="24" spans="1:5">
      <c r="A24" s="10" t="s">
        <v>48</v>
      </c>
      <c r="B24" s="10" t="s">
        <v>44</v>
      </c>
      <c r="C24" s="10" t="s">
        <v>5</v>
      </c>
      <c r="D24" s="10"/>
      <c r="E24" s="10"/>
    </row>
    <row r="25" spans="1:5">
      <c r="A25" s="10" t="s">
        <v>49</v>
      </c>
      <c r="B25" s="10" t="s">
        <v>50</v>
      </c>
      <c r="C25" s="10" t="s">
        <v>5</v>
      </c>
      <c r="D25" s="10"/>
      <c r="E25" s="10"/>
    </row>
    <row r="26" spans="1:5">
      <c r="A26" s="10" t="s">
        <v>51</v>
      </c>
      <c r="B26" s="10" t="s">
        <v>15</v>
      </c>
      <c r="C26" s="10" t="s">
        <v>5</v>
      </c>
      <c r="D26" s="10"/>
      <c r="E26" s="10"/>
    </row>
    <row r="27" spans="1:5">
      <c r="A27" s="10" t="s">
        <v>52</v>
      </c>
      <c r="B27" s="10" t="s">
        <v>15</v>
      </c>
      <c r="C27" s="10" t="s">
        <v>8</v>
      </c>
      <c r="D27" s="10" t="s">
        <v>53</v>
      </c>
      <c r="E27" s="12">
        <v>22293</v>
      </c>
    </row>
    <row r="28" spans="1:5">
      <c r="A28" s="10" t="s">
        <v>54</v>
      </c>
      <c r="B28" s="10" t="s">
        <v>55</v>
      </c>
      <c r="C28" s="10" t="s">
        <v>5</v>
      </c>
      <c r="D28" s="10"/>
      <c r="E28" s="10"/>
    </row>
    <row r="29" spans="1:5">
      <c r="A29" s="10" t="s">
        <v>56</v>
      </c>
      <c r="B29" s="10" t="s">
        <v>57</v>
      </c>
      <c r="C29" s="10" t="s">
        <v>5</v>
      </c>
      <c r="D29" s="10"/>
      <c r="E29" s="10"/>
    </row>
    <row r="30" spans="1:5">
      <c r="A30" s="10" t="s">
        <v>58</v>
      </c>
      <c r="B30" s="10" t="s">
        <v>59</v>
      </c>
      <c r="C30" s="10" t="s">
        <v>5</v>
      </c>
      <c r="D30" s="10"/>
      <c r="E30" s="10"/>
    </row>
    <row r="31" spans="1:5">
      <c r="A31" s="10" t="s">
        <v>60</v>
      </c>
      <c r="B31" s="10" t="s">
        <v>61</v>
      </c>
      <c r="C31" s="10" t="s">
        <v>5</v>
      </c>
      <c r="D31" s="10"/>
      <c r="E31" s="10"/>
    </row>
    <row r="32" spans="1:5">
      <c r="A32" s="10" t="s">
        <v>62</v>
      </c>
      <c r="B32" s="10" t="s">
        <v>63</v>
      </c>
      <c r="C32" s="10" t="s">
        <v>5</v>
      </c>
      <c r="D32" s="10"/>
      <c r="E32" s="10"/>
    </row>
    <row r="33" spans="1:5">
      <c r="A33" s="10" t="s">
        <v>64</v>
      </c>
      <c r="B33" s="10" t="s">
        <v>15</v>
      </c>
      <c r="C33" s="10" t="s">
        <v>5</v>
      </c>
      <c r="D33" s="10"/>
      <c r="E33" s="10"/>
    </row>
    <row r="34" spans="1:5">
      <c r="A34" s="10" t="s">
        <v>65</v>
      </c>
      <c r="B34" s="10" t="s">
        <v>66</v>
      </c>
      <c r="C34" s="10" t="s">
        <v>5</v>
      </c>
      <c r="D34" s="10"/>
      <c r="E34" s="10"/>
    </row>
    <row r="35" spans="1:5">
      <c r="A35" s="10" t="s">
        <v>67</v>
      </c>
      <c r="B35" s="10" t="s">
        <v>68</v>
      </c>
      <c r="C35" s="10" t="s">
        <v>5</v>
      </c>
      <c r="D35" s="10"/>
      <c r="E35" s="10"/>
    </row>
    <row r="36" spans="1:5">
      <c r="A36" s="10" t="s">
        <v>69</v>
      </c>
      <c r="B36" s="10" t="s">
        <v>15</v>
      </c>
      <c r="C36" s="10" t="s">
        <v>5</v>
      </c>
      <c r="D36" s="10"/>
      <c r="E36" s="10"/>
    </row>
    <row r="37" spans="1:5">
      <c r="A37" s="10" t="s">
        <v>65</v>
      </c>
      <c r="B37" s="10" t="s">
        <v>66</v>
      </c>
      <c r="C37" s="10" t="s">
        <v>5</v>
      </c>
      <c r="D37" s="10"/>
      <c r="E37" s="10"/>
    </row>
    <row r="38" spans="1:5">
      <c r="A38" s="10" t="s">
        <v>67</v>
      </c>
      <c r="B38" s="10" t="s">
        <v>68</v>
      </c>
      <c r="C38" s="10" t="s">
        <v>5</v>
      </c>
      <c r="D38" s="10"/>
      <c r="E38" s="10"/>
    </row>
    <row r="39" spans="1:5">
      <c r="A39" s="10" t="s">
        <v>70</v>
      </c>
      <c r="B39" s="10" t="s">
        <v>15</v>
      </c>
      <c r="C39" s="10" t="s">
        <v>5</v>
      </c>
      <c r="D39" s="10"/>
      <c r="E39" s="10"/>
    </row>
    <row r="40" spans="1:5">
      <c r="A40" s="10" t="s">
        <v>65</v>
      </c>
      <c r="B40" s="10" t="s">
        <v>66</v>
      </c>
      <c r="C40" s="10" t="s">
        <v>5</v>
      </c>
      <c r="D40" s="10"/>
      <c r="E40" s="10"/>
    </row>
    <row r="41" spans="1:5">
      <c r="A41" s="10" t="s">
        <v>67</v>
      </c>
      <c r="B41" s="10" t="s">
        <v>68</v>
      </c>
      <c r="C41" s="10" t="s">
        <v>5</v>
      </c>
      <c r="D41" s="10"/>
      <c r="E4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"/>
  <sheetViews>
    <sheetView zoomScale="87" zoomScaleNormal="115" workbookViewId="0"/>
  </sheetViews>
  <sheetFormatPr defaultRowHeight="15"/>
  <cols>
    <col min="1" max="1" width="64.28515625" customWidth="1"/>
    <col min="2" max="2" width="76.42578125" bestFit="1" customWidth="1"/>
    <col min="3" max="3" width="9.28515625" bestFit="1" customWidth="1"/>
    <col min="4" max="4" width="20" bestFit="1" customWidth="1"/>
    <col min="5" max="5" width="6.8554687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37</v>
      </c>
    </row>
    <row r="2" spans="1:8">
      <c r="A2" t="s">
        <v>6</v>
      </c>
      <c r="B2" s="10" t="s">
        <v>7</v>
      </c>
      <c r="C2" s="10" t="s">
        <v>8</v>
      </c>
      <c r="D2" s="11" t="s">
        <v>9</v>
      </c>
      <c r="E2" s="3"/>
      <c r="G2" s="6" t="s">
        <v>8</v>
      </c>
      <c r="H2" s="7">
        <f>COUNTIF(C:C,G2)</f>
        <v>11</v>
      </c>
    </row>
    <row r="3" spans="1:8" ht="15.75" thickBot="1">
      <c r="A3" s="10" t="s">
        <v>10</v>
      </c>
      <c r="B3" s="10" t="s">
        <v>11</v>
      </c>
      <c r="C3" s="10" t="s">
        <v>5</v>
      </c>
      <c r="D3" s="10"/>
      <c r="E3" s="10"/>
      <c r="G3" s="8" t="s">
        <v>12</v>
      </c>
      <c r="H3" s="9">
        <f>H1/SUM(H1:H2)</f>
        <v>0.77083333333333337</v>
      </c>
    </row>
    <row r="4" spans="1:8">
      <c r="A4" s="10" t="s">
        <v>13</v>
      </c>
      <c r="B4" s="10" t="s">
        <v>13</v>
      </c>
      <c r="C4" s="10" t="s">
        <v>5</v>
      </c>
      <c r="D4" s="10"/>
      <c r="E4" s="10"/>
    </row>
    <row r="5" spans="1:8">
      <c r="A5" s="10" t="s">
        <v>14</v>
      </c>
      <c r="B5" s="10" t="s">
        <v>15</v>
      </c>
      <c r="C5" s="10" t="s">
        <v>5</v>
      </c>
      <c r="D5" s="10"/>
      <c r="E5" s="10"/>
    </row>
    <row r="6" spans="1:8">
      <c r="A6" s="10" t="s">
        <v>16</v>
      </c>
      <c r="B6" s="10" t="s">
        <v>16</v>
      </c>
      <c r="C6" s="10" t="s">
        <v>5</v>
      </c>
      <c r="D6" s="10"/>
      <c r="E6" s="10"/>
    </row>
    <row r="7" spans="1:8">
      <c r="A7" s="10" t="s">
        <v>71</v>
      </c>
      <c r="B7" s="10" t="s">
        <v>18</v>
      </c>
      <c r="C7" s="10" t="s">
        <v>5</v>
      </c>
      <c r="D7" s="10"/>
      <c r="E7" s="10"/>
    </row>
    <row r="8" spans="1:8">
      <c r="A8" s="10" t="s">
        <v>19</v>
      </c>
      <c r="B8" s="10" t="s">
        <v>16</v>
      </c>
      <c r="C8" s="10" t="s">
        <v>5</v>
      </c>
      <c r="D8" s="10"/>
      <c r="E8" s="10"/>
    </row>
    <row r="9" spans="1:8">
      <c r="A9" s="10" t="s">
        <v>20</v>
      </c>
      <c r="B9" s="10" t="s">
        <v>21</v>
      </c>
      <c r="C9" s="10" t="s">
        <v>5</v>
      </c>
      <c r="D9" s="10"/>
      <c r="E9" s="10"/>
    </row>
    <row r="10" spans="1:8">
      <c r="A10" s="10" t="s">
        <v>22</v>
      </c>
      <c r="B10" s="10" t="s">
        <v>16</v>
      </c>
      <c r="C10" s="10" t="s">
        <v>8</v>
      </c>
      <c r="D10" s="10" t="s">
        <v>23</v>
      </c>
      <c r="E10" s="12">
        <v>297</v>
      </c>
    </row>
    <row r="11" spans="1:8">
      <c r="A11" s="10" t="s">
        <v>24</v>
      </c>
      <c r="B11" s="10" t="s">
        <v>24</v>
      </c>
      <c r="C11" s="10" t="s">
        <v>5</v>
      </c>
      <c r="D11" s="10"/>
      <c r="E11" s="10"/>
    </row>
    <row r="12" spans="1:8">
      <c r="A12" s="10" t="s">
        <v>25</v>
      </c>
      <c r="B12" s="10" t="s">
        <v>26</v>
      </c>
      <c r="C12" s="10" t="s">
        <v>5</v>
      </c>
      <c r="D12" s="10"/>
      <c r="E12" s="10"/>
    </row>
    <row r="13" spans="1:8">
      <c r="A13" s="10" t="s">
        <v>27</v>
      </c>
      <c r="B13" s="10" t="s">
        <v>27</v>
      </c>
      <c r="C13" s="10" t="s">
        <v>5</v>
      </c>
      <c r="D13" s="10"/>
      <c r="E13" s="10"/>
    </row>
    <row r="14" spans="1:8">
      <c r="A14" s="10" t="s">
        <v>28</v>
      </c>
      <c r="B14" s="10" t="s">
        <v>29</v>
      </c>
      <c r="C14" s="10" t="s">
        <v>5</v>
      </c>
      <c r="D14" s="10"/>
      <c r="E14" s="10"/>
    </row>
    <row r="15" spans="1:8">
      <c r="A15" s="10" t="s">
        <v>72</v>
      </c>
      <c r="B15" s="10" t="s">
        <v>31</v>
      </c>
      <c r="C15" s="10" t="s">
        <v>5</v>
      </c>
      <c r="D15" s="10"/>
      <c r="E15" s="10"/>
    </row>
    <row r="16" spans="1:8">
      <c r="A16" s="10" t="s">
        <v>32</v>
      </c>
      <c r="B16" s="10" t="s">
        <v>33</v>
      </c>
      <c r="C16" s="10" t="s">
        <v>5</v>
      </c>
      <c r="D16" s="10"/>
      <c r="E16" s="10"/>
    </row>
    <row r="17" spans="1:5">
      <c r="A17" s="10" t="s">
        <v>34</v>
      </c>
      <c r="B17" s="10" t="s">
        <v>15</v>
      </c>
      <c r="C17" s="10" t="s">
        <v>8</v>
      </c>
      <c r="D17" s="10" t="s">
        <v>35</v>
      </c>
      <c r="E17" s="12">
        <v>296</v>
      </c>
    </row>
    <row r="18" spans="1:5">
      <c r="A18" s="10" t="s">
        <v>36</v>
      </c>
      <c r="B18" s="10" t="s">
        <v>15</v>
      </c>
      <c r="C18" s="10" t="s">
        <v>5</v>
      </c>
      <c r="D18" s="10"/>
      <c r="E18" s="10"/>
    </row>
    <row r="19" spans="1:5">
      <c r="A19" s="10" t="s">
        <v>37</v>
      </c>
      <c r="B19" s="10" t="s">
        <v>38</v>
      </c>
      <c r="C19" s="10" t="s">
        <v>5</v>
      </c>
      <c r="D19" s="10"/>
      <c r="E19" s="10"/>
    </row>
    <row r="20" spans="1:5">
      <c r="A20" s="10" t="s">
        <v>39</v>
      </c>
      <c r="B20" s="10" t="s">
        <v>39</v>
      </c>
      <c r="C20" s="10" t="s">
        <v>5</v>
      </c>
      <c r="D20" s="10"/>
      <c r="E20" s="10"/>
    </row>
    <row r="21" spans="1:5">
      <c r="A21" s="10" t="s">
        <v>73</v>
      </c>
      <c r="B21" s="10" t="s">
        <v>41</v>
      </c>
      <c r="C21" s="10" t="s">
        <v>8</v>
      </c>
      <c r="D21" s="10" t="s">
        <v>42</v>
      </c>
      <c r="E21" s="12">
        <v>20017</v>
      </c>
    </row>
    <row r="22" spans="1:5">
      <c r="A22" s="14" t="s">
        <v>74</v>
      </c>
      <c r="B22" s="14" t="s">
        <v>75</v>
      </c>
      <c r="C22" s="10" t="s">
        <v>5</v>
      </c>
      <c r="D22" s="10"/>
      <c r="E22" s="12"/>
    </row>
    <row r="23" spans="1:5">
      <c r="A23" s="14" t="s">
        <v>76</v>
      </c>
      <c r="B23" s="14" t="s">
        <v>15</v>
      </c>
      <c r="C23" s="10" t="s">
        <v>8</v>
      </c>
      <c r="D23" s="10" t="s">
        <v>77</v>
      </c>
      <c r="E23" s="12">
        <v>22298</v>
      </c>
    </row>
    <row r="24" spans="1:5">
      <c r="A24" s="10" t="s">
        <v>43</v>
      </c>
      <c r="B24" s="10" t="s">
        <v>44</v>
      </c>
      <c r="C24" s="10" t="s">
        <v>8</v>
      </c>
      <c r="D24" s="10" t="s">
        <v>45</v>
      </c>
      <c r="E24" s="12">
        <v>20016</v>
      </c>
    </row>
    <row r="25" spans="1:5">
      <c r="A25" s="10" t="s">
        <v>46</v>
      </c>
      <c r="B25" s="10" t="s">
        <v>47</v>
      </c>
      <c r="C25" s="10" t="s">
        <v>5</v>
      </c>
      <c r="D25" s="10"/>
      <c r="E25" s="10"/>
    </row>
    <row r="26" spans="1:5">
      <c r="A26" s="10" t="s">
        <v>48</v>
      </c>
      <c r="B26" s="10" t="s">
        <v>44</v>
      </c>
      <c r="C26" s="10" t="s">
        <v>5</v>
      </c>
      <c r="D26" s="10"/>
      <c r="E26" s="10"/>
    </row>
    <row r="27" spans="1:5">
      <c r="A27" s="10" t="s">
        <v>49</v>
      </c>
      <c r="B27" s="10" t="s">
        <v>50</v>
      </c>
      <c r="C27" s="10" t="s">
        <v>8</v>
      </c>
      <c r="D27" s="10" t="s">
        <v>78</v>
      </c>
      <c r="E27" s="12">
        <v>268</v>
      </c>
    </row>
    <row r="28" spans="1:5">
      <c r="A28" s="10" t="s">
        <v>79</v>
      </c>
      <c r="B28" s="10" t="s">
        <v>80</v>
      </c>
      <c r="C28" s="10" t="s">
        <v>8</v>
      </c>
      <c r="D28" s="10" t="s">
        <v>81</v>
      </c>
      <c r="E28" s="12">
        <v>292</v>
      </c>
    </row>
    <row r="29" spans="1:5">
      <c r="A29" s="10" t="s">
        <v>82</v>
      </c>
      <c r="B29" s="10" t="s">
        <v>50</v>
      </c>
      <c r="C29" s="10" t="s">
        <v>5</v>
      </c>
      <c r="D29" s="2"/>
      <c r="E29" s="13"/>
    </row>
    <row r="30" spans="1:5">
      <c r="A30" s="14" t="s">
        <v>74</v>
      </c>
      <c r="B30" s="15" t="s">
        <v>75</v>
      </c>
      <c r="C30" s="10" t="s">
        <v>5</v>
      </c>
      <c r="D30" s="10"/>
      <c r="E30" s="10"/>
    </row>
    <row r="31" spans="1:5">
      <c r="A31" s="14" t="s">
        <v>76</v>
      </c>
      <c r="B31" s="15" t="s">
        <v>15</v>
      </c>
      <c r="C31" s="10" t="s">
        <v>8</v>
      </c>
      <c r="D31" s="10" t="s">
        <v>77</v>
      </c>
      <c r="E31" s="12">
        <v>22290</v>
      </c>
    </row>
    <row r="32" spans="1:5">
      <c r="A32" s="10" t="s">
        <v>51</v>
      </c>
      <c r="B32" s="10" t="s">
        <v>15</v>
      </c>
      <c r="C32" s="10" t="s">
        <v>5</v>
      </c>
      <c r="D32" s="10"/>
      <c r="E32" s="10"/>
    </row>
    <row r="33" spans="1:5">
      <c r="A33" s="10" t="s">
        <v>83</v>
      </c>
      <c r="B33" s="10" t="s">
        <v>15</v>
      </c>
      <c r="C33" s="10" t="s">
        <v>8</v>
      </c>
      <c r="D33" s="10" t="s">
        <v>53</v>
      </c>
      <c r="E33" s="12">
        <v>22293</v>
      </c>
    </row>
    <row r="34" spans="1:5">
      <c r="A34" s="10" t="s">
        <v>84</v>
      </c>
      <c r="B34" s="10" t="s">
        <v>55</v>
      </c>
      <c r="C34" s="10" t="s">
        <v>5</v>
      </c>
      <c r="D34" s="10"/>
      <c r="E34" s="12"/>
    </row>
    <row r="35" spans="1:5">
      <c r="A35" s="10" t="s">
        <v>56</v>
      </c>
      <c r="B35" s="10" t="s">
        <v>57</v>
      </c>
      <c r="C35" s="10" t="s">
        <v>5</v>
      </c>
      <c r="D35" s="10"/>
      <c r="E35" s="10"/>
    </row>
    <row r="36" spans="1:5">
      <c r="A36" s="10" t="s">
        <v>58</v>
      </c>
      <c r="B36" s="10" t="s">
        <v>59</v>
      </c>
      <c r="C36" s="10" t="s">
        <v>5</v>
      </c>
      <c r="D36" s="10"/>
      <c r="E36" s="10"/>
    </row>
    <row r="37" spans="1:5">
      <c r="A37" s="14" t="s">
        <v>74</v>
      </c>
      <c r="B37" s="14" t="s">
        <v>75</v>
      </c>
      <c r="C37" s="10" t="s">
        <v>5</v>
      </c>
      <c r="D37" s="10"/>
      <c r="E37" s="10"/>
    </row>
    <row r="38" spans="1:5">
      <c r="A38" s="14" t="s">
        <v>76</v>
      </c>
      <c r="B38" s="14" t="s">
        <v>15</v>
      </c>
      <c r="C38" s="10" t="s">
        <v>8</v>
      </c>
      <c r="D38" s="10" t="s">
        <v>77</v>
      </c>
      <c r="E38" s="12">
        <v>22302</v>
      </c>
    </row>
    <row r="39" spans="1:5">
      <c r="A39" s="10" t="s">
        <v>60</v>
      </c>
      <c r="B39" s="10" t="s">
        <v>61</v>
      </c>
      <c r="C39" s="10" t="s">
        <v>5</v>
      </c>
      <c r="D39" s="10"/>
      <c r="E39" s="10"/>
    </row>
    <row r="40" spans="1:5">
      <c r="A40" s="10" t="s">
        <v>62</v>
      </c>
      <c r="B40" s="10" t="s">
        <v>63</v>
      </c>
      <c r="C40" s="10" t="s">
        <v>5</v>
      </c>
      <c r="D40" s="10"/>
      <c r="E40" s="10"/>
    </row>
    <row r="41" spans="1:5">
      <c r="A41" s="10" t="s">
        <v>64</v>
      </c>
      <c r="B41" s="10" t="s">
        <v>15</v>
      </c>
      <c r="C41" s="10" t="s">
        <v>5</v>
      </c>
      <c r="D41" s="10"/>
      <c r="E41" s="10"/>
    </row>
    <row r="42" spans="1:5">
      <c r="A42" s="10" t="s">
        <v>65</v>
      </c>
      <c r="B42" s="10" t="s">
        <v>66</v>
      </c>
      <c r="C42" s="10" t="s">
        <v>5</v>
      </c>
      <c r="D42" s="10"/>
      <c r="E42" s="10"/>
    </row>
    <row r="43" spans="1:5">
      <c r="A43" s="10" t="s">
        <v>67</v>
      </c>
      <c r="B43" s="10" t="s">
        <v>68</v>
      </c>
      <c r="C43" s="10" t="s">
        <v>5</v>
      </c>
      <c r="D43" s="10"/>
      <c r="E43" s="10"/>
    </row>
    <row r="44" spans="1:5">
      <c r="A44" s="10" t="s">
        <v>69</v>
      </c>
      <c r="B44" s="10" t="s">
        <v>15</v>
      </c>
      <c r="C44" s="10" t="s">
        <v>5</v>
      </c>
      <c r="D44" s="10"/>
      <c r="E44" s="10"/>
    </row>
    <row r="45" spans="1:5">
      <c r="A45" s="10" t="s">
        <v>65</v>
      </c>
      <c r="B45" s="10" t="s">
        <v>66</v>
      </c>
      <c r="C45" s="10" t="s">
        <v>5</v>
      </c>
      <c r="D45" s="10"/>
      <c r="E45" s="10"/>
    </row>
    <row r="46" spans="1:5">
      <c r="A46" s="10" t="s">
        <v>67</v>
      </c>
      <c r="B46" s="10" t="s">
        <v>68</v>
      </c>
      <c r="C46" s="10" t="s">
        <v>5</v>
      </c>
      <c r="D46" s="10"/>
      <c r="E46" s="10"/>
    </row>
    <row r="47" spans="1:5">
      <c r="A47" s="10" t="s">
        <v>70</v>
      </c>
      <c r="B47" s="10" t="s">
        <v>15</v>
      </c>
      <c r="C47" s="10" t="s">
        <v>5</v>
      </c>
      <c r="D47" s="10"/>
      <c r="E47" s="10"/>
    </row>
    <row r="48" spans="1:5">
      <c r="A48" s="10" t="s">
        <v>65</v>
      </c>
      <c r="B48" s="10" t="s">
        <v>66</v>
      </c>
      <c r="C48" s="10" t="s">
        <v>5</v>
      </c>
      <c r="D48" s="10"/>
      <c r="E48" s="10"/>
    </row>
    <row r="49" spans="1:5">
      <c r="A49" s="10" t="s">
        <v>67</v>
      </c>
      <c r="B49" s="10" t="s">
        <v>68</v>
      </c>
      <c r="C49" s="10" t="s">
        <v>5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zoomScale="103" workbookViewId="0"/>
  </sheetViews>
  <sheetFormatPr defaultRowHeight="15"/>
  <cols>
    <col min="1" max="1" width="40.140625" bestFit="1" customWidth="1"/>
    <col min="2" max="2" width="43" bestFit="1" customWidth="1"/>
    <col min="3" max="3" width="8.5703125" bestFit="1" customWidth="1"/>
    <col min="4" max="4" width="20" bestFit="1" customWidth="1"/>
    <col min="5" max="5" width="6.8554687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45</v>
      </c>
    </row>
    <row r="2" spans="1:8">
      <c r="A2" s="10" t="s">
        <v>85</v>
      </c>
      <c r="B2" s="10" t="s">
        <v>15</v>
      </c>
      <c r="C2" s="10" t="s">
        <v>5</v>
      </c>
      <c r="D2" s="10"/>
      <c r="E2" s="10"/>
      <c r="G2" s="6" t="s">
        <v>8</v>
      </c>
      <c r="H2" s="7">
        <f>COUNTIF(C:C,G2)</f>
        <v>6</v>
      </c>
    </row>
    <row r="3" spans="1:8" ht="15.75" thickBot="1">
      <c r="A3" s="10" t="s">
        <v>86</v>
      </c>
      <c r="B3" s="10" t="s">
        <v>87</v>
      </c>
      <c r="C3" s="10" t="s">
        <v>5</v>
      </c>
      <c r="D3" s="10"/>
      <c r="E3" s="10"/>
      <c r="G3" s="8" t="s">
        <v>12</v>
      </c>
      <c r="H3" s="9">
        <f>H1/SUM(H1:H2)</f>
        <v>0.88235294117647056</v>
      </c>
    </row>
    <row r="4" spans="1:8">
      <c r="A4" s="10" t="s">
        <v>88</v>
      </c>
      <c r="B4" s="10" t="s">
        <v>89</v>
      </c>
      <c r="C4" s="10" t="s">
        <v>5</v>
      </c>
      <c r="D4" s="10"/>
      <c r="E4" s="10"/>
    </row>
    <row r="5" spans="1:8">
      <c r="A5" s="10" t="s">
        <v>90</v>
      </c>
      <c r="B5" s="10" t="s">
        <v>90</v>
      </c>
      <c r="C5" s="10" t="s">
        <v>5</v>
      </c>
      <c r="D5" s="10"/>
      <c r="E5" s="10"/>
    </row>
    <row r="6" spans="1:8">
      <c r="A6" s="10" t="s">
        <v>91</v>
      </c>
      <c r="B6" s="10" t="s">
        <v>15</v>
      </c>
      <c r="C6" s="10" t="s">
        <v>5</v>
      </c>
      <c r="D6" s="10"/>
      <c r="E6" s="10"/>
    </row>
    <row r="7" spans="1:8">
      <c r="A7" s="10" t="s">
        <v>92</v>
      </c>
      <c r="B7" s="10" t="s">
        <v>93</v>
      </c>
      <c r="C7" s="10" t="s">
        <v>5</v>
      </c>
      <c r="D7" s="10"/>
      <c r="E7" s="10"/>
    </row>
    <row r="8" spans="1:8">
      <c r="A8" s="10" t="s">
        <v>94</v>
      </c>
      <c r="B8" s="10" t="s">
        <v>95</v>
      </c>
      <c r="C8" s="10" t="s">
        <v>5</v>
      </c>
      <c r="D8" s="10"/>
      <c r="E8" s="10"/>
    </row>
    <row r="9" spans="1:8">
      <c r="A9" s="10" t="s">
        <v>96</v>
      </c>
      <c r="B9" s="10" t="s">
        <v>97</v>
      </c>
      <c r="C9" s="10" t="s">
        <v>5</v>
      </c>
      <c r="D9" s="10"/>
      <c r="E9" s="10"/>
    </row>
    <row r="10" spans="1:8">
      <c r="A10" s="10" t="s">
        <v>98</v>
      </c>
      <c r="B10" s="10" t="s">
        <v>99</v>
      </c>
      <c r="C10" s="10" t="s">
        <v>5</v>
      </c>
      <c r="D10" s="10"/>
      <c r="E10" s="10"/>
    </row>
    <row r="11" spans="1:8">
      <c r="A11" s="10" t="s">
        <v>100</v>
      </c>
      <c r="B11" s="10" t="s">
        <v>101</v>
      </c>
      <c r="C11" s="10" t="s">
        <v>5</v>
      </c>
      <c r="D11" s="10"/>
      <c r="E11" s="10"/>
    </row>
    <row r="12" spans="1:8">
      <c r="A12" s="10" t="s">
        <v>102</v>
      </c>
      <c r="B12" s="10" t="s">
        <v>15</v>
      </c>
      <c r="C12" s="10" t="s">
        <v>5</v>
      </c>
      <c r="D12" s="10"/>
      <c r="E12" s="10"/>
    </row>
    <row r="13" spans="1:8">
      <c r="A13" s="10" t="s">
        <v>103</v>
      </c>
      <c r="B13" s="10" t="s">
        <v>103</v>
      </c>
      <c r="C13" s="10" t="s">
        <v>5</v>
      </c>
      <c r="D13" s="10"/>
      <c r="E13" s="10"/>
    </row>
    <row r="14" spans="1:8">
      <c r="A14" s="10" t="s">
        <v>91</v>
      </c>
      <c r="B14" s="10" t="s">
        <v>15</v>
      </c>
      <c r="C14" s="10" t="s">
        <v>5</v>
      </c>
      <c r="D14" s="10"/>
      <c r="E14" s="10"/>
    </row>
    <row r="15" spans="1:8">
      <c r="A15" s="10" t="s">
        <v>92</v>
      </c>
      <c r="B15" s="10" t="s">
        <v>93</v>
      </c>
      <c r="C15" s="10" t="s">
        <v>8</v>
      </c>
      <c r="D15" s="10" t="s">
        <v>104</v>
      </c>
      <c r="E15" s="12">
        <v>13724</v>
      </c>
    </row>
    <row r="16" spans="1:8">
      <c r="A16" s="10" t="s">
        <v>105</v>
      </c>
      <c r="B16" s="10" t="s">
        <v>106</v>
      </c>
      <c r="C16" s="10" t="s">
        <v>5</v>
      </c>
      <c r="D16" s="10"/>
      <c r="E16" s="10"/>
    </row>
    <row r="17" spans="1:5">
      <c r="A17" s="10" t="s">
        <v>107</v>
      </c>
      <c r="B17" s="10" t="s">
        <v>108</v>
      </c>
      <c r="C17" s="10" t="s">
        <v>5</v>
      </c>
      <c r="D17" s="10"/>
      <c r="E17" s="10"/>
    </row>
    <row r="18" spans="1:5">
      <c r="A18" s="10" t="s">
        <v>109</v>
      </c>
      <c r="B18" s="10" t="s">
        <v>110</v>
      </c>
      <c r="C18" s="10" t="s">
        <v>5</v>
      </c>
      <c r="D18" s="10"/>
      <c r="E18" s="10"/>
    </row>
    <row r="19" spans="1:5">
      <c r="A19" s="10" t="s">
        <v>94</v>
      </c>
      <c r="B19" s="10" t="s">
        <v>95</v>
      </c>
      <c r="C19" s="10" t="s">
        <v>8</v>
      </c>
      <c r="D19" s="10" t="s">
        <v>111</v>
      </c>
      <c r="E19" s="12">
        <v>20231</v>
      </c>
    </row>
    <row r="20" spans="1:5">
      <c r="A20" s="10" t="s">
        <v>112</v>
      </c>
      <c r="B20" s="10" t="s">
        <v>113</v>
      </c>
      <c r="C20" s="10" t="s">
        <v>5</v>
      </c>
      <c r="D20" s="10"/>
      <c r="E20" s="10"/>
    </row>
    <row r="21" spans="1:5">
      <c r="A21" s="10" t="s">
        <v>114</v>
      </c>
      <c r="B21" s="10" t="s">
        <v>115</v>
      </c>
      <c r="C21" s="10" t="s">
        <v>5</v>
      </c>
      <c r="D21" s="10"/>
      <c r="E21" s="10"/>
    </row>
    <row r="22" spans="1:5">
      <c r="A22" s="10" t="s">
        <v>116</v>
      </c>
      <c r="B22" s="10" t="s">
        <v>116</v>
      </c>
      <c r="C22" s="10" t="s">
        <v>5</v>
      </c>
      <c r="D22" s="10"/>
      <c r="E22" s="10"/>
    </row>
    <row r="23" spans="1:5">
      <c r="A23" s="10" t="s">
        <v>117</v>
      </c>
      <c r="B23" s="10" t="s">
        <v>118</v>
      </c>
      <c r="C23" s="10" t="s">
        <v>5</v>
      </c>
      <c r="D23" s="10"/>
      <c r="E23" s="10"/>
    </row>
    <row r="24" spans="1:5">
      <c r="A24" s="10" t="s">
        <v>119</v>
      </c>
      <c r="B24" s="10" t="s">
        <v>15</v>
      </c>
      <c r="C24" s="10" t="s">
        <v>5</v>
      </c>
      <c r="D24" s="10"/>
      <c r="E24" s="10"/>
    </row>
    <row r="25" spans="1:5">
      <c r="A25" s="10" t="s">
        <v>120</v>
      </c>
      <c r="B25" s="10" t="s">
        <v>15</v>
      </c>
      <c r="C25" s="10" t="s">
        <v>5</v>
      </c>
      <c r="D25" s="10"/>
      <c r="E25" s="12"/>
    </row>
    <row r="26" spans="1:5">
      <c r="A26" s="10" t="s">
        <v>121</v>
      </c>
      <c r="B26" s="10" t="s">
        <v>122</v>
      </c>
      <c r="C26" s="10" t="s">
        <v>5</v>
      </c>
      <c r="D26" s="10"/>
      <c r="E26" s="10"/>
    </row>
    <row r="27" spans="1:5">
      <c r="A27" s="10" t="s">
        <v>123</v>
      </c>
      <c r="B27" s="10" t="s">
        <v>124</v>
      </c>
      <c r="C27" s="10" t="s">
        <v>5</v>
      </c>
      <c r="D27" s="10"/>
      <c r="E27" s="10"/>
    </row>
    <row r="28" spans="1:5">
      <c r="A28" s="10" t="s">
        <v>125</v>
      </c>
      <c r="B28" s="10" t="s">
        <v>126</v>
      </c>
      <c r="C28" s="10" t="s">
        <v>5</v>
      </c>
      <c r="D28" s="10"/>
      <c r="E28" s="10"/>
    </row>
    <row r="29" spans="1:5">
      <c r="A29" s="10" t="s">
        <v>127</v>
      </c>
      <c r="B29" s="10" t="s">
        <v>15</v>
      </c>
      <c r="C29" s="10" t="s">
        <v>5</v>
      </c>
      <c r="D29" s="10"/>
      <c r="E29" s="10"/>
    </row>
    <row r="30" spans="1:5">
      <c r="A30" s="10" t="s">
        <v>128</v>
      </c>
      <c r="B30" s="10" t="s">
        <v>15</v>
      </c>
      <c r="C30" s="10" t="s">
        <v>5</v>
      </c>
      <c r="D30" s="10"/>
      <c r="E30" s="10"/>
    </row>
    <row r="31" spans="1:5">
      <c r="A31" s="10" t="s">
        <v>129</v>
      </c>
      <c r="B31" s="10" t="s">
        <v>129</v>
      </c>
      <c r="C31" s="10" t="s">
        <v>5</v>
      </c>
      <c r="D31" s="10"/>
      <c r="E31" s="10"/>
    </row>
    <row r="32" spans="1:5">
      <c r="A32" s="10" t="s">
        <v>130</v>
      </c>
      <c r="B32" s="10" t="s">
        <v>131</v>
      </c>
      <c r="C32" s="10" t="s">
        <v>5</v>
      </c>
      <c r="D32" s="10"/>
      <c r="E32" s="10"/>
    </row>
    <row r="33" spans="1:5">
      <c r="A33" s="10" t="s">
        <v>132</v>
      </c>
      <c r="B33" s="10" t="s">
        <v>132</v>
      </c>
      <c r="C33" s="10" t="s">
        <v>8</v>
      </c>
      <c r="D33" s="10" t="s">
        <v>133</v>
      </c>
      <c r="E33" s="10"/>
    </row>
    <row r="34" spans="1:5">
      <c r="A34" s="10" t="s">
        <v>134</v>
      </c>
      <c r="B34" s="10" t="s">
        <v>132</v>
      </c>
      <c r="C34" s="10" t="s">
        <v>5</v>
      </c>
      <c r="D34" s="10"/>
      <c r="E34" s="10"/>
    </row>
    <row r="35" spans="1:5">
      <c r="A35" s="10" t="s">
        <v>135</v>
      </c>
      <c r="B35" s="10" t="s">
        <v>132</v>
      </c>
      <c r="C35" s="10" t="s">
        <v>5</v>
      </c>
      <c r="D35" s="10"/>
      <c r="E35" s="10"/>
    </row>
    <row r="36" spans="1:5">
      <c r="A36" s="10" t="s">
        <v>136</v>
      </c>
      <c r="B36" s="10" t="s">
        <v>137</v>
      </c>
      <c r="C36" s="10" t="s">
        <v>5</v>
      </c>
      <c r="D36" s="10"/>
      <c r="E36" s="10"/>
    </row>
    <row r="37" spans="1:5">
      <c r="A37" s="10" t="s">
        <v>138</v>
      </c>
      <c r="B37" s="10" t="s">
        <v>139</v>
      </c>
      <c r="C37" s="10" t="s">
        <v>5</v>
      </c>
      <c r="D37" s="10"/>
      <c r="E37" s="10"/>
    </row>
    <row r="38" spans="1:5">
      <c r="A38" s="10" t="s">
        <v>140</v>
      </c>
      <c r="B38" s="10" t="s">
        <v>141</v>
      </c>
      <c r="C38" s="10" t="s">
        <v>5</v>
      </c>
      <c r="D38" s="10"/>
      <c r="E38" s="10"/>
    </row>
    <row r="39" spans="1:5">
      <c r="A39" s="10" t="s">
        <v>142</v>
      </c>
      <c r="B39" s="10" t="s">
        <v>143</v>
      </c>
      <c r="C39" s="10" t="s">
        <v>5</v>
      </c>
      <c r="D39" s="10"/>
      <c r="E39" s="10"/>
    </row>
    <row r="40" spans="1:5">
      <c r="A40" s="10" t="s">
        <v>144</v>
      </c>
      <c r="B40" s="10" t="s">
        <v>15</v>
      </c>
      <c r="C40" s="10" t="s">
        <v>5</v>
      </c>
      <c r="D40" s="10"/>
      <c r="E40" s="10"/>
    </row>
    <row r="41" spans="1:5">
      <c r="A41" s="10" t="s">
        <v>128</v>
      </c>
      <c r="B41" s="10" t="s">
        <v>15</v>
      </c>
      <c r="C41" s="10" t="s">
        <v>5</v>
      </c>
      <c r="D41" s="10"/>
      <c r="E41" s="10"/>
    </row>
    <row r="42" spans="1:5">
      <c r="A42" s="10" t="s">
        <v>129</v>
      </c>
      <c r="B42" s="10" t="s">
        <v>129</v>
      </c>
      <c r="C42" s="10" t="s">
        <v>5</v>
      </c>
      <c r="D42" s="10"/>
      <c r="E42" s="10"/>
    </row>
    <row r="43" spans="1:5">
      <c r="A43" s="10" t="s">
        <v>130</v>
      </c>
      <c r="B43" s="10" t="s">
        <v>131</v>
      </c>
      <c r="C43" s="10" t="s">
        <v>5</v>
      </c>
      <c r="D43" s="10"/>
      <c r="E43" s="10"/>
    </row>
    <row r="44" spans="1:5">
      <c r="A44" s="10" t="s">
        <v>132</v>
      </c>
      <c r="B44" s="10" t="s">
        <v>132</v>
      </c>
      <c r="C44" s="10" t="s">
        <v>8</v>
      </c>
      <c r="D44" s="10" t="s">
        <v>133</v>
      </c>
      <c r="E44" s="10"/>
    </row>
    <row r="45" spans="1:5">
      <c r="A45" s="10" t="s">
        <v>134</v>
      </c>
      <c r="B45" s="10" t="s">
        <v>132</v>
      </c>
      <c r="C45" s="10" t="s">
        <v>5</v>
      </c>
      <c r="D45" s="10"/>
      <c r="E45" s="10"/>
    </row>
    <row r="46" spans="1:5">
      <c r="A46" s="10" t="s">
        <v>135</v>
      </c>
      <c r="B46" s="10" t="s">
        <v>132</v>
      </c>
      <c r="C46" s="10" t="s">
        <v>5</v>
      </c>
      <c r="D46" s="10"/>
      <c r="E46" s="10"/>
    </row>
    <row r="47" spans="1:5">
      <c r="A47" s="10" t="s">
        <v>136</v>
      </c>
      <c r="B47" s="10" t="s">
        <v>137</v>
      </c>
      <c r="C47" s="10" t="s">
        <v>8</v>
      </c>
      <c r="D47" s="10" t="s">
        <v>145</v>
      </c>
      <c r="E47" s="12">
        <v>20214</v>
      </c>
    </row>
    <row r="48" spans="1:5">
      <c r="A48" s="10" t="s">
        <v>146</v>
      </c>
      <c r="B48" s="10" t="s">
        <v>147</v>
      </c>
      <c r="C48" s="10" t="s">
        <v>5</v>
      </c>
      <c r="D48" s="10"/>
      <c r="E48" s="10"/>
    </row>
    <row r="49" spans="1:5">
      <c r="A49" s="10" t="s">
        <v>138</v>
      </c>
      <c r="B49" s="10" t="s">
        <v>139</v>
      </c>
      <c r="C49" s="10" t="s">
        <v>8</v>
      </c>
      <c r="D49" s="10" t="s">
        <v>148</v>
      </c>
      <c r="E49" s="12">
        <v>13767</v>
      </c>
    </row>
    <row r="50" spans="1:5">
      <c r="A50" s="10" t="s">
        <v>149</v>
      </c>
      <c r="B50" s="10" t="s">
        <v>150</v>
      </c>
      <c r="C50" s="10" t="s">
        <v>5</v>
      </c>
      <c r="D50" s="10"/>
      <c r="E50" s="10"/>
    </row>
    <row r="51" spans="1:5">
      <c r="A51" s="10" t="s">
        <v>151</v>
      </c>
      <c r="B51" s="10" t="s">
        <v>151</v>
      </c>
      <c r="C51" s="10" t="s">
        <v>5</v>
      </c>
      <c r="D51" s="10"/>
      <c r="E51" s="10"/>
    </row>
    <row r="52" spans="1:5">
      <c r="A52" s="10" t="s">
        <v>152</v>
      </c>
      <c r="B52" s="10" t="s">
        <v>153</v>
      </c>
      <c r="C52" s="10" t="s">
        <v>5</v>
      </c>
      <c r="D52" s="10"/>
      <c r="E5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6"/>
  <sheetViews>
    <sheetView zoomScale="107" zoomScaleNormal="130" workbookViewId="0"/>
  </sheetViews>
  <sheetFormatPr defaultRowHeight="15"/>
  <cols>
    <col min="1" max="1" width="42.42578125" bestFit="1" customWidth="1"/>
    <col min="2" max="2" width="43" bestFit="1" customWidth="1"/>
    <col min="3" max="3" width="7.7109375" customWidth="1"/>
    <col min="4" max="4" width="20" bestFit="1" customWidth="1"/>
    <col min="5" max="5" width="6.8554687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48</v>
      </c>
    </row>
    <row r="2" spans="1:8">
      <c r="A2" s="10" t="s">
        <v>85</v>
      </c>
      <c r="B2" s="10" t="s">
        <v>15</v>
      </c>
      <c r="C2" s="10" t="s">
        <v>5</v>
      </c>
      <c r="D2" s="10"/>
      <c r="E2" s="10"/>
      <c r="G2" s="6" t="s">
        <v>8</v>
      </c>
      <c r="H2" s="7">
        <f>COUNTIF(C:C,G2)</f>
        <v>7</v>
      </c>
    </row>
    <row r="3" spans="1:8" ht="15.75" thickBot="1">
      <c r="A3" s="10" t="s">
        <v>86</v>
      </c>
      <c r="B3" s="10" t="s">
        <v>87</v>
      </c>
      <c r="C3" s="10" t="s">
        <v>5</v>
      </c>
      <c r="D3" s="10"/>
      <c r="E3" s="10"/>
      <c r="G3" s="8" t="s">
        <v>12</v>
      </c>
      <c r="H3" s="9">
        <f>H1/SUM(H1:H2)</f>
        <v>0.87272727272727268</v>
      </c>
    </row>
    <row r="4" spans="1:8">
      <c r="A4" s="10" t="s">
        <v>88</v>
      </c>
      <c r="B4" s="10" t="s">
        <v>89</v>
      </c>
      <c r="C4" s="10" t="s">
        <v>5</v>
      </c>
      <c r="D4" s="10"/>
      <c r="E4" s="10"/>
    </row>
    <row r="5" spans="1:8">
      <c r="A5" s="10" t="s">
        <v>90</v>
      </c>
      <c r="B5" s="10" t="s">
        <v>90</v>
      </c>
      <c r="C5" s="10" t="s">
        <v>5</v>
      </c>
      <c r="D5" s="10"/>
      <c r="E5" s="10"/>
    </row>
    <row r="6" spans="1:8">
      <c r="A6" s="10" t="s">
        <v>91</v>
      </c>
      <c r="B6" s="10" t="s">
        <v>15</v>
      </c>
      <c r="C6" s="10" t="s">
        <v>5</v>
      </c>
      <c r="D6" s="10"/>
      <c r="E6" s="10"/>
    </row>
    <row r="7" spans="1:8">
      <c r="A7" s="10" t="s">
        <v>92</v>
      </c>
      <c r="B7" s="10" t="s">
        <v>93</v>
      </c>
      <c r="C7" s="10" t="s">
        <v>5</v>
      </c>
      <c r="D7" s="10"/>
      <c r="E7" s="10"/>
    </row>
    <row r="8" spans="1:8">
      <c r="A8" s="10" t="s">
        <v>94</v>
      </c>
      <c r="B8" s="10" t="s">
        <v>95</v>
      </c>
      <c r="C8" s="10" t="s">
        <v>5</v>
      </c>
      <c r="D8" s="10"/>
      <c r="E8" s="10"/>
    </row>
    <row r="9" spans="1:8">
      <c r="A9" s="10" t="s">
        <v>96</v>
      </c>
      <c r="B9" s="10" t="s">
        <v>97</v>
      </c>
      <c r="C9" s="10" t="s">
        <v>5</v>
      </c>
      <c r="D9" s="10"/>
      <c r="E9" s="10"/>
    </row>
    <row r="10" spans="1:8">
      <c r="A10" s="10" t="s">
        <v>98</v>
      </c>
      <c r="B10" s="10" t="s">
        <v>99</v>
      </c>
      <c r="C10" s="10" t="s">
        <v>5</v>
      </c>
      <c r="D10" s="10"/>
      <c r="E10" s="10"/>
    </row>
    <row r="11" spans="1:8">
      <c r="A11" s="10" t="s">
        <v>100</v>
      </c>
      <c r="B11" s="10" t="s">
        <v>101</v>
      </c>
      <c r="C11" s="10" t="s">
        <v>5</v>
      </c>
      <c r="D11" s="10"/>
      <c r="E11" s="10"/>
    </row>
    <row r="12" spans="1:8">
      <c r="A12" s="10" t="s">
        <v>102</v>
      </c>
      <c r="B12" s="10" t="s">
        <v>15</v>
      </c>
      <c r="C12" s="10" t="s">
        <v>5</v>
      </c>
      <c r="D12" s="10"/>
      <c r="E12" s="10"/>
    </row>
    <row r="13" spans="1:8">
      <c r="A13" s="10" t="s">
        <v>103</v>
      </c>
      <c r="B13" s="10" t="s">
        <v>103</v>
      </c>
      <c r="C13" s="10" t="s">
        <v>5</v>
      </c>
      <c r="D13" s="10"/>
      <c r="E13" s="10"/>
    </row>
    <row r="14" spans="1:8">
      <c r="A14" s="10" t="s">
        <v>91</v>
      </c>
      <c r="B14" s="10" t="s">
        <v>15</v>
      </c>
      <c r="C14" s="10" t="s">
        <v>5</v>
      </c>
      <c r="D14" s="10"/>
      <c r="E14" s="10"/>
    </row>
    <row r="15" spans="1:8">
      <c r="A15" s="10" t="s">
        <v>92</v>
      </c>
      <c r="B15" s="10" t="s">
        <v>93</v>
      </c>
      <c r="C15" s="10" t="s">
        <v>8</v>
      </c>
      <c r="D15" s="10" t="s">
        <v>104</v>
      </c>
      <c r="E15" s="12">
        <v>13724</v>
      </c>
    </row>
    <row r="16" spans="1:8">
      <c r="A16" s="10" t="s">
        <v>154</v>
      </c>
      <c r="B16" s="10" t="s">
        <v>106</v>
      </c>
      <c r="C16" s="10" t="s">
        <v>5</v>
      </c>
      <c r="D16" s="10"/>
      <c r="E16" s="10"/>
    </row>
    <row r="17" spans="1:5">
      <c r="A17" s="10" t="s">
        <v>107</v>
      </c>
      <c r="B17" s="10" t="s">
        <v>108</v>
      </c>
      <c r="C17" s="10" t="s">
        <v>5</v>
      </c>
      <c r="D17" s="10"/>
      <c r="E17" s="10"/>
    </row>
    <row r="18" spans="1:5">
      <c r="A18" s="10" t="s">
        <v>109</v>
      </c>
      <c r="B18" s="10" t="s">
        <v>110</v>
      </c>
      <c r="C18" s="10" t="s">
        <v>5</v>
      </c>
      <c r="D18" s="10"/>
      <c r="E18" s="10"/>
    </row>
    <row r="19" spans="1:5">
      <c r="A19" s="10" t="s">
        <v>94</v>
      </c>
      <c r="B19" s="10" t="s">
        <v>95</v>
      </c>
      <c r="C19" s="10" t="s">
        <v>8</v>
      </c>
      <c r="D19" s="10" t="s">
        <v>111</v>
      </c>
      <c r="E19" s="12">
        <v>20231</v>
      </c>
    </row>
    <row r="20" spans="1:5">
      <c r="A20" s="10" t="s">
        <v>112</v>
      </c>
      <c r="B20" s="10" t="s">
        <v>113</v>
      </c>
      <c r="C20" s="10" t="s">
        <v>5</v>
      </c>
      <c r="D20" s="10"/>
      <c r="E20" s="10"/>
    </row>
    <row r="21" spans="1:5">
      <c r="A21" s="10" t="s">
        <v>114</v>
      </c>
      <c r="B21" s="10" t="s">
        <v>115</v>
      </c>
      <c r="C21" s="10" t="s">
        <v>5</v>
      </c>
      <c r="D21" s="10"/>
      <c r="E21" s="10"/>
    </row>
    <row r="22" spans="1:5">
      <c r="A22" s="10" t="s">
        <v>116</v>
      </c>
      <c r="B22" s="10" t="s">
        <v>116</v>
      </c>
      <c r="C22" s="10" t="s">
        <v>5</v>
      </c>
      <c r="D22" s="10"/>
      <c r="E22" s="10"/>
    </row>
    <row r="23" spans="1:5">
      <c r="A23" s="10" t="s">
        <v>117</v>
      </c>
      <c r="B23" s="10" t="s">
        <v>118</v>
      </c>
      <c r="C23" s="10" t="s">
        <v>5</v>
      </c>
      <c r="D23" s="10"/>
      <c r="E23" s="10"/>
    </row>
    <row r="24" spans="1:5">
      <c r="A24" s="10" t="s">
        <v>119</v>
      </c>
      <c r="B24" s="10" t="s">
        <v>15</v>
      </c>
      <c r="C24" s="10" t="s">
        <v>5</v>
      </c>
      <c r="D24" s="10"/>
      <c r="E24" s="10"/>
    </row>
    <row r="25" spans="1:5">
      <c r="A25" s="10" t="s">
        <v>120</v>
      </c>
      <c r="B25" s="10" t="s">
        <v>15</v>
      </c>
      <c r="C25" s="10" t="s">
        <v>5</v>
      </c>
      <c r="D25" s="10"/>
      <c r="E25" s="10"/>
    </row>
    <row r="26" spans="1:5">
      <c r="A26" s="10" t="s">
        <v>121</v>
      </c>
      <c r="B26" s="10" t="s">
        <v>122</v>
      </c>
      <c r="C26" s="10" t="s">
        <v>5</v>
      </c>
      <c r="D26" s="10"/>
      <c r="E26" s="10"/>
    </row>
    <row r="27" spans="1:5">
      <c r="A27" s="10" t="s">
        <v>123</v>
      </c>
      <c r="B27" s="10" t="s">
        <v>124</v>
      </c>
      <c r="C27" s="10" t="s">
        <v>5</v>
      </c>
      <c r="D27" s="10"/>
      <c r="E27" s="10"/>
    </row>
    <row r="28" spans="1:5">
      <c r="A28" s="10" t="s">
        <v>155</v>
      </c>
      <c r="B28" s="10" t="s">
        <v>126</v>
      </c>
      <c r="C28" s="10" t="s">
        <v>5</v>
      </c>
      <c r="D28" s="10"/>
      <c r="E28" s="10"/>
    </row>
    <row r="29" spans="1:5">
      <c r="A29" s="10" t="s">
        <v>121</v>
      </c>
      <c r="B29" s="10" t="s">
        <v>122</v>
      </c>
      <c r="C29" s="10" t="s">
        <v>5</v>
      </c>
      <c r="D29" s="10"/>
      <c r="E29" s="10"/>
    </row>
    <row r="30" spans="1:5">
      <c r="A30" s="10" t="s">
        <v>123</v>
      </c>
      <c r="B30" s="10" t="s">
        <v>124</v>
      </c>
      <c r="C30" s="10" t="s">
        <v>5</v>
      </c>
      <c r="D30" s="10"/>
      <c r="E30" s="10"/>
    </row>
    <row r="31" spans="1:5">
      <c r="A31" s="10" t="s">
        <v>76</v>
      </c>
      <c r="B31" s="10" t="s">
        <v>156</v>
      </c>
      <c r="C31" s="10" t="s">
        <v>5</v>
      </c>
      <c r="D31" s="10"/>
      <c r="E31" s="10"/>
    </row>
    <row r="32" spans="1:5">
      <c r="A32" s="10" t="s">
        <v>125</v>
      </c>
      <c r="B32" s="10" t="s">
        <v>126</v>
      </c>
      <c r="C32" s="10" t="s">
        <v>8</v>
      </c>
      <c r="D32" s="10" t="s">
        <v>157</v>
      </c>
      <c r="E32" s="10"/>
    </row>
    <row r="33" spans="1:5">
      <c r="A33" s="10" t="s">
        <v>127</v>
      </c>
      <c r="B33" s="10" t="s">
        <v>15</v>
      </c>
      <c r="C33" s="10" t="s">
        <v>5</v>
      </c>
      <c r="D33" s="10"/>
      <c r="E33" s="10"/>
    </row>
    <row r="34" spans="1:5">
      <c r="A34" s="10" t="s">
        <v>128</v>
      </c>
      <c r="B34" s="10" t="s">
        <v>15</v>
      </c>
      <c r="C34" s="10" t="s">
        <v>5</v>
      </c>
      <c r="D34" s="10"/>
      <c r="E34" s="10"/>
    </row>
    <row r="35" spans="1:5">
      <c r="A35" s="10" t="s">
        <v>129</v>
      </c>
      <c r="B35" s="10" t="s">
        <v>129</v>
      </c>
      <c r="C35" s="10" t="s">
        <v>5</v>
      </c>
      <c r="D35" s="10"/>
      <c r="E35" s="10"/>
    </row>
    <row r="36" spans="1:5">
      <c r="A36" s="10" t="s">
        <v>130</v>
      </c>
      <c r="B36" s="10" t="s">
        <v>131</v>
      </c>
      <c r="C36" s="10" t="s">
        <v>5</v>
      </c>
      <c r="D36" s="10"/>
      <c r="E36" s="10"/>
    </row>
    <row r="37" spans="1:5">
      <c r="A37" s="10" t="s">
        <v>132</v>
      </c>
      <c r="B37" s="10" t="s">
        <v>132</v>
      </c>
      <c r="C37" s="10" t="s">
        <v>8</v>
      </c>
      <c r="D37" s="10" t="s">
        <v>133</v>
      </c>
      <c r="E37" s="10"/>
    </row>
    <row r="38" spans="1:5">
      <c r="A38" s="10" t="s">
        <v>134</v>
      </c>
      <c r="B38" s="10" t="s">
        <v>132</v>
      </c>
      <c r="C38" s="10" t="s">
        <v>5</v>
      </c>
      <c r="D38" s="10"/>
      <c r="E38" s="10"/>
    </row>
    <row r="39" spans="1:5">
      <c r="A39" s="10" t="s">
        <v>135</v>
      </c>
      <c r="B39" s="10" t="s">
        <v>132</v>
      </c>
      <c r="C39" s="10" t="s">
        <v>5</v>
      </c>
      <c r="D39" s="10"/>
      <c r="E39" s="10"/>
    </row>
    <row r="40" spans="1:5">
      <c r="A40" s="10" t="s">
        <v>136</v>
      </c>
      <c r="B40" s="10" t="s">
        <v>137</v>
      </c>
      <c r="C40" s="10" t="s">
        <v>5</v>
      </c>
      <c r="D40" s="10"/>
      <c r="E40" s="10"/>
    </row>
    <row r="41" spans="1:5">
      <c r="A41" s="10" t="s">
        <v>138</v>
      </c>
      <c r="B41" s="10" t="s">
        <v>139</v>
      </c>
      <c r="C41" s="10" t="s">
        <v>5</v>
      </c>
      <c r="D41" s="10"/>
      <c r="E41" s="10"/>
    </row>
    <row r="42" spans="1:5">
      <c r="A42" s="10" t="s">
        <v>140</v>
      </c>
      <c r="B42" s="10" t="s">
        <v>141</v>
      </c>
      <c r="C42" s="10" t="s">
        <v>5</v>
      </c>
      <c r="D42" s="10"/>
      <c r="E42" s="10"/>
    </row>
    <row r="43" spans="1:5">
      <c r="A43" s="10" t="s">
        <v>142</v>
      </c>
      <c r="B43" s="10" t="s">
        <v>143</v>
      </c>
      <c r="C43" s="10" t="s">
        <v>5</v>
      </c>
      <c r="D43" s="10"/>
      <c r="E43" s="10"/>
    </row>
    <row r="44" spans="1:5">
      <c r="A44" s="10" t="s">
        <v>144</v>
      </c>
      <c r="B44" s="10" t="s">
        <v>15</v>
      </c>
      <c r="C44" s="10" t="s">
        <v>5</v>
      </c>
      <c r="D44" s="10"/>
      <c r="E44" s="10"/>
    </row>
    <row r="45" spans="1:5">
      <c r="A45" s="10" t="s">
        <v>128</v>
      </c>
      <c r="B45" s="10" t="s">
        <v>15</v>
      </c>
      <c r="C45" s="10" t="s">
        <v>5</v>
      </c>
      <c r="D45" s="10"/>
      <c r="E45" s="10"/>
    </row>
    <row r="46" spans="1:5">
      <c r="A46" s="10" t="s">
        <v>129</v>
      </c>
      <c r="B46" s="10" t="s">
        <v>129</v>
      </c>
      <c r="C46" s="10" t="s">
        <v>5</v>
      </c>
      <c r="D46" s="10"/>
      <c r="E46" s="10"/>
    </row>
    <row r="47" spans="1:5">
      <c r="A47" s="10" t="s">
        <v>130</v>
      </c>
      <c r="B47" s="10" t="s">
        <v>131</v>
      </c>
      <c r="C47" s="10" t="s">
        <v>5</v>
      </c>
      <c r="D47" s="10"/>
      <c r="E47" s="10"/>
    </row>
    <row r="48" spans="1:5">
      <c r="A48" s="10" t="s">
        <v>132</v>
      </c>
      <c r="B48" s="10" t="s">
        <v>132</v>
      </c>
      <c r="C48" s="10" t="s">
        <v>8</v>
      </c>
      <c r="D48" s="10" t="s">
        <v>133</v>
      </c>
      <c r="E48" s="10"/>
    </row>
    <row r="49" spans="1:5">
      <c r="A49" s="10" t="s">
        <v>134</v>
      </c>
      <c r="B49" s="10" t="s">
        <v>132</v>
      </c>
      <c r="C49" s="10" t="s">
        <v>5</v>
      </c>
      <c r="D49" s="10"/>
      <c r="E49" s="10"/>
    </row>
    <row r="50" spans="1:5">
      <c r="A50" s="10" t="s">
        <v>135</v>
      </c>
      <c r="B50" s="10" t="s">
        <v>132</v>
      </c>
      <c r="C50" s="10" t="s">
        <v>5</v>
      </c>
      <c r="D50" s="10"/>
      <c r="E50" s="10"/>
    </row>
    <row r="51" spans="1:5">
      <c r="A51" s="10" t="s">
        <v>136</v>
      </c>
      <c r="B51" s="10" t="s">
        <v>137</v>
      </c>
      <c r="C51" s="10" t="s">
        <v>8</v>
      </c>
      <c r="D51" s="10" t="s">
        <v>145</v>
      </c>
      <c r="E51" s="12">
        <v>20214</v>
      </c>
    </row>
    <row r="52" spans="1:5">
      <c r="A52" s="10" t="s">
        <v>146</v>
      </c>
      <c r="B52" s="10" t="s">
        <v>147</v>
      </c>
      <c r="C52" s="10" t="s">
        <v>5</v>
      </c>
      <c r="D52" s="10"/>
      <c r="E52" s="10"/>
    </row>
    <row r="53" spans="1:5">
      <c r="A53" s="10" t="s">
        <v>138</v>
      </c>
      <c r="B53" s="10" t="s">
        <v>139</v>
      </c>
      <c r="C53" s="10" t="s">
        <v>8</v>
      </c>
      <c r="D53" s="10" t="s">
        <v>148</v>
      </c>
      <c r="E53" s="12">
        <v>13767</v>
      </c>
    </row>
    <row r="54" spans="1:5">
      <c r="A54" s="10" t="s">
        <v>149</v>
      </c>
      <c r="B54" s="10" t="s">
        <v>150</v>
      </c>
      <c r="C54" s="10" t="s">
        <v>5</v>
      </c>
      <c r="D54" s="10"/>
      <c r="E54" s="10"/>
    </row>
    <row r="55" spans="1:5">
      <c r="A55" s="10" t="s">
        <v>151</v>
      </c>
      <c r="B55" s="10" t="s">
        <v>151</v>
      </c>
      <c r="C55" s="10" t="s">
        <v>5</v>
      </c>
      <c r="D55" s="10"/>
      <c r="E55" s="10"/>
    </row>
    <row r="56" spans="1:5">
      <c r="A56" s="10" t="s">
        <v>152</v>
      </c>
      <c r="B56" s="10" t="s">
        <v>153</v>
      </c>
      <c r="C56" s="10" t="s">
        <v>5</v>
      </c>
      <c r="D56" s="10"/>
      <c r="E5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zoomScale="103" zoomScaleNormal="115" workbookViewId="0"/>
  </sheetViews>
  <sheetFormatPr defaultRowHeight="15"/>
  <cols>
    <col min="1" max="1" width="61.28515625" bestFit="1" customWidth="1"/>
    <col min="2" max="2" width="49.28515625" customWidth="1"/>
    <col min="3" max="3" width="8.85546875" bestFit="1" customWidth="1"/>
    <col min="4" max="4" width="35.28515625" bestFit="1" customWidth="1"/>
    <col min="5" max="5" width="6.8554687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24</v>
      </c>
    </row>
    <row r="2" spans="1:8">
      <c r="A2" s="10" t="s">
        <v>158</v>
      </c>
      <c r="B2" s="10" t="s">
        <v>159</v>
      </c>
      <c r="C2" s="10" t="s">
        <v>5</v>
      </c>
      <c r="D2" s="10"/>
      <c r="E2" s="10"/>
      <c r="G2" s="6" t="s">
        <v>8</v>
      </c>
      <c r="H2" s="7">
        <f>COUNTIF(C:C,G2)</f>
        <v>9</v>
      </c>
    </row>
    <row r="3" spans="1:8" ht="15.75" thickBot="1">
      <c r="A3" s="10" t="s">
        <v>160</v>
      </c>
      <c r="B3" s="10" t="s">
        <v>15</v>
      </c>
      <c r="C3" s="10" t="s">
        <v>5</v>
      </c>
      <c r="D3" s="10"/>
      <c r="E3" s="10"/>
      <c r="G3" s="8" t="s">
        <v>12</v>
      </c>
      <c r="H3" s="9">
        <f>H1/SUM(H1:H2)</f>
        <v>0.72727272727272729</v>
      </c>
    </row>
    <row r="4" spans="1:8">
      <c r="A4" s="10" t="s">
        <v>161</v>
      </c>
      <c r="B4" s="10" t="s">
        <v>25</v>
      </c>
      <c r="C4" s="10" t="s">
        <v>5</v>
      </c>
      <c r="D4" s="10"/>
      <c r="E4" s="10"/>
    </row>
    <row r="5" spans="1:8">
      <c r="A5" s="10" t="s">
        <v>162</v>
      </c>
      <c r="B5" s="10" t="s">
        <v>163</v>
      </c>
      <c r="C5" s="10" t="s">
        <v>8</v>
      </c>
      <c r="D5" s="10" t="s">
        <v>164</v>
      </c>
      <c r="E5" s="12">
        <v>30414</v>
      </c>
    </row>
    <row r="6" spans="1:8">
      <c r="A6" s="10" t="s">
        <v>165</v>
      </c>
      <c r="B6" s="10" t="s">
        <v>138</v>
      </c>
      <c r="C6" s="10" t="s">
        <v>8</v>
      </c>
      <c r="D6" s="10" t="s">
        <v>166</v>
      </c>
      <c r="E6" s="12">
        <v>30520</v>
      </c>
    </row>
    <row r="7" spans="1:8">
      <c r="A7" s="10" t="s">
        <v>167</v>
      </c>
      <c r="B7" s="10" t="s">
        <v>166</v>
      </c>
      <c r="C7" s="10" t="s">
        <v>5</v>
      </c>
      <c r="D7" s="10"/>
      <c r="E7" s="10"/>
    </row>
    <row r="8" spans="1:8">
      <c r="A8" s="10" t="s">
        <v>168</v>
      </c>
      <c r="B8" s="10" t="s">
        <v>169</v>
      </c>
      <c r="C8" s="10" t="s">
        <v>5</v>
      </c>
      <c r="D8" s="10"/>
      <c r="E8" s="10"/>
    </row>
    <row r="9" spans="1:8">
      <c r="A9" s="10" t="s">
        <v>170</v>
      </c>
      <c r="B9" s="10" t="s">
        <v>25</v>
      </c>
      <c r="C9" s="10" t="s">
        <v>5</v>
      </c>
      <c r="D9" s="10"/>
      <c r="E9" s="10"/>
    </row>
    <row r="10" spans="1:8">
      <c r="A10" s="10" t="s">
        <v>171</v>
      </c>
      <c r="B10" s="10" t="s">
        <v>172</v>
      </c>
      <c r="C10" s="10" t="s">
        <v>8</v>
      </c>
      <c r="D10" s="10" t="s">
        <v>173</v>
      </c>
      <c r="E10" s="12">
        <v>17542</v>
      </c>
    </row>
    <row r="11" spans="1:8">
      <c r="A11" s="10" t="s">
        <v>174</v>
      </c>
      <c r="B11" s="10" t="s">
        <v>175</v>
      </c>
      <c r="C11" s="10" t="s">
        <v>8</v>
      </c>
      <c r="D11" s="10" t="s">
        <v>176</v>
      </c>
      <c r="E11" s="12">
        <v>30481</v>
      </c>
    </row>
    <row r="12" spans="1:8">
      <c r="A12" s="10" t="s">
        <v>177</v>
      </c>
      <c r="B12" s="10" t="s">
        <v>178</v>
      </c>
      <c r="C12" s="10" t="s">
        <v>8</v>
      </c>
      <c r="D12" s="10" t="s">
        <v>179</v>
      </c>
      <c r="E12" s="12">
        <v>30576</v>
      </c>
    </row>
    <row r="13" spans="1:8">
      <c r="A13" s="10" t="s">
        <v>180</v>
      </c>
      <c r="B13" s="10" t="s">
        <v>181</v>
      </c>
      <c r="C13" s="10" t="s">
        <v>5</v>
      </c>
      <c r="D13" s="10"/>
      <c r="E13" s="10"/>
    </row>
    <row r="14" spans="1:8">
      <c r="A14" s="10" t="s">
        <v>160</v>
      </c>
      <c r="B14" s="10" t="s">
        <v>15</v>
      </c>
      <c r="C14" s="10" t="s">
        <v>5</v>
      </c>
      <c r="D14" s="10"/>
      <c r="E14" s="10"/>
    </row>
    <row r="15" spans="1:8">
      <c r="A15" s="10" t="s">
        <v>182</v>
      </c>
      <c r="B15" s="10" t="s">
        <v>183</v>
      </c>
      <c r="C15" s="10" t="s">
        <v>5</v>
      </c>
      <c r="D15" s="10"/>
      <c r="E15" s="10"/>
    </row>
    <row r="16" spans="1:8">
      <c r="A16" s="10" t="s">
        <v>184</v>
      </c>
      <c r="B16" s="10" t="s">
        <v>103</v>
      </c>
      <c r="C16" s="10" t="s">
        <v>5</v>
      </c>
      <c r="D16" s="10"/>
      <c r="E16" s="10"/>
    </row>
    <row r="17" spans="1:5">
      <c r="A17" s="10" t="s">
        <v>185</v>
      </c>
      <c r="B17" s="10" t="s">
        <v>186</v>
      </c>
      <c r="C17" s="10" t="s">
        <v>8</v>
      </c>
      <c r="D17" s="10" t="s">
        <v>187</v>
      </c>
      <c r="E17" s="12">
        <v>30518</v>
      </c>
    </row>
    <row r="18" spans="1:5">
      <c r="A18" s="10" t="s">
        <v>188</v>
      </c>
      <c r="B18" s="10" t="s">
        <v>186</v>
      </c>
      <c r="C18" s="10" t="s">
        <v>5</v>
      </c>
      <c r="D18" s="10"/>
      <c r="E18" s="10"/>
    </row>
    <row r="19" spans="1:5">
      <c r="A19" s="10" t="s">
        <v>189</v>
      </c>
      <c r="B19" s="10" t="s">
        <v>190</v>
      </c>
      <c r="C19" s="10" t="s">
        <v>5</v>
      </c>
      <c r="D19" s="10"/>
      <c r="E19" s="10"/>
    </row>
    <row r="20" spans="1:5">
      <c r="A20" s="10" t="s">
        <v>191</v>
      </c>
      <c r="B20" s="10" t="s">
        <v>192</v>
      </c>
      <c r="C20" s="10" t="s">
        <v>8</v>
      </c>
      <c r="D20" s="10" t="s">
        <v>193</v>
      </c>
      <c r="E20" s="12">
        <v>30422</v>
      </c>
    </row>
    <row r="21" spans="1:5">
      <c r="A21" s="10" t="s">
        <v>194</v>
      </c>
      <c r="B21" s="10" t="s">
        <v>195</v>
      </c>
      <c r="C21" s="10" t="s">
        <v>5</v>
      </c>
      <c r="D21" s="10"/>
      <c r="E21" s="10"/>
    </row>
    <row r="22" spans="1:5">
      <c r="A22" s="10" t="s">
        <v>196</v>
      </c>
      <c r="B22" s="10" t="s">
        <v>15</v>
      </c>
      <c r="C22" s="10" t="s">
        <v>5</v>
      </c>
      <c r="D22" s="10"/>
      <c r="E22" s="10"/>
    </row>
    <row r="23" spans="1:5">
      <c r="A23" s="10" t="s">
        <v>197</v>
      </c>
      <c r="B23" s="10" t="s">
        <v>198</v>
      </c>
      <c r="C23" s="10" t="s">
        <v>5</v>
      </c>
      <c r="D23" s="10"/>
      <c r="E23" s="10"/>
    </row>
    <row r="24" spans="1:5">
      <c r="A24" s="10" t="s">
        <v>199</v>
      </c>
      <c r="B24" s="10" t="s">
        <v>200</v>
      </c>
      <c r="C24" s="10" t="s">
        <v>5</v>
      </c>
      <c r="D24" s="10"/>
      <c r="E24" s="10"/>
    </row>
    <row r="25" spans="1:5">
      <c r="A25" s="10" t="s">
        <v>201</v>
      </c>
      <c r="B25" s="10" t="s">
        <v>176</v>
      </c>
      <c r="C25" s="10" t="s">
        <v>8</v>
      </c>
      <c r="D25" s="10" t="s">
        <v>175</v>
      </c>
      <c r="E25" s="12">
        <v>30485</v>
      </c>
    </row>
    <row r="26" spans="1:5">
      <c r="A26" s="10" t="s">
        <v>202</v>
      </c>
      <c r="B26" s="10" t="s">
        <v>186</v>
      </c>
      <c r="C26" s="10" t="s">
        <v>8</v>
      </c>
      <c r="D26" s="10" t="s">
        <v>203</v>
      </c>
      <c r="E26" s="12">
        <v>17545</v>
      </c>
    </row>
    <row r="27" spans="1:5">
      <c r="A27" s="10" t="s">
        <v>204</v>
      </c>
      <c r="B27" s="10" t="s">
        <v>205</v>
      </c>
      <c r="C27" s="10" t="s">
        <v>5</v>
      </c>
      <c r="D27" s="10"/>
      <c r="E27" s="10"/>
    </row>
    <row r="28" spans="1:5">
      <c r="A28" s="10" t="s">
        <v>206</v>
      </c>
      <c r="B28" s="10" t="s">
        <v>15</v>
      </c>
      <c r="C28" s="10" t="s">
        <v>5</v>
      </c>
      <c r="D28" s="10"/>
      <c r="E28" s="10"/>
    </row>
    <row r="29" spans="1:5">
      <c r="A29" s="10" t="s">
        <v>207</v>
      </c>
      <c r="B29" s="10" t="s">
        <v>208</v>
      </c>
      <c r="C29" s="10" t="s">
        <v>5</v>
      </c>
      <c r="D29" s="10"/>
      <c r="E29" s="10"/>
    </row>
    <row r="30" spans="1:5">
      <c r="A30" s="10" t="s">
        <v>209</v>
      </c>
      <c r="B30" s="10" t="s">
        <v>210</v>
      </c>
      <c r="C30" s="10" t="s">
        <v>5</v>
      </c>
      <c r="D30" s="10"/>
      <c r="E30" s="10"/>
    </row>
    <row r="31" spans="1:5">
      <c r="A31" s="10" t="s">
        <v>211</v>
      </c>
      <c r="B31" s="10" t="s">
        <v>212</v>
      </c>
      <c r="C31" s="10" t="s">
        <v>5</v>
      </c>
      <c r="D31" s="10"/>
      <c r="E31" s="10"/>
    </row>
    <row r="32" spans="1:5">
      <c r="A32" s="10" t="s">
        <v>213</v>
      </c>
      <c r="B32" s="10" t="s">
        <v>214</v>
      </c>
      <c r="C32" s="10" t="s">
        <v>5</v>
      </c>
      <c r="D32" s="10"/>
      <c r="E32" s="10"/>
    </row>
    <row r="33" spans="1:5">
      <c r="A33" s="10" t="s">
        <v>215</v>
      </c>
      <c r="B33" s="10" t="s">
        <v>216</v>
      </c>
      <c r="C33" s="10" t="s">
        <v>5</v>
      </c>
      <c r="D33" s="10"/>
      <c r="E33" s="10"/>
    </row>
    <row r="34" spans="1:5">
      <c r="A34" s="10" t="s">
        <v>217</v>
      </c>
      <c r="B34" s="10" t="s">
        <v>218</v>
      </c>
      <c r="C34" s="10" t="s">
        <v>5</v>
      </c>
      <c r="D34" s="10"/>
      <c r="E3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5"/>
  <sheetViews>
    <sheetView zoomScale="112" workbookViewId="0"/>
  </sheetViews>
  <sheetFormatPr defaultRowHeight="15"/>
  <cols>
    <col min="1" max="1" width="61.28515625" bestFit="1" customWidth="1"/>
    <col min="2" max="2" width="46.140625" customWidth="1"/>
    <col min="3" max="3" width="8.85546875" bestFit="1" customWidth="1"/>
    <col min="4" max="4" width="20" bestFit="1" customWidth="1"/>
    <col min="5" max="5" width="6.8554687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26</v>
      </c>
    </row>
    <row r="2" spans="1:8">
      <c r="A2" s="10" t="s">
        <v>219</v>
      </c>
      <c r="B2" s="10" t="s">
        <v>159</v>
      </c>
      <c r="C2" s="10" t="s">
        <v>5</v>
      </c>
      <c r="D2" s="10"/>
      <c r="E2" s="10"/>
      <c r="G2" s="6" t="s">
        <v>8</v>
      </c>
      <c r="H2" s="7">
        <f>COUNTIF(C:C,G2)</f>
        <v>8</v>
      </c>
    </row>
    <row r="3" spans="1:8" ht="15.75" thickBot="1">
      <c r="A3" s="10" t="s">
        <v>220</v>
      </c>
      <c r="B3" s="10" t="s">
        <v>15</v>
      </c>
      <c r="C3" s="10" t="s">
        <v>5</v>
      </c>
      <c r="D3" s="10"/>
      <c r="E3" s="10"/>
      <c r="G3" s="8" t="s">
        <v>12</v>
      </c>
      <c r="H3" s="9">
        <f>H1/SUM(H1:H2)</f>
        <v>0.76470588235294112</v>
      </c>
    </row>
    <row r="4" spans="1:8">
      <c r="A4" s="10" t="s">
        <v>161</v>
      </c>
      <c r="B4" s="10" t="s">
        <v>25</v>
      </c>
      <c r="C4" s="10" t="s">
        <v>5</v>
      </c>
      <c r="D4" s="10"/>
      <c r="E4" s="10"/>
    </row>
    <row r="5" spans="1:8">
      <c r="A5" s="10" t="s">
        <v>162</v>
      </c>
      <c r="B5" s="10" t="s">
        <v>163</v>
      </c>
      <c r="C5" s="10" t="s">
        <v>8</v>
      </c>
      <c r="D5" s="10" t="s">
        <v>164</v>
      </c>
      <c r="E5" s="12">
        <v>30414</v>
      </c>
    </row>
    <row r="6" spans="1:8">
      <c r="A6" s="10" t="s">
        <v>165</v>
      </c>
      <c r="B6" s="10" t="s">
        <v>138</v>
      </c>
      <c r="C6" s="10" t="s">
        <v>8</v>
      </c>
      <c r="D6" s="10" t="s">
        <v>166</v>
      </c>
      <c r="E6" s="12">
        <v>30520</v>
      </c>
    </row>
    <row r="7" spans="1:8">
      <c r="A7" s="10" t="s">
        <v>167</v>
      </c>
      <c r="B7" s="10" t="s">
        <v>166</v>
      </c>
      <c r="C7" s="10" t="s">
        <v>5</v>
      </c>
      <c r="D7" s="10"/>
      <c r="E7" s="10"/>
    </row>
    <row r="8" spans="1:8">
      <c r="A8" s="10" t="s">
        <v>168</v>
      </c>
      <c r="B8" s="10" t="s">
        <v>169</v>
      </c>
      <c r="C8" s="10" t="s">
        <v>5</v>
      </c>
      <c r="D8" s="10"/>
      <c r="E8" s="10"/>
    </row>
    <row r="9" spans="1:8">
      <c r="A9" s="10" t="s">
        <v>170</v>
      </c>
      <c r="B9" s="10" t="s">
        <v>25</v>
      </c>
      <c r="C9" s="10" t="s">
        <v>5</v>
      </c>
      <c r="D9" s="10"/>
      <c r="E9" s="10"/>
    </row>
    <row r="10" spans="1:8">
      <c r="A10" s="10" t="s">
        <v>171</v>
      </c>
      <c r="B10" s="10" t="s">
        <v>172</v>
      </c>
      <c r="C10" s="10" t="s">
        <v>8</v>
      </c>
      <c r="D10" s="10" t="s">
        <v>173</v>
      </c>
      <c r="E10" s="12">
        <v>17542</v>
      </c>
    </row>
    <row r="11" spans="1:8">
      <c r="A11" s="10" t="s">
        <v>174</v>
      </c>
      <c r="B11" s="10" t="s">
        <v>175</v>
      </c>
      <c r="C11" s="10" t="s">
        <v>8</v>
      </c>
      <c r="D11" s="10" t="s">
        <v>176</v>
      </c>
      <c r="E11" s="12">
        <v>30481</v>
      </c>
    </row>
    <row r="12" spans="1:8">
      <c r="A12" s="10" t="s">
        <v>177</v>
      </c>
      <c r="B12" s="10" t="s">
        <v>178</v>
      </c>
      <c r="C12" s="10" t="s">
        <v>8</v>
      </c>
      <c r="D12" s="10" t="s">
        <v>179</v>
      </c>
      <c r="E12" s="12">
        <v>30576</v>
      </c>
    </row>
    <row r="13" spans="1:8">
      <c r="A13" s="10" t="s">
        <v>180</v>
      </c>
      <c r="B13" s="10" t="s">
        <v>181</v>
      </c>
      <c r="C13" s="10" t="s">
        <v>5</v>
      </c>
      <c r="D13" s="10"/>
      <c r="E13" s="10"/>
    </row>
    <row r="14" spans="1:8">
      <c r="A14" s="10" t="s">
        <v>220</v>
      </c>
      <c r="B14" s="10" t="s">
        <v>15</v>
      </c>
      <c r="C14" s="10" t="s">
        <v>5</v>
      </c>
      <c r="D14" s="10"/>
      <c r="E14" s="10"/>
    </row>
    <row r="15" spans="1:8">
      <c r="A15" s="10" t="s">
        <v>221</v>
      </c>
      <c r="B15" s="10" t="s">
        <v>183</v>
      </c>
      <c r="C15" s="10" t="s">
        <v>5</v>
      </c>
      <c r="D15" s="10"/>
      <c r="E15" s="10"/>
    </row>
    <row r="16" spans="1:8">
      <c r="A16" s="10" t="s">
        <v>184</v>
      </c>
      <c r="B16" s="10" t="s">
        <v>103</v>
      </c>
      <c r="C16" s="10" t="s">
        <v>5</v>
      </c>
      <c r="D16" s="10"/>
      <c r="E16" s="10"/>
    </row>
    <row r="17" spans="1:5">
      <c r="A17" s="10" t="s">
        <v>222</v>
      </c>
      <c r="B17" s="10" t="s">
        <v>187</v>
      </c>
      <c r="C17" s="10" t="s">
        <v>5</v>
      </c>
      <c r="D17" s="10"/>
      <c r="E17" s="10"/>
    </row>
    <row r="18" spans="1:5">
      <c r="A18" s="10" t="s">
        <v>223</v>
      </c>
      <c r="B18" s="10" t="s">
        <v>186</v>
      </c>
      <c r="C18" s="10" t="s">
        <v>5</v>
      </c>
      <c r="D18" s="10"/>
      <c r="E18" s="10"/>
    </row>
    <row r="19" spans="1:5">
      <c r="A19" s="10" t="s">
        <v>189</v>
      </c>
      <c r="B19" s="10" t="s">
        <v>190</v>
      </c>
      <c r="C19" s="10" t="s">
        <v>5</v>
      </c>
      <c r="D19" s="10"/>
      <c r="E19" s="10"/>
    </row>
    <row r="20" spans="1:5">
      <c r="A20" s="10" t="s">
        <v>191</v>
      </c>
      <c r="B20" s="10" t="s">
        <v>192</v>
      </c>
      <c r="C20" s="10" t="s">
        <v>8</v>
      </c>
      <c r="D20" s="10" t="s">
        <v>193</v>
      </c>
      <c r="E20" s="12">
        <v>30422</v>
      </c>
    </row>
    <row r="21" spans="1:5">
      <c r="A21" s="10" t="s">
        <v>194</v>
      </c>
      <c r="B21" s="10" t="s">
        <v>195</v>
      </c>
      <c r="C21" s="10" t="s">
        <v>5</v>
      </c>
      <c r="D21" s="10"/>
      <c r="E21" s="10"/>
    </row>
    <row r="22" spans="1:5">
      <c r="A22" s="10" t="s">
        <v>196</v>
      </c>
      <c r="B22" s="10" t="s">
        <v>15</v>
      </c>
      <c r="C22" s="10" t="s">
        <v>5</v>
      </c>
      <c r="D22" s="10"/>
      <c r="E22" s="10"/>
    </row>
    <row r="23" spans="1:5">
      <c r="A23" s="10" t="s">
        <v>197</v>
      </c>
      <c r="B23" s="10" t="s">
        <v>198</v>
      </c>
      <c r="C23" s="10" t="s">
        <v>5</v>
      </c>
      <c r="D23" s="10"/>
      <c r="E23" s="10"/>
    </row>
    <row r="24" spans="1:5">
      <c r="A24" s="10" t="s">
        <v>199</v>
      </c>
      <c r="B24" s="10" t="s">
        <v>200</v>
      </c>
      <c r="C24" s="10" t="s">
        <v>5</v>
      </c>
      <c r="D24" s="10"/>
      <c r="E24" s="10"/>
    </row>
    <row r="25" spans="1:5">
      <c r="A25" s="10" t="s">
        <v>201</v>
      </c>
      <c r="B25" s="10" t="s">
        <v>176</v>
      </c>
      <c r="C25" s="10" t="s">
        <v>8</v>
      </c>
      <c r="D25" s="10" t="s">
        <v>175</v>
      </c>
      <c r="E25" s="12">
        <v>30485</v>
      </c>
    </row>
    <row r="26" spans="1:5">
      <c r="A26" s="10" t="s">
        <v>224</v>
      </c>
      <c r="B26" s="10" t="s">
        <v>225</v>
      </c>
      <c r="C26" s="10" t="s">
        <v>5</v>
      </c>
      <c r="D26" s="10"/>
      <c r="E26" s="10"/>
    </row>
    <row r="27" spans="1:5">
      <c r="A27" s="10" t="s">
        <v>202</v>
      </c>
      <c r="B27" s="10" t="s">
        <v>186</v>
      </c>
      <c r="C27" s="10" t="s">
        <v>8</v>
      </c>
      <c r="D27" s="10" t="s">
        <v>203</v>
      </c>
      <c r="E27" s="12">
        <v>17545</v>
      </c>
    </row>
    <row r="28" spans="1:5">
      <c r="A28" s="10" t="s">
        <v>204</v>
      </c>
      <c r="B28" s="10" t="s">
        <v>205</v>
      </c>
      <c r="C28" s="10" t="s">
        <v>5</v>
      </c>
      <c r="D28" s="10"/>
      <c r="E28" s="10"/>
    </row>
    <row r="29" spans="1:5">
      <c r="A29" s="10" t="s">
        <v>206</v>
      </c>
      <c r="B29" s="10" t="s">
        <v>15</v>
      </c>
      <c r="C29" s="10" t="s">
        <v>5</v>
      </c>
      <c r="D29" s="10"/>
      <c r="E29" s="10"/>
    </row>
    <row r="30" spans="1:5">
      <c r="A30" s="10" t="s">
        <v>226</v>
      </c>
      <c r="B30" s="10" t="s">
        <v>208</v>
      </c>
      <c r="C30" s="10" t="s">
        <v>5</v>
      </c>
      <c r="D30" s="10"/>
      <c r="E30" s="10"/>
    </row>
    <row r="31" spans="1:5">
      <c r="A31" s="10" t="s">
        <v>209</v>
      </c>
      <c r="B31" s="10" t="s">
        <v>210</v>
      </c>
      <c r="C31" s="10" t="s">
        <v>5</v>
      </c>
      <c r="D31" s="10"/>
      <c r="E31" s="10"/>
    </row>
    <row r="32" spans="1:5">
      <c r="A32" s="10" t="s">
        <v>227</v>
      </c>
      <c r="B32" s="10" t="s">
        <v>212</v>
      </c>
      <c r="C32" s="10" t="s">
        <v>5</v>
      </c>
      <c r="D32" s="10"/>
      <c r="E32" s="10"/>
    </row>
    <row r="33" spans="1:5">
      <c r="A33" s="10" t="s">
        <v>213</v>
      </c>
      <c r="B33" s="10" t="s">
        <v>214</v>
      </c>
      <c r="C33" s="10" t="s">
        <v>5</v>
      </c>
      <c r="D33" s="10"/>
      <c r="E33" s="10"/>
    </row>
    <row r="34" spans="1:5">
      <c r="A34" s="10" t="s">
        <v>228</v>
      </c>
      <c r="B34" s="10" t="s">
        <v>216</v>
      </c>
      <c r="C34" s="10" t="s">
        <v>5</v>
      </c>
      <c r="D34" s="10"/>
      <c r="E34" s="10"/>
    </row>
    <row r="35" spans="1:5">
      <c r="A35" s="10" t="s">
        <v>217</v>
      </c>
      <c r="B35" s="10" t="s">
        <v>218</v>
      </c>
      <c r="C35" s="10" t="s">
        <v>5</v>
      </c>
      <c r="D35" s="10"/>
      <c r="E3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Kaustubh Keny</cp:lastModifiedBy>
  <cp:revision/>
  <dcterms:created xsi:type="dcterms:W3CDTF">2026-03-18T16:05:28Z</dcterms:created>
  <dcterms:modified xsi:type="dcterms:W3CDTF">2026-06-23T06:32:09Z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2026-03-20T05:03:07Z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4b4e6633-5436-4f81-983c-39bc60d6e7cd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