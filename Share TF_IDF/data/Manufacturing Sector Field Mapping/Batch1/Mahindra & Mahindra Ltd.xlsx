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8684D2FA-A3B2-4A7D-A145-A1D91CE9F0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5" r:id="rId1"/>
    <sheet name="Consolidated Profit &amp; Loss" sheetId="1" r:id="rId2"/>
    <sheet name="Standalone Balance Sheet" sheetId="7" r:id="rId3"/>
    <sheet name="Consolidated Balance Sheet" sheetId="3" r:id="rId4"/>
    <sheet name="Standalone Cash Flow" sheetId="8" r:id="rId5"/>
    <sheet name="Consolidated Cash Flow" sheetId="4" r:id="rId6"/>
    <sheet name="SR - P_8 - T_1" sheetId="6" r:id="rId7"/>
    <sheet name="SR_C - P_3 - T_1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3" i="1" s="1"/>
  <c r="H2" i="5"/>
  <c r="H1" i="5"/>
  <c r="H3" i="5" s="1"/>
  <c r="H2" i="3"/>
  <c r="H1" i="3"/>
  <c r="H2" i="7"/>
  <c r="H1" i="7"/>
  <c r="H2" i="4"/>
  <c r="H1" i="4"/>
  <c r="H2" i="8"/>
  <c r="H1" i="8"/>
  <c r="H3" i="8" s="1"/>
  <c r="H2" i="6"/>
  <c r="H1" i="6"/>
  <c r="H3" i="6" s="1"/>
  <c r="H2" i="2"/>
  <c r="H1" i="2"/>
  <c r="H3" i="2" s="1"/>
  <c r="H3" i="4" l="1"/>
  <c r="H3" i="7"/>
  <c r="H3" i="3"/>
</calcChain>
</file>

<file path=xl/sharedStrings.xml><?xml version="1.0" encoding="utf-8"?>
<sst xmlns="http://schemas.openxmlformats.org/spreadsheetml/2006/main" count="1143" uniqueCount="334">
  <si>
    <t>Particulars</t>
  </si>
  <si>
    <t>Cogencis Field</t>
  </si>
  <si>
    <t>Revenue from operations</t>
  </si>
  <si>
    <t>Gross Sales/Income from Operations</t>
  </si>
  <si>
    <t>Income from investments related to subsidiaries associates and joint ventures (note 2)</t>
  </si>
  <si>
    <t>Extraordinary Items</t>
  </si>
  <si>
    <t>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</si>
  <si>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</si>
  <si>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</si>
  <si>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</si>
  <si>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</si>
  <si>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</si>
  <si>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</si>
  <si>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</si>
  <si>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</si>
  <si>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stock-in-trade</t>
  </si>
  <si>
    <t>Purchase of Stock-in-Trade</t>
  </si>
  <si>
    <t>Changes in inventories of finished goods stock-in-trade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</si>
  <si>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</si>
  <si>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</si>
  <si>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</si>
  <si>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</si>
  <si>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</si>
  <si>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amortisation and impairment expense</t>
  </si>
  <si>
    <t>Depreciation, Depletion and Amortisation Expense</t>
  </si>
  <si>
    <t>Loss from investments related to subsidiaries associates and joint ventures</t>
  </si>
  <si>
    <t>Share of Profit/(Loss) of Associates/Joint Ventures</t>
  </si>
  <si>
    <t>Other expenses</t>
  </si>
  <si>
    <t>Other Expenses</t>
  </si>
  <si>
    <t>Total expenses</t>
  </si>
  <si>
    <t>Total Expenses</t>
  </si>
  <si>
    <t>Profit/(loss) before share of profit/(loss) of associates joint ventures and tax</t>
  </si>
  <si>
    <t>Profit/(Loss) from ordinary activities before finance costs and exceptional items</t>
  </si>
  <si>
    <t>Share of profit of associates and joint ventures (net)</t>
  </si>
  <si>
    <t>Profit/(loss) before tax</t>
  </si>
  <si>
    <t>Tax expense</t>
  </si>
  <si>
    <t>Tax Expense</t>
  </si>
  <si>
    <t>Current tax</t>
  </si>
  <si>
    <t>Deferred tax</t>
  </si>
  <si>
    <t>Deferred Tax</t>
  </si>
  <si>
    <t>Profit/(loss) after tax</t>
  </si>
  <si>
    <t>Net Profit/(Loss) for the Period</t>
  </si>
  <si>
    <t>Other comprehensive income/(loss)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</si>
  <si>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</si>
  <si>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</si>
  <si>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</si>
  <si>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</si>
  <si>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</si>
  <si>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</si>
  <si>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</si>
  <si>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</si>
  <si>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</si>
  <si>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comprehensive income/(loss) for the period</t>
  </si>
  <si>
    <t>Total Comprehensive Gain (Loss) For the Year</t>
  </si>
  <si>
    <t>Profit/(loss) for the period attributable to:</t>
  </si>
  <si>
    <t>Profit (Loss) Attributable To [Total]</t>
  </si>
  <si>
    <t>Owners of the company</t>
  </si>
  <si>
    <t>Non-controlling interest</t>
  </si>
  <si>
    <t>Other comprehensive income/(loss) for the period attributable to:</t>
  </si>
  <si>
    <t>Comprehensive Income Attributable To [Total]</t>
  </si>
  <si>
    <t>Total comprehensive income/(loss) for the period attributable to:</t>
  </si>
  <si>
    <t>Total Comprehensive Income Attributable To</t>
  </si>
  <si>
    <t>Earnings per share (not annualised):</t>
  </si>
  <si>
    <t>Basic earnings per share (Rs.)</t>
  </si>
  <si>
    <t>Basic EPS</t>
  </si>
  <si>
    <t>Diluted earnings per share (Rs.)</t>
  </si>
  <si>
    <t>Diluted EPS</t>
  </si>
  <si>
    <t>Paid-up equity share capital (Face value Rs5 per share)</t>
  </si>
  <si>
    <t>Paid-Up Equity Share Capital</t>
  </si>
  <si>
    <t>Other equity</t>
  </si>
  <si>
    <t>Reserve excluding Revaluation Reserves (as per Balance Sheet of Previous Accounting Year)</t>
  </si>
  <si>
    <t>Automotive</t>
  </si>
  <si>
    <t>Farm Equipment</t>
  </si>
  <si>
    <t>Services:</t>
  </si>
  <si>
    <t>Financial Services</t>
  </si>
  <si>
    <t>Interest Income</t>
  </si>
  <si>
    <t>Industrial Businesses and Consumer Services</t>
  </si>
  <si>
    <t>Total segment revenue</t>
  </si>
  <si>
    <t>Less: Inter-segment revenue</t>
  </si>
  <si>
    <t>Segment results before share of profit/(loss) of associates and joint ventures:</t>
  </si>
  <si>
    <t>Total</t>
  </si>
  <si>
    <t>Segment results after share of profit/(loss) of associates and joint ventures:</t>
  </si>
  <si>
    <t>Finance costs (excludes Financial Services business)</t>
  </si>
  <si>
    <t>Profit/(Loss) from Operations before Other Income, Finance Costs and Exceptional Items</t>
  </si>
  <si>
    <t>Other unallocable income/(expense) (net)</t>
  </si>
  <si>
    <t>Segment assets:</t>
  </si>
  <si>
    <t>Total segment assets</t>
  </si>
  <si>
    <t>Unallocable assets</t>
  </si>
  <si>
    <t>Total assets</t>
  </si>
  <si>
    <t>Segment liabilities:</t>
  </si>
  <si>
    <t>Total segment liabilities</t>
  </si>
  <si>
    <t>Unallocable liabilities</t>
  </si>
  <si>
    <t>Total liabilities</t>
  </si>
  <si>
    <t>Total Field</t>
  </si>
  <si>
    <t>NON-CURRENT ASSETS</t>
  </si>
  <si>
    <t>Property plant and equipment</t>
  </si>
  <si>
    <t>Property, Plant &amp; Equipment</t>
  </si>
  <si>
    <t>Capital work-in-progress</t>
  </si>
  <si>
    <t>Capital Work-In-Progress</t>
  </si>
  <si>
    <t>Goodwill</t>
  </si>
  <si>
    <t>Other intangible assets</t>
  </si>
  <si>
    <t>Other Intangible Assets</t>
  </si>
  <si>
    <t>Intangible assets under development</t>
  </si>
  <si>
    <t>Investments accounted using equity method</t>
  </si>
  <si>
    <t>Investment accounted for using Equity method</t>
  </si>
  <si>
    <t>Financial assets</t>
  </si>
  <si>
    <t>Investments</t>
  </si>
  <si>
    <t>Non-Current Investments</t>
  </si>
  <si>
    <t>Trade receivables</t>
  </si>
  <si>
    <t>Trade Receivables</t>
  </si>
  <si>
    <t>Loans</t>
  </si>
  <si>
    <t>Loans, Current</t>
  </si>
  <si>
    <t>Other financial assets</t>
  </si>
  <si>
    <t>Other Non-Current Financial Assets</t>
  </si>
  <si>
    <t>Deferred tax assets (net)</t>
  </si>
  <si>
    <t>Deferred Tax Assets (Net)</t>
  </si>
  <si>
    <t>Income tax assets (net)</t>
  </si>
  <si>
    <t>Other non-current assets</t>
  </si>
  <si>
    <t>Other Non-Current Assets</t>
  </si>
  <si>
    <t>TOTAL NON-CURRENT ASSETS</t>
  </si>
  <si>
    <t>Total Non-Current Assets</t>
  </si>
  <si>
    <t>CURRENT ASSETS</t>
  </si>
  <si>
    <t>Inventories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</si>
  <si>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</si>
  <si>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</si>
  <si>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</si>
  <si>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</si>
  <si>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</si>
  <si>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</si>
  <si>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</si>
  <si>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</si>
  <si>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</si>
  <si>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</si>
  <si>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</si>
  <si>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</si>
  <si>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</si>
  <si>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</si>
  <si>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</si>
  <si>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Equity attributable to owners of the company</t>
  </si>
  <si>
    <t>Total Share Holder's Funds</t>
  </si>
  <si>
    <t>Non-controlling Interests</t>
  </si>
  <si>
    <t>Minority Interest</t>
  </si>
  <si>
    <t>LIABILITIES</t>
  </si>
  <si>
    <t>NON-CURRENT LIABILITIES</t>
  </si>
  <si>
    <t>Financial liabilities</t>
  </si>
  <si>
    <t>Borrowings</t>
  </si>
  <si>
    <t>Compulsorily convertible preference shares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</si>
  <si>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</si>
  <si>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</si>
  <si>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</si>
  <si>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</si>
  <si>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</si>
  <si>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(net)</t>
  </si>
  <si>
    <t>Deferred Tax Liability (Net)</t>
  </si>
  <si>
    <t>Other non-current liabilities</t>
  </si>
  <si>
    <t>Other Non-Current Liabilities</t>
  </si>
  <si>
    <t>TOTAL NON-CURRENT LIABILITIES</t>
  </si>
  <si>
    <t>Total Non-Current Liabilities</t>
  </si>
  <si>
    <t>CURRENT LIABILITIES</t>
  </si>
  <si>
    <t>Trade payables</t>
  </si>
  <si>
    <t>Trade Payables</t>
  </si>
  <si>
    <t>Total outstanding dues of micro and small enterprises</t>
  </si>
  <si>
    <t>Total outstanding dues of creditors other than micro and small enterprises</t>
  </si>
  <si>
    <t>Other current liabilities</t>
  </si>
  <si>
    <t>Other liabilities</t>
  </si>
  <si>
    <t>Current tax liabilities (net)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</si>
  <si>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</si>
  <si>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</si>
  <si>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</si>
  <si>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</si>
  <si>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</si>
  <si>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Share Of Profit &amp; Loss from Partnership Firm or Association of Persons Etc</t>
  </si>
  <si>
    <t>Adjustments for :</t>
  </si>
  <si>
    <t>Depreciation and Amortisation Expense</t>
  </si>
  <si>
    <t>Loss/(Gain) on foreign exchange fluctuation and other adjustments (net)</t>
  </si>
  <si>
    <t>Foreign Exchange Gain / Loss</t>
  </si>
  <si>
    <t>Income from investments related to subsidiaries associates and joint ventures</t>
  </si>
  <si>
    <t>Dividend Received</t>
  </si>
  <si>
    <t>Investments in Subsidiaries and/or Joint Ventures</t>
  </si>
  <si>
    <t>Dividend on investments and interest income [excluding Rs.9,142.67 crores (30 Sep 2024: Rs.8,122.14 crores) in respect of financial services business]</t>
  </si>
  <si>
    <t>Net Cash Flow From Financing Activities</t>
  </si>
  <si>
    <t>Finance costs [excluding Rs.4,470.66 crores (30 Sep 2024: Rs.4,015.46 crores) in respect of financial services business]</t>
  </si>
  <si>
    <t>Fixed Deposits</t>
  </si>
  <si>
    <t>Equity-settled share-based payment expenses</t>
  </si>
  <si>
    <t>Others-Financing Activities</t>
  </si>
  <si>
    <t>Gain on financial instruments measured at fair value (net)</t>
  </si>
  <si>
    <t>Others-Before Working Capital Changes</t>
  </si>
  <si>
    <t>Loss/(Gain) on property plant and equipment sold / scrapped / written off (net)</t>
  </si>
  <si>
    <t>Profit On Sale Of Fixed Assets</t>
  </si>
  <si>
    <t>Operating profit before working capital changes</t>
  </si>
  <si>
    <t>Operating Profit Before Working Capital Changes</t>
  </si>
  <si>
    <t>Changes in :</t>
  </si>
  <si>
    <t>Trade and other receivables</t>
  </si>
  <si>
    <t>Trade And Other Receivables</t>
  </si>
  <si>
    <t>Financial services receivable</t>
  </si>
  <si>
    <t>Loans And Advances</t>
  </si>
  <si>
    <t>Trade and other payables and provisions</t>
  </si>
  <si>
    <t>Trade Payables And Others</t>
  </si>
  <si>
    <t>Cash generated from/ (used in) operations</t>
  </si>
  <si>
    <t>Cash Generated From Operations</t>
  </si>
  <si>
    <t>Income taxes paid (net)</t>
  </si>
  <si>
    <t>Income Tax Paid</t>
  </si>
  <si>
    <t>Net cash flow from/(used in) operating activities</t>
  </si>
  <si>
    <t>Net Cash Flow From Operating Activities</t>
  </si>
  <si>
    <t>CASH FLOW FROM INVESTING ACTIVITIES :</t>
  </si>
  <si>
    <t>Payments to acquire property plant &amp; equipment and other intangible assets</t>
  </si>
  <si>
    <t>Purchase Of Fixed Assets (Tangible / Intangible)</t>
  </si>
  <si>
    <t>Proceeds from sale of property plant &amp; equipment and other intangible assets</t>
  </si>
  <si>
    <t>Sale Of Fixed Assets (Tangible / Intangible)</t>
  </si>
  <si>
    <t>Payments to acquire investments</t>
  </si>
  <si>
    <t>Purchase Of Investments</t>
  </si>
  <si>
    <t>Proceeds from sale of investments</t>
  </si>
  <si>
    <t>Sale Of Investments</t>
  </si>
  <si>
    <t>Interest received (excluding financial services business)</t>
  </si>
  <si>
    <t>Interest Received</t>
  </si>
  <si>
    <t>Dividends received from joint ventures and associates</t>
  </si>
  <si>
    <t>Dividends received from others</t>
  </si>
  <si>
    <t>Bank deposits placed (including earmarked and margin account with banks)</t>
  </si>
  <si>
    <t>Others-Investing Activities</t>
  </si>
  <si>
    <t>Bank deposits matured (including earmarked and margin account with banks)</t>
  </si>
  <si>
    <t>Inter corporate deposits placed</t>
  </si>
  <si>
    <t>Inter Corporate Deposits</t>
  </si>
  <si>
    <t>Inter corporate deposits refunded</t>
  </si>
  <si>
    <t>Purchase of investment in joint ventures and associates</t>
  </si>
  <si>
    <t>Purchase consideration paid for acquistion of subsidiaries net of cash acquired</t>
  </si>
  <si>
    <t>Consideration received on disposal of subsidiaries</t>
  </si>
  <si>
    <t>Used In Obtaining Control Of Subsidiaries Or Other Businesses</t>
  </si>
  <si>
    <t>Consideration received on disposal (including partial sale of investment) of associates and joint ventures</t>
  </si>
  <si>
    <t>Net cash flow used in investing activities</t>
  </si>
  <si>
    <t>Net Cash Flow From Investing Activities</t>
  </si>
  <si>
    <t>CASH FLOW FROM FINANCING ACTIVITIES :</t>
  </si>
  <si>
    <t>Proceeds from issue of shares to employees by ESOP Trust</t>
  </si>
  <si>
    <t>Proceeds From Issue Of Equity Shares (Inclu Share Premium)</t>
  </si>
  <si>
    <t>Proceeds from borrowings</t>
  </si>
  <si>
    <t>Proceeds From Long Term Borrowings</t>
  </si>
  <si>
    <t>Repayments of borrowings</t>
  </si>
  <si>
    <t>Repayment Of Long Term Borrowings</t>
  </si>
  <si>
    <t>Net change in loans repayable on demand and cash credit</t>
  </si>
  <si>
    <t>Proceeds from issue of compulsorily convertible preference shares</t>
  </si>
  <si>
    <t>Proceeds From Preference Shares</t>
  </si>
  <si>
    <t>Repayment of lease liabilities (including interest)</t>
  </si>
  <si>
    <t>Payments of lease liabilities</t>
  </si>
  <si>
    <t>Dividends paid (including payment of unclaimed dividends)</t>
  </si>
  <si>
    <t>Dividend Paid</t>
  </si>
  <si>
    <t>Dividend paid to non-controlling interests</t>
  </si>
  <si>
    <t>Transactions with non-controlling interests</t>
  </si>
  <si>
    <t>Interest commitment and finance charges paid (excluding financial services business)</t>
  </si>
  <si>
    <t>Net cash flow (used in)/from financing activities</t>
  </si>
  <si>
    <t>NET DECREASE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</si>
  <si>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</si>
  <si>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</si>
  <si>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</si>
  <si>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related to disposal of subsidiaries</t>
  </si>
  <si>
    <t>Other Adjustments</t>
  </si>
  <si>
    <t>Unrealised gain/(loss) on foreign currency cash and cash equivalents (net)</t>
  </si>
  <si>
    <t>Cash and cash equivalents at the end of the period</t>
  </si>
  <si>
    <t>Cash and Cash Equivalents at the End of the Year</t>
  </si>
  <si>
    <t>Other Equity</t>
  </si>
  <si>
    <t>Auto Investments</t>
  </si>
  <si>
    <t>Farm Investments</t>
  </si>
  <si>
    <t>Investments in Industrial Businesses and Consumer Services</t>
  </si>
  <si>
    <t>Segment results :</t>
  </si>
  <si>
    <t>Total segment results</t>
  </si>
  <si>
    <t>Other unallocable income / (expense) net</t>
  </si>
  <si>
    <t>Unallocable corporate assets</t>
  </si>
  <si>
    <t>Unallocable corporate liabilities</t>
  </si>
  <si>
    <t>Other Intangible assets</t>
  </si>
  <si>
    <t xml:space="preserve">TOTAL NON-CURRENT LIABILITIES </t>
  </si>
  <si>
    <t>Total outstanding dues of Micro Enterprises and Small Enterprises</t>
  </si>
  <si>
    <t>Total outstanding dues of creditors other than Micro Enterprises and Small Enterprises</t>
  </si>
  <si>
    <t>Net Profit Before Tax And Exceptional Item</t>
  </si>
  <si>
    <t>Gain on foreign exchange fluctuations (net)</t>
  </si>
  <si>
    <t>Dividend on investment and interest income</t>
  </si>
  <si>
    <t>(Gain)/ loss arising on financial assets measured at fair value through profit or loss (net)</t>
  </si>
  <si>
    <t>Profit / Loss from Deployment in Mutual Funds</t>
  </si>
  <si>
    <t>Gain arising on sale of non-current investments (net)</t>
  </si>
  <si>
    <t>Profit On Sale Of Investments</t>
  </si>
  <si>
    <t>Impairment provisions for non-current investments (net)</t>
  </si>
  <si>
    <t>Interest Expense</t>
  </si>
  <si>
    <t>Gain on property plant and equipment sold / scrapped / written off (net)</t>
  </si>
  <si>
    <t>Cash generated from operations</t>
  </si>
  <si>
    <t>Income taxes paid (net of refunds and interest on refunds)</t>
  </si>
  <si>
    <t>Net cash flow from operating activities</t>
  </si>
  <si>
    <t>CASH FLOW FROM INVESTING ACTIVITIES</t>
  </si>
  <si>
    <t>Payments to acquire property plant and equipment and intangible assets</t>
  </si>
  <si>
    <t>Proceeds from sale of property plant and equipment and intangible assets</t>
  </si>
  <si>
    <t>Payments to acquire non-current investments in subsidiaries associates and joint ventures</t>
  </si>
  <si>
    <t>Other Cash Payments To Acquire Interests In Joint Ventures</t>
  </si>
  <si>
    <t>Payments to acquire other non-current investments</t>
  </si>
  <si>
    <t>Proceeds from sale of non-current investments in subsidiaries associates and joint ventures</t>
  </si>
  <si>
    <t>Proceeds from sale of certain non current investments</t>
  </si>
  <si>
    <t>Payments to acquire current investments</t>
  </si>
  <si>
    <t>Proceeds from sale of current investments</t>
  </si>
  <si>
    <t>Bank deposits placed (including earmarked balances and margin account with banks)</t>
  </si>
  <si>
    <t>Bank deposits matured (including earmarked balances and margin account with banks)</t>
  </si>
  <si>
    <t>Interest received</t>
  </si>
  <si>
    <t>Dividends received</t>
  </si>
  <si>
    <t>Loans/Inter-corporate deposits given</t>
  </si>
  <si>
    <t>Loans/Inter-corporate deposits refunded</t>
  </si>
  <si>
    <t>CASH FLOW FROM FINANCING ACTIVITIES</t>
  </si>
  <si>
    <t>Repayment of borrowings</t>
  </si>
  <si>
    <t>Dividends paid (including payment of unclaimed dividend)</t>
  </si>
  <si>
    <t>Interest commitment and finance charges paid</t>
  </si>
  <si>
    <t>Interest Paid</t>
  </si>
  <si>
    <t>Net cash flow used in financing activities</t>
  </si>
  <si>
    <t>Net decrease in cash and cash equivalents</t>
  </si>
  <si>
    <t>Unrealised gain on foreign currency cash and cash equivalents</t>
  </si>
  <si>
    <t>Status</t>
  </si>
  <si>
    <t>Correct Field Mapping</t>
  </si>
  <si>
    <t>Field id</t>
  </si>
  <si>
    <t>Correct</t>
  </si>
  <si>
    <t>Incorrect</t>
  </si>
  <si>
    <t>Accuracy %</t>
  </si>
  <si>
    <t>Other Operating Income</t>
  </si>
  <si>
    <t>Label</t>
  </si>
  <si>
    <t>Profit/(Loss) From Ordinary Activities before Tax</t>
  </si>
  <si>
    <t>Non-Controlling Interests</t>
  </si>
  <si>
    <t>Total Income from Operations (net)</t>
  </si>
  <si>
    <t>Net Profit/(Loss) from Ordinary Activities after Tax</t>
  </si>
  <si>
    <t>Goodwill On Consolidation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</si>
  <si>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</si>
  <si>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</si>
  <si>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</si>
  <si>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</si>
  <si>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</si>
  <si>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Employees Stock Options Grants</t>
  </si>
  <si>
    <t>Provision For Dimunition In Investments</t>
  </si>
  <si>
    <t>Bank Overdrafts</t>
  </si>
  <si>
    <t>Cash flows used in obtaining control of subsidiaries or other businesses</t>
  </si>
  <si>
    <t>Cash flows from losing control of subsidiaries or other businesses</t>
  </si>
  <si>
    <t>Other Cash Receipts From Sales Of Interests In Joint Ventures</t>
  </si>
  <si>
    <t>Share of Profit/(loss) of associates and Joint Ventures before ebt</t>
  </si>
  <si>
    <t>Loss On Sale Of Fixed Assets</t>
  </si>
  <si>
    <t>The income statement field has been captured for the Finance segment.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</si>
</sst>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/>
    <xf numFmtId="0" fontId="0" fillId="0" borderId="8" xfId="0" applyBorder="1"/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tabSelected="1" workbookViewId="0">
      <selection activeCell="A4" sqref="A4"/>
    </sheetView>
  </sheetViews>
  <sheetFormatPr defaultRowHeight="15" x14ac:dyDescent="0.25"/>
  <cols>
    <col min="1" max="1" width="57" customWidth="1"/>
    <col min="2" max="2" width="48.42578125" customWidth="1"/>
    <col min="3" max="3" width="9.85546875" customWidth="1"/>
    <col min="4" max="4" width="26.28515625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307</v>
      </c>
      <c r="D1" s="2" t="s">
        <v>308</v>
      </c>
      <c r="E1" s="3" t="s">
        <v>309</v>
      </c>
      <c r="G1" s="4" t="s">
        <v>310</v>
      </c>
      <c r="H1" s="5">
        <f>COUNTIF(C:C,G1)</f>
        <v>25</v>
      </c>
    </row>
    <row r="2" spans="1:8" x14ac:dyDescent="0.25">
      <c r="A2" s="10" t="s">
        <v>2</v>
      </c>
      <c r="B2" s="10" t="s">
        <v>3</v>
      </c>
      <c r="C2" s="10" t="s">
        <v>310</v>
      </c>
      <c r="D2" s="10"/>
      <c r="E2" s="10"/>
      <c r="G2" s="6" t="s">
        <v>311</v>
      </c>
      <c r="H2" s="7">
        <f>COUNTIF(C:C,G2)</f>
        <v>6</v>
      </c>
    </row>
    <row r="3" spans="1:8" ht="15.75" thickBot="1" x14ac:dyDescent="0.3">
      <c r="A3" s="10" t="s">
        <v>176</v>
      </c>
      <c r="B3" s="10" t="s">
        <v>5</v>
      </c>
      <c r="C3" s="10" t="s">
        <v>311</v>
      </c>
      <c r="D3" s="10" t="s">
        <v>313</v>
      </c>
      <c r="E3" s="11">
        <v>281</v>
      </c>
      <c r="G3" s="8" t="s">
        <v>312</v>
      </c>
      <c r="H3" s="9">
        <f>H1/SUM(H1:H2)</f>
        <v>0.80645161290322576</v>
      </c>
    </row>
    <row r="4" spans="1:8" x14ac:dyDescent="0.25">
      <c r="A4" s="10" t="s">
        <v>6</v>
      </c>
      <c r="B4" s="10" t="s">
        <v>3</v>
      </c>
      <c r="C4" s="10" t="s">
        <v>311</v>
      </c>
      <c r="D4" s="10" t="s">
        <v>317</v>
      </c>
      <c r="E4" s="11">
        <v>266</v>
      </c>
    </row>
    <row r="5" spans="1:8" x14ac:dyDescent="0.25">
      <c r="A5" s="10" t="s">
        <v>7</v>
      </c>
      <c r="B5" s="10" t="s">
        <v>8</v>
      </c>
      <c r="C5" s="10" t="s">
        <v>310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310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310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310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310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310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310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310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310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311</v>
      </c>
      <c r="D14" s="2" t="s">
        <v>28</v>
      </c>
      <c r="E14" s="12">
        <v>279</v>
      </c>
    </row>
    <row r="15" spans="1:8" x14ac:dyDescent="0.25">
      <c r="A15" s="10" t="s">
        <v>27</v>
      </c>
      <c r="B15" s="10" t="s">
        <v>28</v>
      </c>
      <c r="C15" s="10" t="s">
        <v>310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310</v>
      </c>
      <c r="D16" s="10"/>
      <c r="E16" s="10"/>
    </row>
    <row r="17" spans="1:7" x14ac:dyDescent="0.25">
      <c r="A17" s="10" t="s">
        <v>34</v>
      </c>
      <c r="B17" s="10" t="s">
        <v>12</v>
      </c>
      <c r="C17" s="10" t="s">
        <v>311</v>
      </c>
      <c r="D17" s="2" t="s">
        <v>315</v>
      </c>
      <c r="E17" s="12">
        <v>296</v>
      </c>
    </row>
    <row r="18" spans="1:7" x14ac:dyDescent="0.25">
      <c r="A18" s="10" t="s">
        <v>35</v>
      </c>
      <c r="B18" s="10" t="s">
        <v>36</v>
      </c>
      <c r="C18" s="10" t="s">
        <v>311</v>
      </c>
      <c r="D18" s="10" t="s">
        <v>314</v>
      </c>
      <c r="E18" s="10"/>
    </row>
    <row r="19" spans="1:7" x14ac:dyDescent="0.25">
      <c r="A19" s="10" t="s">
        <v>37</v>
      </c>
      <c r="B19" s="10" t="s">
        <v>36</v>
      </c>
      <c r="C19" s="10" t="s">
        <v>310</v>
      </c>
      <c r="D19" s="10"/>
      <c r="E19" s="10"/>
    </row>
    <row r="20" spans="1:7" x14ac:dyDescent="0.25">
      <c r="A20" s="10" t="s">
        <v>38</v>
      </c>
      <c r="B20" s="10" t="s">
        <v>39</v>
      </c>
      <c r="C20" s="10" t="s">
        <v>310</v>
      </c>
      <c r="D20" s="10"/>
      <c r="E20" s="10"/>
    </row>
    <row r="21" spans="1:7" x14ac:dyDescent="0.25">
      <c r="A21" s="10" t="s">
        <v>40</v>
      </c>
      <c r="B21" s="10" t="s">
        <v>41</v>
      </c>
      <c r="C21" s="10" t="s">
        <v>310</v>
      </c>
      <c r="D21" s="10"/>
      <c r="E21" s="10"/>
      <c r="F21" t="s">
        <v>318</v>
      </c>
      <c r="G21">
        <v>270</v>
      </c>
    </row>
    <row r="22" spans="1:7" x14ac:dyDescent="0.25">
      <c r="A22" s="10" t="s">
        <v>42</v>
      </c>
      <c r="B22" s="10" t="s">
        <v>43</v>
      </c>
      <c r="C22" s="10" t="s">
        <v>311</v>
      </c>
      <c r="D22" s="10" t="s">
        <v>314</v>
      </c>
      <c r="E22" s="10"/>
    </row>
    <row r="23" spans="1:7" x14ac:dyDescent="0.25">
      <c r="A23" s="10" t="s">
        <v>44</v>
      </c>
      <c r="B23" s="10" t="s">
        <v>45</v>
      </c>
      <c r="C23" s="10" t="s">
        <v>310</v>
      </c>
      <c r="D23" s="10"/>
      <c r="E23" s="10"/>
    </row>
    <row r="24" spans="1:7" x14ac:dyDescent="0.25">
      <c r="A24" s="10" t="s">
        <v>46</v>
      </c>
      <c r="B24" s="10" t="s">
        <v>47</v>
      </c>
      <c r="C24" s="10" t="s">
        <v>310</v>
      </c>
      <c r="D24" s="10"/>
      <c r="E24" s="10"/>
    </row>
    <row r="25" spans="1:7" x14ac:dyDescent="0.25">
      <c r="A25" s="10" t="s">
        <v>48</v>
      </c>
      <c r="B25" s="10" t="s">
        <v>49</v>
      </c>
      <c r="C25" s="10" t="s">
        <v>310</v>
      </c>
      <c r="D25" s="10"/>
      <c r="E25" s="10"/>
    </row>
    <row r="26" spans="1:7" x14ac:dyDescent="0.25">
      <c r="A26" s="10" t="s">
        <v>50</v>
      </c>
      <c r="B26" s="10" t="s">
        <v>51</v>
      </c>
      <c r="C26" s="10" t="s">
        <v>310</v>
      </c>
      <c r="D26" s="10"/>
      <c r="E26" s="10"/>
    </row>
    <row r="27" spans="1:7" x14ac:dyDescent="0.25">
      <c r="A27" s="10" t="s">
        <v>52</v>
      </c>
      <c r="B27" s="10" t="s">
        <v>53</v>
      </c>
      <c r="C27" s="10" t="s">
        <v>310</v>
      </c>
      <c r="D27" s="10"/>
      <c r="E27" s="10"/>
    </row>
    <row r="28" spans="1:7" x14ac:dyDescent="0.25">
      <c r="A28" s="10" t="s">
        <v>62</v>
      </c>
      <c r="B28" s="10" t="s">
        <v>12</v>
      </c>
      <c r="C28" s="10" t="s">
        <v>310</v>
      </c>
      <c r="D28" s="10"/>
      <c r="E28" s="10"/>
    </row>
    <row r="29" spans="1:7" x14ac:dyDescent="0.25">
      <c r="A29" s="10" t="s">
        <v>63</v>
      </c>
      <c r="B29" s="10" t="s">
        <v>64</v>
      </c>
      <c r="C29" s="10" t="s">
        <v>310</v>
      </c>
      <c r="D29" s="10"/>
      <c r="E29" s="10"/>
    </row>
    <row r="30" spans="1:7" x14ac:dyDescent="0.25">
      <c r="A30" s="10" t="s">
        <v>65</v>
      </c>
      <c r="B30" s="10" t="s">
        <v>66</v>
      </c>
      <c r="C30" s="10" t="s">
        <v>310</v>
      </c>
      <c r="D30" s="10"/>
      <c r="E30" s="10"/>
    </row>
    <row r="31" spans="1:7" x14ac:dyDescent="0.25">
      <c r="A31" s="10" t="s">
        <v>67</v>
      </c>
      <c r="B31" s="10" t="s">
        <v>68</v>
      </c>
      <c r="C31" s="10" t="s">
        <v>310</v>
      </c>
      <c r="D31" s="10"/>
      <c r="E31" s="10"/>
    </row>
    <row r="32" spans="1:7" x14ac:dyDescent="0.25">
      <c r="A32" s="10" t="s">
        <v>257</v>
      </c>
      <c r="B32" s="10" t="s">
        <v>70</v>
      </c>
      <c r="C32" s="10" t="s">
        <v>310</v>
      </c>
      <c r="D32" s="10"/>
      <c r="E3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workbookViewId="0"/>
  </sheetViews>
  <sheetFormatPr defaultRowHeight="15" x14ac:dyDescent="0.25"/>
  <cols>
    <col min="1" max="1" width="53.28515625" customWidth="1"/>
    <col min="2" max="2" width="58.28515625" customWidth="1"/>
    <col min="3" max="3" width="9.42578125" customWidth="1"/>
    <col min="4" max="4" width="3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307</v>
      </c>
      <c r="D1" s="2" t="s">
        <v>308</v>
      </c>
      <c r="E1" s="3" t="s">
        <v>309</v>
      </c>
      <c r="G1" s="4" t="s">
        <v>310</v>
      </c>
      <c r="H1" s="5">
        <f>COUNTIF(C:C,G1)</f>
        <v>29</v>
      </c>
    </row>
    <row r="2" spans="1:8" x14ac:dyDescent="0.25">
      <c r="A2" s="10" t="s">
        <v>2</v>
      </c>
      <c r="B2" s="10" t="s">
        <v>3</v>
      </c>
      <c r="C2" s="10" t="s">
        <v>310</v>
      </c>
      <c r="D2" s="10"/>
      <c r="E2" s="10"/>
      <c r="G2" s="6" t="s">
        <v>311</v>
      </c>
      <c r="H2" s="7">
        <f>COUNTIF(C:C,G2)</f>
        <v>13</v>
      </c>
    </row>
    <row r="3" spans="1:8" ht="15.75" thickBot="1" x14ac:dyDescent="0.3">
      <c r="A3" s="10" t="s">
        <v>4</v>
      </c>
      <c r="B3" s="10" t="s">
        <v>5</v>
      </c>
      <c r="C3" s="10" t="s">
        <v>311</v>
      </c>
      <c r="D3" s="10" t="s">
        <v>313</v>
      </c>
      <c r="E3" s="11">
        <v>281</v>
      </c>
      <c r="G3" s="8" t="s">
        <v>312</v>
      </c>
      <c r="H3" s="9">
        <f>H1/SUM(H1:H2)</f>
        <v>0.69047619047619047</v>
      </c>
    </row>
    <row r="4" spans="1:8" x14ac:dyDescent="0.25">
      <c r="A4" s="10" t="s">
        <v>6</v>
      </c>
      <c r="B4" s="10" t="s">
        <v>3</v>
      </c>
      <c r="C4" s="10" t="s">
        <v>311</v>
      </c>
      <c r="D4" s="10" t="s">
        <v>317</v>
      </c>
      <c r="E4" s="11">
        <v>266</v>
      </c>
    </row>
    <row r="5" spans="1:8" x14ac:dyDescent="0.25">
      <c r="A5" s="10" t="s">
        <v>7</v>
      </c>
      <c r="B5" s="10" t="s">
        <v>8</v>
      </c>
      <c r="C5" s="10" t="s">
        <v>310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310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310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310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310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310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310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310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310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311</v>
      </c>
      <c r="D14" s="10" t="s">
        <v>28</v>
      </c>
      <c r="E14" s="11">
        <v>279</v>
      </c>
    </row>
    <row r="15" spans="1:8" x14ac:dyDescent="0.25">
      <c r="A15" s="10" t="s">
        <v>27</v>
      </c>
      <c r="B15" s="10" t="s">
        <v>28</v>
      </c>
      <c r="C15" s="10" t="s">
        <v>310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310</v>
      </c>
      <c r="D16" s="10"/>
      <c r="E16" s="10"/>
    </row>
    <row r="17" spans="1:6" x14ac:dyDescent="0.25">
      <c r="A17" s="10" t="s">
        <v>31</v>
      </c>
      <c r="B17" s="10" t="s">
        <v>32</v>
      </c>
      <c r="C17" s="10" t="s">
        <v>310</v>
      </c>
      <c r="D17" s="10"/>
      <c r="E17" s="11"/>
      <c r="F17" s="13"/>
    </row>
    <row r="18" spans="1:6" x14ac:dyDescent="0.25">
      <c r="A18" s="10" t="s">
        <v>33</v>
      </c>
      <c r="B18" s="10" t="s">
        <v>26</v>
      </c>
      <c r="C18" s="10" t="s">
        <v>311</v>
      </c>
      <c r="D18" s="10" t="s">
        <v>331</v>
      </c>
      <c r="E18" s="11">
        <v>25236</v>
      </c>
    </row>
    <row r="19" spans="1:6" x14ac:dyDescent="0.25">
      <c r="A19" s="10" t="s">
        <v>34</v>
      </c>
      <c r="B19" s="10" t="s">
        <v>12</v>
      </c>
      <c r="C19" s="10" t="s">
        <v>311</v>
      </c>
      <c r="D19" s="10" t="s">
        <v>315</v>
      </c>
      <c r="E19" s="11">
        <v>296</v>
      </c>
    </row>
    <row r="20" spans="1:6" x14ac:dyDescent="0.25">
      <c r="A20" s="10" t="s">
        <v>35</v>
      </c>
      <c r="B20" s="10" t="s">
        <v>36</v>
      </c>
      <c r="C20" s="10" t="s">
        <v>311</v>
      </c>
      <c r="D20" s="10" t="s">
        <v>314</v>
      </c>
      <c r="E20" s="10"/>
    </row>
    <row r="21" spans="1:6" x14ac:dyDescent="0.25">
      <c r="A21" s="10" t="s">
        <v>37</v>
      </c>
      <c r="B21" s="10" t="s">
        <v>36</v>
      </c>
      <c r="C21" s="10" t="s">
        <v>310</v>
      </c>
      <c r="D21" s="10"/>
      <c r="E21" s="10"/>
    </row>
    <row r="22" spans="1:6" x14ac:dyDescent="0.25">
      <c r="A22" s="10" t="s">
        <v>38</v>
      </c>
      <c r="B22" s="10" t="s">
        <v>39</v>
      </c>
      <c r="C22" s="10" t="s">
        <v>310</v>
      </c>
      <c r="D22" s="10"/>
      <c r="E22" s="10"/>
    </row>
    <row r="23" spans="1:6" x14ac:dyDescent="0.25">
      <c r="A23" s="2" t="s">
        <v>40</v>
      </c>
      <c r="B23" s="2" t="s">
        <v>41</v>
      </c>
      <c r="C23" s="2" t="s">
        <v>310</v>
      </c>
      <c r="D23" s="10"/>
      <c r="E23" s="10"/>
    </row>
    <row r="24" spans="1:6" x14ac:dyDescent="0.25">
      <c r="A24" s="10" t="s">
        <v>42</v>
      </c>
      <c r="B24" s="10" t="s">
        <v>43</v>
      </c>
      <c r="C24" s="10" t="s">
        <v>311</v>
      </c>
      <c r="D24" s="10" t="s">
        <v>314</v>
      </c>
      <c r="E24" s="10"/>
    </row>
    <row r="25" spans="1:6" x14ac:dyDescent="0.25">
      <c r="A25" s="10" t="s">
        <v>44</v>
      </c>
      <c r="B25" s="10" t="s">
        <v>45</v>
      </c>
      <c r="C25" s="10" t="s">
        <v>310</v>
      </c>
      <c r="D25" s="10"/>
      <c r="E25" s="10"/>
    </row>
    <row r="26" spans="1:6" x14ac:dyDescent="0.25">
      <c r="A26" s="10" t="s">
        <v>46</v>
      </c>
      <c r="B26" s="10" t="s">
        <v>47</v>
      </c>
      <c r="C26" s="10" t="s">
        <v>310</v>
      </c>
      <c r="D26" s="10"/>
      <c r="E26" s="10"/>
    </row>
    <row r="27" spans="1:6" x14ac:dyDescent="0.25">
      <c r="A27" s="10" t="s">
        <v>48</v>
      </c>
      <c r="B27" s="10" t="s">
        <v>49</v>
      </c>
      <c r="C27" s="10" t="s">
        <v>310</v>
      </c>
      <c r="D27" s="10"/>
      <c r="E27" s="10"/>
    </row>
    <row r="28" spans="1:6" x14ac:dyDescent="0.25">
      <c r="A28" s="10" t="s">
        <v>50</v>
      </c>
      <c r="B28" s="10" t="s">
        <v>51</v>
      </c>
      <c r="C28" s="10" t="s">
        <v>310</v>
      </c>
      <c r="D28" s="10"/>
      <c r="E28" s="10"/>
    </row>
    <row r="29" spans="1:6" x14ac:dyDescent="0.25">
      <c r="A29" s="10" t="s">
        <v>52</v>
      </c>
      <c r="B29" s="10" t="s">
        <v>53</v>
      </c>
      <c r="C29" s="10" t="s">
        <v>310</v>
      </c>
      <c r="D29" s="10"/>
      <c r="E29" s="10"/>
    </row>
    <row r="30" spans="1:6" x14ac:dyDescent="0.25">
      <c r="A30" s="10" t="s">
        <v>54</v>
      </c>
      <c r="B30" s="10" t="s">
        <v>55</v>
      </c>
      <c r="C30" s="10" t="s">
        <v>311</v>
      </c>
      <c r="D30" s="10" t="s">
        <v>314</v>
      </c>
      <c r="E30" s="10"/>
    </row>
    <row r="31" spans="1:6" x14ac:dyDescent="0.25">
      <c r="A31" s="10" t="s">
        <v>56</v>
      </c>
      <c r="B31" s="10" t="s">
        <v>56</v>
      </c>
      <c r="C31" s="10" t="s">
        <v>310</v>
      </c>
      <c r="D31" s="10" t="s">
        <v>56</v>
      </c>
      <c r="E31" s="11">
        <v>22299</v>
      </c>
    </row>
    <row r="32" spans="1:6" x14ac:dyDescent="0.25">
      <c r="A32" s="10" t="s">
        <v>57</v>
      </c>
      <c r="B32" s="10" t="s">
        <v>12</v>
      </c>
      <c r="C32" s="10" t="s">
        <v>311</v>
      </c>
      <c r="D32" s="10" t="s">
        <v>316</v>
      </c>
      <c r="E32" s="11">
        <v>22298</v>
      </c>
    </row>
    <row r="33" spans="1:5" x14ac:dyDescent="0.25">
      <c r="A33" s="10" t="s">
        <v>58</v>
      </c>
      <c r="B33" s="10" t="s">
        <v>59</v>
      </c>
      <c r="C33" s="10" t="s">
        <v>311</v>
      </c>
      <c r="D33" s="10"/>
      <c r="E33" s="10"/>
    </row>
    <row r="34" spans="1:5" x14ac:dyDescent="0.25">
      <c r="A34" s="10" t="s">
        <v>56</v>
      </c>
      <c r="B34" s="10" t="s">
        <v>56</v>
      </c>
      <c r="C34" s="10" t="s">
        <v>310</v>
      </c>
      <c r="D34" s="10" t="s">
        <v>56</v>
      </c>
      <c r="E34" s="11">
        <v>22291</v>
      </c>
    </row>
    <row r="35" spans="1:5" x14ac:dyDescent="0.25">
      <c r="A35" s="10" t="s">
        <v>57</v>
      </c>
      <c r="B35" s="10" t="s">
        <v>12</v>
      </c>
      <c r="C35" s="10" t="s">
        <v>311</v>
      </c>
      <c r="D35" s="10" t="s">
        <v>316</v>
      </c>
      <c r="E35" s="11">
        <v>22290</v>
      </c>
    </row>
    <row r="36" spans="1:5" x14ac:dyDescent="0.25">
      <c r="A36" s="10" t="s">
        <v>60</v>
      </c>
      <c r="B36" s="10" t="s">
        <v>61</v>
      </c>
      <c r="C36" s="10" t="s">
        <v>311</v>
      </c>
      <c r="D36" s="10"/>
      <c r="E36" s="10"/>
    </row>
    <row r="37" spans="1:5" x14ac:dyDescent="0.25">
      <c r="A37" s="10" t="s">
        <v>56</v>
      </c>
      <c r="B37" s="10" t="s">
        <v>56</v>
      </c>
      <c r="C37" s="10" t="s">
        <v>310</v>
      </c>
      <c r="D37" s="10" t="s">
        <v>56</v>
      </c>
      <c r="E37" s="11">
        <v>22303</v>
      </c>
    </row>
    <row r="38" spans="1:5" x14ac:dyDescent="0.25">
      <c r="A38" s="10" t="s">
        <v>57</v>
      </c>
      <c r="B38" s="10" t="s">
        <v>12</v>
      </c>
      <c r="C38" s="10" t="s">
        <v>311</v>
      </c>
      <c r="D38" s="10" t="s">
        <v>316</v>
      </c>
      <c r="E38" s="11">
        <v>22302</v>
      </c>
    </row>
    <row r="39" spans="1:5" x14ac:dyDescent="0.25">
      <c r="A39" s="10" t="s">
        <v>62</v>
      </c>
      <c r="B39" s="10" t="s">
        <v>12</v>
      </c>
      <c r="C39" s="10" t="s">
        <v>310</v>
      </c>
      <c r="D39" s="10"/>
      <c r="E39" s="10"/>
    </row>
    <row r="40" spans="1:5" x14ac:dyDescent="0.25">
      <c r="A40" s="10" t="s">
        <v>63</v>
      </c>
      <c r="B40" s="10" t="s">
        <v>64</v>
      </c>
      <c r="C40" s="10" t="s">
        <v>310</v>
      </c>
      <c r="D40" s="10"/>
      <c r="E40" s="10"/>
    </row>
    <row r="41" spans="1:5" x14ac:dyDescent="0.25">
      <c r="A41" s="10" t="s">
        <v>65</v>
      </c>
      <c r="B41" s="10" t="s">
        <v>66</v>
      </c>
      <c r="C41" s="10" t="s">
        <v>310</v>
      </c>
      <c r="D41" s="10"/>
      <c r="E41" s="10"/>
    </row>
    <row r="42" spans="1:5" x14ac:dyDescent="0.25">
      <c r="A42" s="10" t="s">
        <v>67</v>
      </c>
      <c r="B42" s="10" t="s">
        <v>68</v>
      </c>
      <c r="C42" s="10" t="s">
        <v>310</v>
      </c>
      <c r="D42" s="10"/>
      <c r="E42" s="10"/>
    </row>
    <row r="43" spans="1:5" x14ac:dyDescent="0.25">
      <c r="A43" s="10" t="s">
        <v>69</v>
      </c>
      <c r="B43" s="10" t="s">
        <v>70</v>
      </c>
      <c r="C43" s="10" t="s">
        <v>310</v>
      </c>
      <c r="D43" s="10"/>
      <c r="E4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/>
  </sheetViews>
  <sheetFormatPr defaultRowHeight="15" x14ac:dyDescent="0.25"/>
  <cols>
    <col min="1" max="1" width="34.42578125" customWidth="1"/>
    <col min="2" max="2" width="46.7109375" bestFit="1" customWidth="1"/>
    <col min="3" max="3" width="7.71093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307</v>
      </c>
      <c r="D1" s="2" t="s">
        <v>308</v>
      </c>
      <c r="E1" s="3" t="s">
        <v>309</v>
      </c>
      <c r="G1" s="4" t="s">
        <v>310</v>
      </c>
      <c r="H1" s="5">
        <f>COUNTIF(C:C,G1)</f>
        <v>46</v>
      </c>
    </row>
    <row r="2" spans="1:8" x14ac:dyDescent="0.25">
      <c r="A2" s="10" t="s">
        <v>94</v>
      </c>
      <c r="B2" s="10" t="s">
        <v>12</v>
      </c>
      <c r="C2" s="10" t="s">
        <v>310</v>
      </c>
      <c r="D2" s="10"/>
      <c r="E2" s="10"/>
      <c r="G2" s="6" t="s">
        <v>311</v>
      </c>
      <c r="H2" s="7">
        <f>COUNTIF(C:C,G2)</f>
        <v>6</v>
      </c>
    </row>
    <row r="3" spans="1:8" ht="15.75" thickBot="1" x14ac:dyDescent="0.3">
      <c r="A3" s="10" t="s">
        <v>95</v>
      </c>
      <c r="B3" s="10" t="s">
        <v>96</v>
      </c>
      <c r="C3" s="10" t="s">
        <v>310</v>
      </c>
      <c r="D3" s="10"/>
      <c r="E3" s="10"/>
      <c r="G3" s="8" t="s">
        <v>312</v>
      </c>
      <c r="H3" s="9">
        <f>H1/SUM(H1:H2)</f>
        <v>0.88461538461538458</v>
      </c>
    </row>
    <row r="4" spans="1:8" x14ac:dyDescent="0.25">
      <c r="A4" s="10" t="s">
        <v>97</v>
      </c>
      <c r="B4" s="10" t="s">
        <v>98</v>
      </c>
      <c r="C4" s="10" t="s">
        <v>310</v>
      </c>
      <c r="D4" s="10"/>
      <c r="E4" s="10"/>
    </row>
    <row r="5" spans="1:8" x14ac:dyDescent="0.25">
      <c r="A5" s="10" t="s">
        <v>99</v>
      </c>
      <c r="B5" s="10" t="s">
        <v>99</v>
      </c>
      <c r="C5" s="10" t="s">
        <v>310</v>
      </c>
      <c r="D5" s="10"/>
      <c r="E5" s="10"/>
    </row>
    <row r="6" spans="1:8" x14ac:dyDescent="0.25">
      <c r="A6" s="10" t="s">
        <v>266</v>
      </c>
      <c r="B6" s="10" t="s">
        <v>101</v>
      </c>
      <c r="C6" s="10" t="s">
        <v>310</v>
      </c>
      <c r="D6" s="10"/>
      <c r="E6" s="10"/>
    </row>
    <row r="7" spans="1:8" x14ac:dyDescent="0.25">
      <c r="A7" s="10" t="s">
        <v>102</v>
      </c>
      <c r="B7" s="10" t="s">
        <v>102</v>
      </c>
      <c r="C7" s="10" t="s">
        <v>310</v>
      </c>
      <c r="D7" s="10"/>
      <c r="E7" s="10"/>
    </row>
    <row r="8" spans="1:8" x14ac:dyDescent="0.25">
      <c r="A8" s="10" t="s">
        <v>105</v>
      </c>
      <c r="B8" s="10" t="s">
        <v>12</v>
      </c>
      <c r="C8" s="10" t="s">
        <v>310</v>
      </c>
      <c r="D8" s="10"/>
      <c r="E8" s="10"/>
    </row>
    <row r="9" spans="1:8" x14ac:dyDescent="0.25">
      <c r="A9" s="10" t="s">
        <v>106</v>
      </c>
      <c r="B9" s="10" t="s">
        <v>107</v>
      </c>
      <c r="C9" s="10" t="s">
        <v>310</v>
      </c>
      <c r="D9" s="10"/>
      <c r="E9" s="10"/>
    </row>
    <row r="10" spans="1:8" x14ac:dyDescent="0.25">
      <c r="A10" s="10" t="s">
        <v>110</v>
      </c>
      <c r="B10" s="10" t="s">
        <v>111</v>
      </c>
      <c r="C10" s="10" t="s">
        <v>311</v>
      </c>
      <c r="D10" s="10" t="s">
        <v>320</v>
      </c>
      <c r="E10" s="11">
        <v>20217</v>
      </c>
    </row>
    <row r="11" spans="1:8" x14ac:dyDescent="0.25">
      <c r="A11" s="10" t="s">
        <v>112</v>
      </c>
      <c r="B11" s="10" t="s">
        <v>113</v>
      </c>
      <c r="C11" s="10" t="s">
        <v>310</v>
      </c>
      <c r="D11" s="10"/>
      <c r="E11" s="10"/>
    </row>
    <row r="12" spans="1:8" x14ac:dyDescent="0.25">
      <c r="A12" s="10" t="s">
        <v>116</v>
      </c>
      <c r="B12" s="10" t="s">
        <v>116</v>
      </c>
      <c r="C12" s="10" t="s">
        <v>310</v>
      </c>
      <c r="D12" s="10"/>
      <c r="E12" s="10"/>
    </row>
    <row r="13" spans="1:8" x14ac:dyDescent="0.25">
      <c r="A13" s="10" t="s">
        <v>117</v>
      </c>
      <c r="B13" s="10" t="s">
        <v>118</v>
      </c>
      <c r="C13" s="10" t="s">
        <v>310</v>
      </c>
      <c r="D13" s="10"/>
      <c r="E13" s="10"/>
    </row>
    <row r="14" spans="1:8" x14ac:dyDescent="0.25">
      <c r="A14" s="10" t="s">
        <v>119</v>
      </c>
      <c r="B14" s="10" t="s">
        <v>120</v>
      </c>
      <c r="C14" s="10" t="s">
        <v>310</v>
      </c>
      <c r="D14" s="10"/>
      <c r="E14" s="10"/>
    </row>
    <row r="15" spans="1:8" x14ac:dyDescent="0.25">
      <c r="A15" s="10" t="s">
        <v>121</v>
      </c>
      <c r="B15" s="10" t="s">
        <v>12</v>
      </c>
      <c r="C15" s="10" t="s">
        <v>310</v>
      </c>
      <c r="D15" s="10"/>
      <c r="E15" s="10"/>
    </row>
    <row r="16" spans="1:8" x14ac:dyDescent="0.25">
      <c r="A16" s="10" t="s">
        <v>122</v>
      </c>
      <c r="B16" s="10" t="s">
        <v>122</v>
      </c>
      <c r="C16" s="10" t="s">
        <v>310</v>
      </c>
      <c r="D16" s="10"/>
      <c r="E16" s="10"/>
    </row>
    <row r="17" spans="1:5" x14ac:dyDescent="0.25">
      <c r="A17" s="10" t="s">
        <v>105</v>
      </c>
      <c r="B17" s="10" t="s">
        <v>12</v>
      </c>
      <c r="C17" s="10" t="s">
        <v>310</v>
      </c>
      <c r="D17" s="10"/>
      <c r="E17" s="10"/>
    </row>
    <row r="18" spans="1:5" x14ac:dyDescent="0.25">
      <c r="A18" s="10" t="s">
        <v>106</v>
      </c>
      <c r="B18" s="10" t="s">
        <v>107</v>
      </c>
      <c r="C18" s="10" t="s">
        <v>311</v>
      </c>
      <c r="D18" s="10" t="s">
        <v>321</v>
      </c>
      <c r="E18" s="11">
        <v>13724</v>
      </c>
    </row>
    <row r="19" spans="1:5" x14ac:dyDescent="0.25">
      <c r="A19" s="10" t="s">
        <v>108</v>
      </c>
      <c r="B19" s="10" t="s">
        <v>109</v>
      </c>
      <c r="C19" s="10" t="s">
        <v>310</v>
      </c>
      <c r="D19" s="10"/>
      <c r="E19" s="10"/>
    </row>
    <row r="20" spans="1:5" x14ac:dyDescent="0.25">
      <c r="A20" s="10" t="s">
        <v>123</v>
      </c>
      <c r="B20" s="10" t="s">
        <v>124</v>
      </c>
      <c r="C20" s="10" t="s">
        <v>310</v>
      </c>
      <c r="D20" s="10"/>
      <c r="E20" s="10"/>
    </row>
    <row r="21" spans="1:5" x14ac:dyDescent="0.25">
      <c r="A21" s="10" t="s">
        <v>125</v>
      </c>
      <c r="B21" s="10" t="s">
        <v>126</v>
      </c>
      <c r="C21" s="10" t="s">
        <v>310</v>
      </c>
      <c r="D21" s="10"/>
      <c r="E21" s="10"/>
    </row>
    <row r="22" spans="1:5" x14ac:dyDescent="0.25">
      <c r="A22" s="10" t="s">
        <v>110</v>
      </c>
      <c r="B22" s="10" t="s">
        <v>111</v>
      </c>
      <c r="C22" s="10" t="s">
        <v>310</v>
      </c>
      <c r="D22" s="10"/>
      <c r="E22" s="10"/>
    </row>
    <row r="23" spans="1:5" x14ac:dyDescent="0.25">
      <c r="A23" s="10" t="s">
        <v>112</v>
      </c>
      <c r="B23" s="10" t="s">
        <v>113</v>
      </c>
      <c r="C23" s="10" t="s">
        <v>311</v>
      </c>
      <c r="D23" s="10" t="s">
        <v>322</v>
      </c>
      <c r="E23" s="11">
        <v>20231</v>
      </c>
    </row>
    <row r="24" spans="1:5" x14ac:dyDescent="0.25">
      <c r="A24" s="10" t="s">
        <v>127</v>
      </c>
      <c r="B24" s="10" t="s">
        <v>128</v>
      </c>
      <c r="C24" s="10" t="s">
        <v>310</v>
      </c>
      <c r="D24" s="10"/>
      <c r="E24" s="10"/>
    </row>
    <row r="25" spans="1:5" x14ac:dyDescent="0.25">
      <c r="A25" s="10" t="s">
        <v>129</v>
      </c>
      <c r="B25" s="10" t="s">
        <v>130</v>
      </c>
      <c r="C25" s="10" t="s">
        <v>310</v>
      </c>
      <c r="D25" s="10"/>
      <c r="E25" s="10"/>
    </row>
    <row r="26" spans="1:5" x14ac:dyDescent="0.25">
      <c r="A26" s="10" t="s">
        <v>131</v>
      </c>
      <c r="B26" s="10" t="s">
        <v>132</v>
      </c>
      <c r="C26" s="10" t="s">
        <v>310</v>
      </c>
      <c r="D26" s="10"/>
      <c r="E26" s="10"/>
    </row>
    <row r="27" spans="1:5" x14ac:dyDescent="0.25">
      <c r="A27" s="10" t="s">
        <v>133</v>
      </c>
      <c r="B27" s="10" t="s">
        <v>12</v>
      </c>
      <c r="C27" s="10" t="s">
        <v>310</v>
      </c>
      <c r="D27" s="10"/>
      <c r="E27" s="10"/>
    </row>
    <row r="28" spans="1:5" x14ac:dyDescent="0.25">
      <c r="A28" s="10" t="s">
        <v>134</v>
      </c>
      <c r="B28" s="10" t="s">
        <v>12</v>
      </c>
      <c r="C28" s="10" t="s">
        <v>310</v>
      </c>
      <c r="D28" s="10"/>
      <c r="E28" s="10"/>
    </row>
    <row r="29" spans="1:5" x14ac:dyDescent="0.25">
      <c r="A29" s="10" t="s">
        <v>135</v>
      </c>
      <c r="B29" s="10" t="s">
        <v>136</v>
      </c>
      <c r="C29" s="10" t="s">
        <v>310</v>
      </c>
      <c r="D29" s="10"/>
      <c r="E29" s="10"/>
    </row>
    <row r="30" spans="1:5" x14ac:dyDescent="0.25">
      <c r="A30" s="10" t="s">
        <v>69</v>
      </c>
      <c r="B30" s="10" t="s">
        <v>137</v>
      </c>
      <c r="C30" s="10" t="s">
        <v>310</v>
      </c>
      <c r="D30" s="10"/>
      <c r="E30" s="10"/>
    </row>
    <row r="31" spans="1:5" x14ac:dyDescent="0.25">
      <c r="A31" s="10" t="s">
        <v>142</v>
      </c>
      <c r="B31" s="10" t="s">
        <v>12</v>
      </c>
      <c r="C31" s="10" t="s">
        <v>310</v>
      </c>
      <c r="D31" s="10"/>
      <c r="E31" s="10"/>
    </row>
    <row r="32" spans="1:5" x14ac:dyDescent="0.25">
      <c r="A32" s="10" t="s">
        <v>143</v>
      </c>
      <c r="B32" s="10" t="s">
        <v>12</v>
      </c>
      <c r="C32" s="10" t="s">
        <v>310</v>
      </c>
      <c r="D32" s="10"/>
      <c r="E32" s="10"/>
    </row>
    <row r="33" spans="1:5" x14ac:dyDescent="0.25">
      <c r="A33" s="10" t="s">
        <v>144</v>
      </c>
      <c r="B33" s="10" t="s">
        <v>12</v>
      </c>
      <c r="C33" s="10" t="s">
        <v>310</v>
      </c>
      <c r="D33" s="10"/>
      <c r="E33" s="10"/>
    </row>
    <row r="34" spans="1:5" x14ac:dyDescent="0.25">
      <c r="A34" s="10" t="s">
        <v>145</v>
      </c>
      <c r="B34" s="10" t="s">
        <v>145</v>
      </c>
      <c r="C34" s="10" t="s">
        <v>310</v>
      </c>
      <c r="D34" s="10" t="s">
        <v>145</v>
      </c>
      <c r="E34" s="11">
        <v>20223</v>
      </c>
    </row>
    <row r="35" spans="1:5" x14ac:dyDescent="0.25">
      <c r="A35" s="10" t="s">
        <v>147</v>
      </c>
      <c r="B35" s="10" t="s">
        <v>147</v>
      </c>
      <c r="C35" s="10" t="s">
        <v>310</v>
      </c>
      <c r="D35" s="10" t="s">
        <v>147</v>
      </c>
      <c r="E35" s="11">
        <v>30340</v>
      </c>
    </row>
    <row r="36" spans="1:5" x14ac:dyDescent="0.25">
      <c r="A36" s="10" t="s">
        <v>148</v>
      </c>
      <c r="B36" s="10" t="s">
        <v>149</v>
      </c>
      <c r="C36" s="10" t="s">
        <v>310</v>
      </c>
      <c r="D36" s="10"/>
      <c r="E36" s="10"/>
    </row>
    <row r="37" spans="1:5" x14ac:dyDescent="0.25">
      <c r="A37" s="10" t="s">
        <v>150</v>
      </c>
      <c r="B37" s="10" t="s">
        <v>151</v>
      </c>
      <c r="C37" s="10" t="s">
        <v>310</v>
      </c>
      <c r="D37" s="10"/>
      <c r="E37" s="10"/>
    </row>
    <row r="38" spans="1:5" x14ac:dyDescent="0.25">
      <c r="A38" s="10" t="s">
        <v>152</v>
      </c>
      <c r="B38" s="10" t="s">
        <v>153</v>
      </c>
      <c r="C38" s="10" t="s">
        <v>310</v>
      </c>
      <c r="D38" s="10"/>
      <c r="E38" s="10"/>
    </row>
    <row r="39" spans="1:5" x14ac:dyDescent="0.25">
      <c r="A39" s="10" t="s">
        <v>154</v>
      </c>
      <c r="B39" s="10" t="s">
        <v>155</v>
      </c>
      <c r="C39" s="10" t="s">
        <v>310</v>
      </c>
      <c r="D39" s="10"/>
      <c r="E39" s="10"/>
    </row>
    <row r="40" spans="1:5" x14ac:dyDescent="0.25">
      <c r="A40" s="10" t="s">
        <v>267</v>
      </c>
      <c r="B40" s="10" t="s">
        <v>157</v>
      </c>
      <c r="C40" s="10" t="s">
        <v>310</v>
      </c>
      <c r="D40" s="10"/>
      <c r="E40" s="10"/>
    </row>
    <row r="41" spans="1:5" x14ac:dyDescent="0.25">
      <c r="A41" s="10" t="s">
        <v>158</v>
      </c>
      <c r="B41" s="10" t="s">
        <v>12</v>
      </c>
      <c r="C41" s="10" t="s">
        <v>310</v>
      </c>
      <c r="D41" s="10"/>
      <c r="E41" s="10"/>
    </row>
    <row r="42" spans="1:5" x14ac:dyDescent="0.25">
      <c r="A42" s="10" t="s">
        <v>144</v>
      </c>
      <c r="B42" s="10" t="s">
        <v>12</v>
      </c>
      <c r="C42" s="10" t="s">
        <v>310</v>
      </c>
      <c r="D42" s="10"/>
      <c r="E42" s="10"/>
    </row>
    <row r="43" spans="1:5" x14ac:dyDescent="0.25">
      <c r="A43" s="10" t="s">
        <v>145</v>
      </c>
      <c r="B43" s="10" t="s">
        <v>145</v>
      </c>
      <c r="C43" s="10" t="s">
        <v>310</v>
      </c>
      <c r="D43" s="10" t="s">
        <v>145</v>
      </c>
      <c r="E43" s="11">
        <v>20209</v>
      </c>
    </row>
    <row r="44" spans="1:5" x14ac:dyDescent="0.25">
      <c r="A44" s="10" t="s">
        <v>147</v>
      </c>
      <c r="B44" s="10" t="s">
        <v>147</v>
      </c>
      <c r="C44" s="10" t="s">
        <v>310</v>
      </c>
      <c r="D44" s="10" t="s">
        <v>147</v>
      </c>
      <c r="E44" s="11">
        <v>25716</v>
      </c>
    </row>
    <row r="45" spans="1:5" x14ac:dyDescent="0.25">
      <c r="A45" s="10" t="s">
        <v>159</v>
      </c>
      <c r="B45" s="10" t="s">
        <v>160</v>
      </c>
      <c r="C45" s="10" t="s">
        <v>311</v>
      </c>
      <c r="D45" s="10" t="s">
        <v>314</v>
      </c>
      <c r="E45" s="10"/>
    </row>
    <row r="46" spans="1:5" x14ac:dyDescent="0.25">
      <c r="A46" s="10" t="s">
        <v>268</v>
      </c>
      <c r="B46" s="10" t="s">
        <v>160</v>
      </c>
      <c r="C46" s="10" t="s">
        <v>310</v>
      </c>
      <c r="D46" s="10"/>
      <c r="E46" s="10"/>
    </row>
    <row r="47" spans="1:5" x14ac:dyDescent="0.25">
      <c r="A47" s="10" t="s">
        <v>269</v>
      </c>
      <c r="B47" s="10" t="s">
        <v>160</v>
      </c>
      <c r="C47" s="10" t="s">
        <v>310</v>
      </c>
      <c r="D47" s="10"/>
      <c r="E47" s="10"/>
    </row>
    <row r="48" spans="1:5" x14ac:dyDescent="0.25">
      <c r="A48" s="10" t="s">
        <v>148</v>
      </c>
      <c r="B48" s="10" t="s">
        <v>149</v>
      </c>
      <c r="C48" s="10" t="s">
        <v>311</v>
      </c>
      <c r="D48" s="10" t="s">
        <v>323</v>
      </c>
      <c r="E48" s="11">
        <v>20214</v>
      </c>
    </row>
    <row r="49" spans="1:5" x14ac:dyDescent="0.25">
      <c r="A49" s="10" t="s">
        <v>163</v>
      </c>
      <c r="B49" s="10" t="s">
        <v>164</v>
      </c>
      <c r="C49" s="10" t="s">
        <v>310</v>
      </c>
      <c r="D49" s="10"/>
      <c r="E49" s="10"/>
    </row>
    <row r="50" spans="1:5" x14ac:dyDescent="0.25">
      <c r="A50" s="10" t="s">
        <v>150</v>
      </c>
      <c r="B50" s="10" t="s">
        <v>151</v>
      </c>
      <c r="C50" s="10" t="s">
        <v>311</v>
      </c>
      <c r="D50" s="10" t="s">
        <v>324</v>
      </c>
      <c r="E50" s="11">
        <v>13767</v>
      </c>
    </row>
    <row r="51" spans="1:5" x14ac:dyDescent="0.25">
      <c r="A51" s="10" t="s">
        <v>165</v>
      </c>
      <c r="B51" s="10" t="s">
        <v>166</v>
      </c>
      <c r="C51" s="10" t="s">
        <v>310</v>
      </c>
      <c r="D51" s="10"/>
      <c r="E51" s="10"/>
    </row>
    <row r="52" spans="1:5" x14ac:dyDescent="0.25">
      <c r="A52" s="10" t="s">
        <v>167</v>
      </c>
      <c r="B52" s="10" t="s">
        <v>168</v>
      </c>
      <c r="C52" s="10" t="s">
        <v>310</v>
      </c>
      <c r="D52" s="10"/>
      <c r="E52" s="10"/>
    </row>
    <row r="53" spans="1:5" x14ac:dyDescent="0.25">
      <c r="A53" s="10" t="s">
        <v>169</v>
      </c>
      <c r="B53" s="10" t="s">
        <v>170</v>
      </c>
      <c r="C53" s="10" t="s">
        <v>310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workbookViewId="0"/>
  </sheetViews>
  <sheetFormatPr defaultRowHeight="15" x14ac:dyDescent="0.25"/>
  <cols>
    <col min="1" max="1" width="39.7109375" customWidth="1"/>
    <col min="2" max="2" width="46.7109375" bestFit="1" customWidth="1"/>
    <col min="3" max="3" width="8.7109375" customWidth="1"/>
    <col min="4" max="4" width="23.7109375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307</v>
      </c>
      <c r="D1" s="2" t="s">
        <v>308</v>
      </c>
      <c r="E1" s="3" t="s">
        <v>309</v>
      </c>
      <c r="G1" s="4" t="s">
        <v>310</v>
      </c>
      <c r="H1" s="5">
        <f>COUNTIF(C:C,G1)</f>
        <v>50</v>
      </c>
    </row>
    <row r="2" spans="1:8" x14ac:dyDescent="0.25">
      <c r="A2" s="10" t="s">
        <v>94</v>
      </c>
      <c r="B2" s="10" t="s">
        <v>12</v>
      </c>
      <c r="C2" s="10" t="s">
        <v>310</v>
      </c>
      <c r="D2" s="10"/>
      <c r="E2" s="10"/>
      <c r="G2" s="6" t="s">
        <v>311</v>
      </c>
      <c r="H2" s="7">
        <f>COUNTIF(C:C,G2)</f>
        <v>8</v>
      </c>
    </row>
    <row r="3" spans="1:8" ht="15.75" thickBot="1" x14ac:dyDescent="0.3">
      <c r="A3" s="10" t="s">
        <v>95</v>
      </c>
      <c r="B3" s="10" t="s">
        <v>96</v>
      </c>
      <c r="C3" s="10" t="s">
        <v>310</v>
      </c>
      <c r="D3" s="10"/>
      <c r="E3" s="10"/>
      <c r="G3" s="8" t="s">
        <v>312</v>
      </c>
      <c r="H3" s="9">
        <f>H1/SUM(H1:H2)</f>
        <v>0.86206896551724133</v>
      </c>
    </row>
    <row r="4" spans="1:8" x14ac:dyDescent="0.25">
      <c r="A4" s="10" t="s">
        <v>97</v>
      </c>
      <c r="B4" s="10" t="s">
        <v>98</v>
      </c>
      <c r="C4" s="10" t="s">
        <v>310</v>
      </c>
      <c r="D4" s="10"/>
      <c r="E4" s="10"/>
    </row>
    <row r="5" spans="1:8" x14ac:dyDescent="0.25">
      <c r="A5" s="10" t="s">
        <v>99</v>
      </c>
      <c r="B5" s="10" t="s">
        <v>99</v>
      </c>
      <c r="C5" s="10" t="s">
        <v>311</v>
      </c>
      <c r="D5" s="10" t="s">
        <v>319</v>
      </c>
      <c r="E5" s="11">
        <v>13734</v>
      </c>
    </row>
    <row r="6" spans="1:8" x14ac:dyDescent="0.25">
      <c r="A6" s="10" t="s">
        <v>100</v>
      </c>
      <c r="B6" s="10" t="s">
        <v>101</v>
      </c>
      <c r="C6" s="10" t="s">
        <v>310</v>
      </c>
      <c r="D6" s="10"/>
      <c r="E6" s="10"/>
    </row>
    <row r="7" spans="1:8" x14ac:dyDescent="0.25">
      <c r="A7" s="10" t="s">
        <v>102</v>
      </c>
      <c r="B7" s="10" t="s">
        <v>102</v>
      </c>
      <c r="C7" s="10" t="s">
        <v>310</v>
      </c>
      <c r="D7" s="10"/>
      <c r="E7" s="10"/>
    </row>
    <row r="8" spans="1:8" x14ac:dyDescent="0.25">
      <c r="A8" s="10" t="s">
        <v>103</v>
      </c>
      <c r="B8" s="10" t="s">
        <v>104</v>
      </c>
      <c r="C8" s="10" t="s">
        <v>310</v>
      </c>
      <c r="D8" s="10"/>
      <c r="E8" s="10"/>
    </row>
    <row r="9" spans="1:8" x14ac:dyDescent="0.25">
      <c r="A9" s="10" t="s">
        <v>105</v>
      </c>
      <c r="B9" s="10" t="s">
        <v>12</v>
      </c>
      <c r="C9" s="10" t="s">
        <v>310</v>
      </c>
      <c r="D9" s="10"/>
      <c r="E9" s="10"/>
    </row>
    <row r="10" spans="1:8" x14ac:dyDescent="0.25">
      <c r="A10" s="10" t="s">
        <v>106</v>
      </c>
      <c r="B10" s="10" t="s">
        <v>107</v>
      </c>
      <c r="C10" s="10" t="s">
        <v>310</v>
      </c>
      <c r="D10" s="10"/>
      <c r="E10" s="10"/>
    </row>
    <row r="11" spans="1:8" x14ac:dyDescent="0.25">
      <c r="A11" s="10" t="s">
        <v>108</v>
      </c>
      <c r="B11" s="10" t="s">
        <v>109</v>
      </c>
      <c r="C11" s="10" t="s">
        <v>310</v>
      </c>
      <c r="D11" s="10" t="s">
        <v>109</v>
      </c>
      <c r="E11" s="11">
        <v>20218</v>
      </c>
    </row>
    <row r="12" spans="1:8" x14ac:dyDescent="0.25">
      <c r="A12" s="10" t="s">
        <v>110</v>
      </c>
      <c r="B12" s="10" t="s">
        <v>111</v>
      </c>
      <c r="C12" s="10" t="s">
        <v>311</v>
      </c>
      <c r="D12" s="10" t="s">
        <v>320</v>
      </c>
      <c r="E12" s="11">
        <v>20217</v>
      </c>
    </row>
    <row r="13" spans="1:8" x14ac:dyDescent="0.25">
      <c r="A13" s="10" t="s">
        <v>112</v>
      </c>
      <c r="B13" s="10" t="s">
        <v>113</v>
      </c>
      <c r="C13" s="10" t="s">
        <v>310</v>
      </c>
      <c r="D13" s="10"/>
      <c r="E13" s="10"/>
    </row>
    <row r="14" spans="1:8" x14ac:dyDescent="0.25">
      <c r="A14" s="10" t="s">
        <v>114</v>
      </c>
      <c r="B14" s="10" t="s">
        <v>115</v>
      </c>
      <c r="C14" s="10" t="s">
        <v>310</v>
      </c>
      <c r="D14" s="10"/>
      <c r="E14" s="10"/>
    </row>
    <row r="15" spans="1:8" x14ac:dyDescent="0.25">
      <c r="A15" s="10" t="s">
        <v>116</v>
      </c>
      <c r="B15" s="10" t="s">
        <v>116</v>
      </c>
      <c r="C15" s="10" t="s">
        <v>310</v>
      </c>
      <c r="D15" s="10"/>
      <c r="E15" s="10"/>
    </row>
    <row r="16" spans="1:8" x14ac:dyDescent="0.25">
      <c r="A16" s="10" t="s">
        <v>117</v>
      </c>
      <c r="B16" s="10" t="s">
        <v>118</v>
      </c>
      <c r="C16" s="10" t="s">
        <v>310</v>
      </c>
      <c r="D16" s="10"/>
      <c r="E16" s="10"/>
    </row>
    <row r="17" spans="1:5" x14ac:dyDescent="0.25">
      <c r="A17" s="10" t="s">
        <v>119</v>
      </c>
      <c r="B17" s="10" t="s">
        <v>120</v>
      </c>
      <c r="C17" s="10" t="s">
        <v>310</v>
      </c>
      <c r="D17" s="10"/>
      <c r="E17" s="10"/>
    </row>
    <row r="18" spans="1:5" x14ac:dyDescent="0.25">
      <c r="A18" s="10" t="s">
        <v>121</v>
      </c>
      <c r="B18" s="10" t="s">
        <v>12</v>
      </c>
      <c r="C18" s="10" t="s">
        <v>310</v>
      </c>
      <c r="D18" s="10"/>
      <c r="E18" s="10"/>
    </row>
    <row r="19" spans="1:5" x14ac:dyDescent="0.25">
      <c r="A19" s="10" t="s">
        <v>122</v>
      </c>
      <c r="B19" s="10" t="s">
        <v>122</v>
      </c>
      <c r="C19" s="10" t="s">
        <v>310</v>
      </c>
      <c r="D19" s="10"/>
      <c r="E19" s="10"/>
    </row>
    <row r="20" spans="1:5" x14ac:dyDescent="0.25">
      <c r="A20" s="10" t="s">
        <v>105</v>
      </c>
      <c r="B20" s="10" t="s">
        <v>12</v>
      </c>
      <c r="C20" s="10" t="s">
        <v>310</v>
      </c>
      <c r="D20" s="10"/>
      <c r="E20" s="10"/>
    </row>
    <row r="21" spans="1:5" x14ac:dyDescent="0.25">
      <c r="A21" s="10" t="s">
        <v>106</v>
      </c>
      <c r="B21" s="10" t="s">
        <v>107</v>
      </c>
      <c r="C21" s="10" t="s">
        <v>311</v>
      </c>
      <c r="D21" s="10" t="s">
        <v>321</v>
      </c>
      <c r="E21" s="11">
        <v>13724</v>
      </c>
    </row>
    <row r="22" spans="1:5" x14ac:dyDescent="0.25">
      <c r="A22" s="10" t="s">
        <v>108</v>
      </c>
      <c r="B22" s="10" t="s">
        <v>109</v>
      </c>
      <c r="C22" s="10" t="s">
        <v>310</v>
      </c>
      <c r="D22" s="10" t="s">
        <v>109</v>
      </c>
      <c r="E22" s="11">
        <v>13780</v>
      </c>
    </row>
    <row r="23" spans="1:5" x14ac:dyDescent="0.25">
      <c r="A23" s="10" t="s">
        <v>123</v>
      </c>
      <c r="B23" s="10" t="s">
        <v>124</v>
      </c>
      <c r="C23" s="10" t="s">
        <v>310</v>
      </c>
      <c r="D23" s="10"/>
      <c r="E23" s="10"/>
    </row>
    <row r="24" spans="1:5" x14ac:dyDescent="0.25">
      <c r="A24" s="10" t="s">
        <v>125</v>
      </c>
      <c r="B24" s="10" t="s">
        <v>126</v>
      </c>
      <c r="C24" s="10" t="s">
        <v>310</v>
      </c>
      <c r="D24" s="10"/>
      <c r="E24" s="10"/>
    </row>
    <row r="25" spans="1:5" x14ac:dyDescent="0.25">
      <c r="A25" s="10" t="s">
        <v>110</v>
      </c>
      <c r="B25" s="10" t="s">
        <v>111</v>
      </c>
      <c r="C25" s="10" t="s">
        <v>310</v>
      </c>
      <c r="D25" s="10"/>
      <c r="E25" s="10"/>
    </row>
    <row r="26" spans="1:5" x14ac:dyDescent="0.25">
      <c r="A26" s="10" t="s">
        <v>112</v>
      </c>
      <c r="B26" s="10" t="s">
        <v>113</v>
      </c>
      <c r="C26" s="10" t="s">
        <v>311</v>
      </c>
      <c r="D26" s="10" t="s">
        <v>322</v>
      </c>
      <c r="E26" s="11">
        <v>20231</v>
      </c>
    </row>
    <row r="27" spans="1:5" x14ac:dyDescent="0.25">
      <c r="A27" s="10" t="s">
        <v>127</v>
      </c>
      <c r="B27" s="10" t="s">
        <v>128</v>
      </c>
      <c r="C27" s="10" t="s">
        <v>310</v>
      </c>
      <c r="D27" s="10"/>
      <c r="E27" s="10"/>
    </row>
    <row r="28" spans="1:5" x14ac:dyDescent="0.25">
      <c r="A28" s="10" t="s">
        <v>129</v>
      </c>
      <c r="B28" s="10" t="s">
        <v>130</v>
      </c>
      <c r="C28" s="10" t="s">
        <v>310</v>
      </c>
      <c r="D28" s="10"/>
      <c r="E28" s="10"/>
    </row>
    <row r="29" spans="1:5" x14ac:dyDescent="0.25">
      <c r="A29" s="10" t="s">
        <v>131</v>
      </c>
      <c r="B29" s="10" t="s">
        <v>132</v>
      </c>
      <c r="C29" s="10" t="s">
        <v>310</v>
      </c>
      <c r="D29" s="10"/>
      <c r="E29" s="10"/>
    </row>
    <row r="30" spans="1:5" x14ac:dyDescent="0.25">
      <c r="A30" s="10" t="s">
        <v>133</v>
      </c>
      <c r="B30" s="10" t="s">
        <v>12</v>
      </c>
      <c r="C30" s="10" t="s">
        <v>310</v>
      </c>
      <c r="D30" s="10"/>
      <c r="E30" s="10"/>
    </row>
    <row r="31" spans="1:5" x14ac:dyDescent="0.25">
      <c r="A31" s="10" t="s">
        <v>134</v>
      </c>
      <c r="B31" s="10" t="s">
        <v>12</v>
      </c>
      <c r="C31" s="10" t="s">
        <v>310</v>
      </c>
      <c r="D31" s="10"/>
      <c r="E31" s="10"/>
    </row>
    <row r="32" spans="1:5" x14ac:dyDescent="0.25">
      <c r="A32" s="10" t="s">
        <v>135</v>
      </c>
      <c r="B32" s="10" t="s">
        <v>136</v>
      </c>
      <c r="C32" s="10" t="s">
        <v>310</v>
      </c>
      <c r="D32" s="10"/>
      <c r="E32" s="10"/>
    </row>
    <row r="33" spans="1:5" x14ac:dyDescent="0.25">
      <c r="A33" s="10" t="s">
        <v>69</v>
      </c>
      <c r="B33" s="10" t="s">
        <v>137</v>
      </c>
      <c r="C33" s="10" t="s">
        <v>310</v>
      </c>
      <c r="D33" s="10"/>
      <c r="E33" s="10"/>
    </row>
    <row r="34" spans="1:5" x14ac:dyDescent="0.25">
      <c r="A34" s="10" t="s">
        <v>138</v>
      </c>
      <c r="B34" s="10" t="s">
        <v>139</v>
      </c>
      <c r="C34" s="10" t="s">
        <v>310</v>
      </c>
      <c r="D34" s="10"/>
      <c r="E34" s="10"/>
    </row>
    <row r="35" spans="1:5" x14ac:dyDescent="0.25">
      <c r="A35" s="10" t="s">
        <v>140</v>
      </c>
      <c r="B35" s="10" t="s">
        <v>141</v>
      </c>
      <c r="C35" s="10" t="s">
        <v>310</v>
      </c>
      <c r="D35" s="10"/>
      <c r="E35" s="10"/>
    </row>
    <row r="36" spans="1:5" x14ac:dyDescent="0.25">
      <c r="A36" s="10" t="s">
        <v>142</v>
      </c>
      <c r="B36" s="10" t="s">
        <v>12</v>
      </c>
      <c r="C36" s="10" t="s">
        <v>310</v>
      </c>
      <c r="D36" s="10"/>
      <c r="E36" s="10"/>
    </row>
    <row r="37" spans="1:5" x14ac:dyDescent="0.25">
      <c r="A37" s="10" t="s">
        <v>143</v>
      </c>
      <c r="B37" s="10" t="s">
        <v>12</v>
      </c>
      <c r="C37" s="10" t="s">
        <v>310</v>
      </c>
      <c r="D37" s="10"/>
      <c r="E37" s="10"/>
    </row>
    <row r="38" spans="1:5" x14ac:dyDescent="0.25">
      <c r="A38" s="10" t="s">
        <v>144</v>
      </c>
      <c r="B38" s="10" t="s">
        <v>12</v>
      </c>
      <c r="C38" s="10" t="s">
        <v>310</v>
      </c>
      <c r="D38" s="10"/>
      <c r="E38" s="10"/>
    </row>
    <row r="39" spans="1:5" x14ac:dyDescent="0.25">
      <c r="A39" s="10" t="s">
        <v>145</v>
      </c>
      <c r="B39" s="10" t="s">
        <v>145</v>
      </c>
      <c r="C39" s="10" t="s">
        <v>310</v>
      </c>
      <c r="D39" s="10" t="s">
        <v>145</v>
      </c>
      <c r="E39" s="11">
        <v>20223</v>
      </c>
    </row>
    <row r="40" spans="1:5" x14ac:dyDescent="0.25">
      <c r="A40" s="10" t="s">
        <v>146</v>
      </c>
      <c r="B40" s="10" t="s">
        <v>136</v>
      </c>
      <c r="C40" s="10" t="s">
        <v>311</v>
      </c>
      <c r="D40" s="10" t="s">
        <v>149</v>
      </c>
      <c r="E40" s="11">
        <v>20226</v>
      </c>
    </row>
    <row r="41" spans="1:5" x14ac:dyDescent="0.25">
      <c r="A41" s="10" t="s">
        <v>147</v>
      </c>
      <c r="B41" s="10" t="s">
        <v>147</v>
      </c>
      <c r="C41" s="10" t="s">
        <v>310</v>
      </c>
      <c r="D41" s="10" t="s">
        <v>147</v>
      </c>
      <c r="E41" s="11">
        <v>30340</v>
      </c>
    </row>
    <row r="42" spans="1:5" x14ac:dyDescent="0.25">
      <c r="A42" s="10" t="s">
        <v>148</v>
      </c>
      <c r="B42" s="10" t="s">
        <v>149</v>
      </c>
      <c r="C42" s="10" t="s">
        <v>310</v>
      </c>
      <c r="D42" s="10"/>
      <c r="E42" s="10"/>
    </row>
    <row r="43" spans="1:5" x14ac:dyDescent="0.25">
      <c r="A43" s="10" t="s">
        <v>150</v>
      </c>
      <c r="B43" s="10" t="s">
        <v>151</v>
      </c>
      <c r="C43" s="10" t="s">
        <v>310</v>
      </c>
      <c r="D43" s="10"/>
      <c r="E43" s="10"/>
    </row>
    <row r="44" spans="1:5" x14ac:dyDescent="0.25">
      <c r="A44" s="10" t="s">
        <v>152</v>
      </c>
      <c r="B44" s="10" t="s">
        <v>153</v>
      </c>
      <c r="C44" s="10" t="s">
        <v>310</v>
      </c>
      <c r="D44" s="10"/>
      <c r="E44" s="10"/>
    </row>
    <row r="45" spans="1:5" x14ac:dyDescent="0.25">
      <c r="A45" s="10" t="s">
        <v>154</v>
      </c>
      <c r="B45" s="10" t="s">
        <v>155</v>
      </c>
      <c r="C45" s="10" t="s">
        <v>310</v>
      </c>
      <c r="D45" s="10"/>
      <c r="E45" s="10"/>
    </row>
    <row r="46" spans="1:5" x14ac:dyDescent="0.25">
      <c r="A46" s="10" t="s">
        <v>156</v>
      </c>
      <c r="B46" s="10" t="s">
        <v>157</v>
      </c>
      <c r="C46" s="10" t="s">
        <v>310</v>
      </c>
      <c r="D46" s="10"/>
      <c r="E46" s="10"/>
    </row>
    <row r="47" spans="1:5" x14ac:dyDescent="0.25">
      <c r="A47" s="10" t="s">
        <v>158</v>
      </c>
      <c r="B47" s="10" t="s">
        <v>12</v>
      </c>
      <c r="C47" s="10" t="s">
        <v>310</v>
      </c>
      <c r="D47" s="10"/>
      <c r="E47" s="10"/>
    </row>
    <row r="48" spans="1:5" x14ac:dyDescent="0.25">
      <c r="A48" s="10" t="s">
        <v>144</v>
      </c>
      <c r="B48" s="10" t="s">
        <v>12</v>
      </c>
      <c r="C48" s="10" t="s">
        <v>310</v>
      </c>
      <c r="D48" s="10"/>
      <c r="E48" s="10"/>
    </row>
    <row r="49" spans="1:5" x14ac:dyDescent="0.25">
      <c r="A49" s="10" t="s">
        <v>145</v>
      </c>
      <c r="B49" s="10" t="s">
        <v>145</v>
      </c>
      <c r="C49" s="10" t="s">
        <v>310</v>
      </c>
      <c r="D49" s="10" t="s">
        <v>145</v>
      </c>
      <c r="E49" s="11">
        <v>20209</v>
      </c>
    </row>
    <row r="50" spans="1:5" x14ac:dyDescent="0.25">
      <c r="A50" s="10" t="s">
        <v>147</v>
      </c>
      <c r="B50" s="10" t="s">
        <v>147</v>
      </c>
      <c r="C50" s="10" t="s">
        <v>310</v>
      </c>
      <c r="D50" s="10" t="s">
        <v>147</v>
      </c>
      <c r="E50" s="11">
        <v>25716</v>
      </c>
    </row>
    <row r="51" spans="1:5" x14ac:dyDescent="0.25">
      <c r="A51" s="10" t="s">
        <v>159</v>
      </c>
      <c r="B51" s="10" t="s">
        <v>160</v>
      </c>
      <c r="C51" s="10" t="s">
        <v>311</v>
      </c>
      <c r="D51" s="10" t="s">
        <v>314</v>
      </c>
      <c r="E51" s="10"/>
    </row>
    <row r="52" spans="1:5" x14ac:dyDescent="0.25">
      <c r="A52" s="10" t="s">
        <v>161</v>
      </c>
      <c r="B52" s="10" t="s">
        <v>160</v>
      </c>
      <c r="C52" s="10" t="s">
        <v>310</v>
      </c>
      <c r="D52" s="10"/>
      <c r="E52" s="10"/>
    </row>
    <row r="53" spans="1:5" x14ac:dyDescent="0.25">
      <c r="A53" s="10" t="s">
        <v>162</v>
      </c>
      <c r="B53" s="10" t="s">
        <v>160</v>
      </c>
      <c r="C53" s="10" t="s">
        <v>310</v>
      </c>
      <c r="D53" s="10"/>
      <c r="E53" s="10"/>
    </row>
    <row r="54" spans="1:5" x14ac:dyDescent="0.25">
      <c r="A54" s="10" t="s">
        <v>148</v>
      </c>
      <c r="B54" s="10" t="s">
        <v>149</v>
      </c>
      <c r="C54" s="10" t="s">
        <v>311</v>
      </c>
      <c r="D54" s="10" t="s">
        <v>323</v>
      </c>
      <c r="E54" s="11">
        <v>20214</v>
      </c>
    </row>
    <row r="55" spans="1:5" x14ac:dyDescent="0.25">
      <c r="A55" s="10" t="s">
        <v>163</v>
      </c>
      <c r="B55" s="10" t="s">
        <v>164</v>
      </c>
      <c r="C55" s="10" t="s">
        <v>310</v>
      </c>
      <c r="D55" s="10"/>
      <c r="E55" s="10"/>
    </row>
    <row r="56" spans="1:5" x14ac:dyDescent="0.25">
      <c r="A56" s="10" t="s">
        <v>150</v>
      </c>
      <c r="B56" s="10" t="s">
        <v>151</v>
      </c>
      <c r="C56" s="10" t="s">
        <v>311</v>
      </c>
      <c r="D56" s="10" t="s">
        <v>324</v>
      </c>
      <c r="E56" s="11">
        <v>13767</v>
      </c>
    </row>
    <row r="57" spans="1:5" x14ac:dyDescent="0.25">
      <c r="A57" s="10" t="s">
        <v>165</v>
      </c>
      <c r="B57" s="10" t="s">
        <v>166</v>
      </c>
      <c r="C57" s="10" t="s">
        <v>310</v>
      </c>
      <c r="D57" s="10"/>
      <c r="E57" s="10"/>
    </row>
    <row r="58" spans="1:5" x14ac:dyDescent="0.25">
      <c r="A58" s="10" t="s">
        <v>167</v>
      </c>
      <c r="B58" s="10" t="s">
        <v>168</v>
      </c>
      <c r="C58" s="10" t="s">
        <v>310</v>
      </c>
      <c r="D58" s="10"/>
      <c r="E58" s="10"/>
    </row>
    <row r="59" spans="1:5" x14ac:dyDescent="0.25">
      <c r="A59" s="10" t="s">
        <v>169</v>
      </c>
      <c r="B59" s="10" t="s">
        <v>170</v>
      </c>
      <c r="C59" s="10" t="s">
        <v>310</v>
      </c>
      <c r="D59" s="10"/>
      <c r="E5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6"/>
  <sheetViews>
    <sheetView workbookViewId="0"/>
  </sheetViews>
  <sheetFormatPr defaultRowHeight="15" x14ac:dyDescent="0.25"/>
  <cols>
    <col min="1" max="1" width="57.42578125" customWidth="1"/>
    <col min="2" max="2" width="55" bestFit="1" customWidth="1"/>
    <col min="3" max="3" width="10.710937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307</v>
      </c>
      <c r="D1" s="2" t="s">
        <v>308</v>
      </c>
      <c r="E1" s="3" t="s">
        <v>309</v>
      </c>
      <c r="G1" s="4" t="s">
        <v>310</v>
      </c>
      <c r="H1" s="5">
        <f>COUNTIF(C:C,G1)</f>
        <v>35</v>
      </c>
    </row>
    <row r="2" spans="1:8" x14ac:dyDescent="0.25">
      <c r="A2" s="10" t="s">
        <v>34</v>
      </c>
      <c r="B2" s="10" t="s">
        <v>270</v>
      </c>
      <c r="C2" s="10" t="s">
        <v>311</v>
      </c>
      <c r="D2" s="2" t="s">
        <v>270</v>
      </c>
      <c r="E2" s="12">
        <v>17539</v>
      </c>
      <c r="G2" s="6" t="s">
        <v>311</v>
      </c>
      <c r="H2" s="7">
        <f>COUNTIF(C:C,G2)</f>
        <v>10</v>
      </c>
    </row>
    <row r="3" spans="1:8" ht="15.75" thickBot="1" x14ac:dyDescent="0.3">
      <c r="A3" s="10" t="s">
        <v>172</v>
      </c>
      <c r="B3" s="10" t="s">
        <v>12</v>
      </c>
      <c r="C3" s="10" t="s">
        <v>310</v>
      </c>
      <c r="D3" s="10"/>
      <c r="E3" s="10"/>
      <c r="G3" s="8" t="s">
        <v>312</v>
      </c>
      <c r="H3" s="9">
        <f>H1/SUM(H1:H2)</f>
        <v>0.77777777777777779</v>
      </c>
    </row>
    <row r="4" spans="1:8" x14ac:dyDescent="0.25">
      <c r="A4" s="10" t="s">
        <v>23</v>
      </c>
      <c r="B4" s="10" t="s">
        <v>173</v>
      </c>
      <c r="C4" s="10" t="s">
        <v>310</v>
      </c>
      <c r="D4" s="10"/>
      <c r="E4" s="10"/>
    </row>
    <row r="5" spans="1:8" x14ac:dyDescent="0.25">
      <c r="A5" s="10" t="s">
        <v>271</v>
      </c>
      <c r="B5" s="10" t="s">
        <v>175</v>
      </c>
      <c r="C5" s="10" t="s">
        <v>310</v>
      </c>
      <c r="D5" s="10"/>
      <c r="E5" s="10"/>
    </row>
    <row r="6" spans="1:8" x14ac:dyDescent="0.25">
      <c r="A6" s="2" t="s">
        <v>272</v>
      </c>
      <c r="B6" s="2" t="s">
        <v>177</v>
      </c>
      <c r="C6" s="2" t="s">
        <v>310</v>
      </c>
      <c r="D6" s="10"/>
      <c r="E6" s="10"/>
    </row>
    <row r="7" spans="1:8" x14ac:dyDescent="0.25">
      <c r="A7" s="10" t="s">
        <v>273</v>
      </c>
      <c r="B7" s="10" t="s">
        <v>274</v>
      </c>
      <c r="C7" s="10" t="s">
        <v>311</v>
      </c>
      <c r="D7" s="10" t="s">
        <v>186</v>
      </c>
      <c r="E7" s="11">
        <v>17542</v>
      </c>
    </row>
    <row r="8" spans="1:8" x14ac:dyDescent="0.25">
      <c r="A8" s="10" t="s">
        <v>275</v>
      </c>
      <c r="B8" s="10" t="s">
        <v>276</v>
      </c>
      <c r="C8" s="10" t="s">
        <v>310</v>
      </c>
      <c r="D8" s="10"/>
      <c r="E8" s="10"/>
    </row>
    <row r="9" spans="1:8" x14ac:dyDescent="0.25">
      <c r="A9" s="10" t="s">
        <v>277</v>
      </c>
      <c r="B9" s="10" t="s">
        <v>150</v>
      </c>
      <c r="C9" s="10" t="s">
        <v>311</v>
      </c>
      <c r="D9" s="10" t="s">
        <v>326</v>
      </c>
      <c r="E9" s="11">
        <v>30630</v>
      </c>
    </row>
    <row r="10" spans="1:8" x14ac:dyDescent="0.25">
      <c r="A10" s="10" t="s">
        <v>21</v>
      </c>
      <c r="B10" s="10" t="s">
        <v>278</v>
      </c>
      <c r="C10" s="10" t="s">
        <v>310</v>
      </c>
      <c r="D10" s="10"/>
      <c r="E10" s="10"/>
    </row>
    <row r="11" spans="1:8" x14ac:dyDescent="0.25">
      <c r="A11" s="10" t="s">
        <v>183</v>
      </c>
      <c r="B11" s="10" t="s">
        <v>184</v>
      </c>
      <c r="C11" s="10" t="s">
        <v>311</v>
      </c>
      <c r="D11" s="10" t="s">
        <v>325</v>
      </c>
      <c r="E11" s="11">
        <v>30407</v>
      </c>
    </row>
    <row r="12" spans="1:8" x14ac:dyDescent="0.25">
      <c r="A12" s="10" t="s">
        <v>279</v>
      </c>
      <c r="B12" s="10" t="s">
        <v>188</v>
      </c>
      <c r="C12" s="10" t="s">
        <v>310</v>
      </c>
      <c r="D12" s="10"/>
      <c r="E12" s="10"/>
    </row>
    <row r="13" spans="1:8" x14ac:dyDescent="0.25">
      <c r="A13" s="10" t="s">
        <v>189</v>
      </c>
      <c r="B13" s="10" t="s">
        <v>190</v>
      </c>
      <c r="C13" s="10" t="s">
        <v>310</v>
      </c>
      <c r="D13" s="10"/>
      <c r="E13" s="10"/>
    </row>
    <row r="14" spans="1:8" x14ac:dyDescent="0.25">
      <c r="A14" s="10" t="s">
        <v>191</v>
      </c>
      <c r="B14" s="10" t="s">
        <v>12</v>
      </c>
      <c r="C14" s="10" t="s">
        <v>310</v>
      </c>
      <c r="D14" s="10"/>
      <c r="E14" s="10"/>
    </row>
    <row r="15" spans="1:8" x14ac:dyDescent="0.25">
      <c r="A15" s="10" t="s">
        <v>192</v>
      </c>
      <c r="B15" s="10" t="s">
        <v>193</v>
      </c>
      <c r="C15" s="10" t="s">
        <v>310</v>
      </c>
      <c r="D15" s="10"/>
      <c r="E15" s="10"/>
    </row>
    <row r="16" spans="1:8" x14ac:dyDescent="0.25">
      <c r="A16" s="10" t="s">
        <v>122</v>
      </c>
      <c r="B16" s="10" t="s">
        <v>122</v>
      </c>
      <c r="C16" s="10" t="s">
        <v>310</v>
      </c>
      <c r="D16" s="10"/>
      <c r="E16" s="10"/>
    </row>
    <row r="17" spans="1:5" x14ac:dyDescent="0.25">
      <c r="A17" s="10" t="s">
        <v>196</v>
      </c>
      <c r="B17" s="10" t="s">
        <v>197</v>
      </c>
      <c r="C17" s="10" t="s">
        <v>310</v>
      </c>
      <c r="D17" s="10"/>
      <c r="E17" s="10"/>
    </row>
    <row r="18" spans="1:5" x14ac:dyDescent="0.25">
      <c r="A18" s="10" t="s">
        <v>280</v>
      </c>
      <c r="B18" s="10" t="s">
        <v>199</v>
      </c>
      <c r="C18" s="10" t="s">
        <v>310</v>
      </c>
      <c r="D18" s="10"/>
      <c r="E18" s="10"/>
    </row>
    <row r="19" spans="1:5" x14ac:dyDescent="0.25">
      <c r="A19" s="10" t="s">
        <v>281</v>
      </c>
      <c r="B19" s="10" t="s">
        <v>201</v>
      </c>
      <c r="C19" s="10" t="s">
        <v>310</v>
      </c>
      <c r="D19" s="10"/>
      <c r="E19" s="10"/>
    </row>
    <row r="20" spans="1:5" x14ac:dyDescent="0.25">
      <c r="A20" s="10" t="s">
        <v>282</v>
      </c>
      <c r="B20" s="10" t="s">
        <v>203</v>
      </c>
      <c r="C20" s="10" t="s">
        <v>310</v>
      </c>
      <c r="D20" s="10"/>
      <c r="E20" s="10"/>
    </row>
    <row r="21" spans="1:5" x14ac:dyDescent="0.25">
      <c r="A21" s="10" t="s">
        <v>283</v>
      </c>
      <c r="B21" s="10" t="s">
        <v>229</v>
      </c>
      <c r="C21" s="10" t="s">
        <v>310</v>
      </c>
      <c r="D21" s="10"/>
      <c r="E21" s="10"/>
    </row>
    <row r="22" spans="1:5" x14ac:dyDescent="0.25">
      <c r="A22" s="10" t="s">
        <v>284</v>
      </c>
      <c r="B22" s="10" t="s">
        <v>206</v>
      </c>
      <c r="C22" s="10" t="s">
        <v>310</v>
      </c>
      <c r="D22" s="10"/>
      <c r="E22" s="10"/>
    </row>
    <row r="23" spans="1:5" x14ac:dyDescent="0.25">
      <c r="A23" s="10" t="s">
        <v>285</v>
      </c>
      <c r="B23" s="10" t="s">
        <v>208</v>
      </c>
      <c r="C23" s="10" t="s">
        <v>310</v>
      </c>
      <c r="D23" s="10"/>
      <c r="E23" s="10"/>
    </row>
    <row r="24" spans="1:5" x14ac:dyDescent="0.25">
      <c r="A24" s="10" t="s">
        <v>286</v>
      </c>
      <c r="B24" s="10" t="s">
        <v>287</v>
      </c>
      <c r="C24" s="10" t="s">
        <v>311</v>
      </c>
      <c r="D24" s="10" t="s">
        <v>178</v>
      </c>
      <c r="E24" s="11">
        <v>30492</v>
      </c>
    </row>
    <row r="25" spans="1:5" x14ac:dyDescent="0.25">
      <c r="A25" s="10" t="s">
        <v>288</v>
      </c>
      <c r="B25" s="10" t="s">
        <v>210</v>
      </c>
      <c r="C25" s="10" t="s">
        <v>310</v>
      </c>
      <c r="D25" s="10"/>
      <c r="E25" s="10"/>
    </row>
    <row r="26" spans="1:5" x14ac:dyDescent="0.25">
      <c r="A26" s="10" t="s">
        <v>289</v>
      </c>
      <c r="B26" s="10" t="s">
        <v>178</v>
      </c>
      <c r="C26" s="10" t="s">
        <v>311</v>
      </c>
      <c r="D26" s="10" t="s">
        <v>212</v>
      </c>
      <c r="E26" s="11">
        <v>17563</v>
      </c>
    </row>
    <row r="27" spans="1:5" x14ac:dyDescent="0.25">
      <c r="A27" s="10" t="s">
        <v>290</v>
      </c>
      <c r="B27" s="10" t="s">
        <v>212</v>
      </c>
      <c r="C27" s="10" t="s">
        <v>310</v>
      </c>
      <c r="D27" s="10"/>
      <c r="E27" s="10"/>
    </row>
    <row r="28" spans="1:5" x14ac:dyDescent="0.25">
      <c r="A28" s="10" t="s">
        <v>291</v>
      </c>
      <c r="B28" s="10" t="s">
        <v>210</v>
      </c>
      <c r="C28" s="10" t="s">
        <v>310</v>
      </c>
      <c r="D28" s="10"/>
      <c r="E28" s="10"/>
    </row>
    <row r="29" spans="1:5" x14ac:dyDescent="0.25">
      <c r="A29" s="10" t="s">
        <v>292</v>
      </c>
      <c r="B29" s="10" t="s">
        <v>212</v>
      </c>
      <c r="C29" s="10" t="s">
        <v>310</v>
      </c>
      <c r="D29" s="10"/>
      <c r="E29" s="10"/>
    </row>
    <row r="30" spans="1:5" x14ac:dyDescent="0.25">
      <c r="A30" s="10" t="s">
        <v>293</v>
      </c>
      <c r="B30" s="10" t="s">
        <v>12</v>
      </c>
      <c r="C30" s="10" t="s">
        <v>311</v>
      </c>
      <c r="D30" s="10" t="s">
        <v>182</v>
      </c>
      <c r="E30" s="11">
        <v>30412</v>
      </c>
    </row>
    <row r="31" spans="1:5" x14ac:dyDescent="0.25">
      <c r="A31" s="10" t="s">
        <v>294</v>
      </c>
      <c r="B31" s="10" t="s">
        <v>12</v>
      </c>
      <c r="C31" s="10" t="s">
        <v>311</v>
      </c>
      <c r="D31" s="10" t="s">
        <v>182</v>
      </c>
      <c r="E31" s="11">
        <v>30412</v>
      </c>
    </row>
    <row r="32" spans="1:5" x14ac:dyDescent="0.25">
      <c r="A32" s="10" t="s">
        <v>295</v>
      </c>
      <c r="B32" s="10" t="s">
        <v>75</v>
      </c>
      <c r="C32" s="10" t="s">
        <v>311</v>
      </c>
      <c r="D32" s="10" t="s">
        <v>214</v>
      </c>
      <c r="E32" s="11">
        <v>30485</v>
      </c>
    </row>
    <row r="33" spans="1:5" x14ac:dyDescent="0.25">
      <c r="A33" s="10" t="s">
        <v>296</v>
      </c>
      <c r="B33" s="10" t="s">
        <v>177</v>
      </c>
      <c r="C33" s="10" t="s">
        <v>310</v>
      </c>
      <c r="D33" s="10"/>
      <c r="E33" s="10"/>
    </row>
    <row r="34" spans="1:5" x14ac:dyDescent="0.25">
      <c r="A34" s="10" t="s">
        <v>297</v>
      </c>
      <c r="B34" s="10" t="s">
        <v>184</v>
      </c>
      <c r="C34" s="10" t="s">
        <v>310</v>
      </c>
      <c r="D34" s="10"/>
      <c r="E34" s="10"/>
    </row>
    <row r="35" spans="1:5" x14ac:dyDescent="0.25">
      <c r="A35" s="10" t="s">
        <v>298</v>
      </c>
      <c r="B35" s="10" t="s">
        <v>221</v>
      </c>
      <c r="C35" s="10" t="s">
        <v>310</v>
      </c>
      <c r="D35" s="10"/>
      <c r="E35" s="10"/>
    </row>
    <row r="36" spans="1:5" x14ac:dyDescent="0.25">
      <c r="A36" s="10" t="s">
        <v>228</v>
      </c>
      <c r="B36" s="10" t="s">
        <v>229</v>
      </c>
      <c r="C36" s="10" t="s">
        <v>310</v>
      </c>
      <c r="D36" s="10"/>
      <c r="E36" s="10"/>
    </row>
    <row r="37" spans="1:5" x14ac:dyDescent="0.25">
      <c r="A37" s="10" t="s">
        <v>299</v>
      </c>
      <c r="B37" s="10" t="s">
        <v>12</v>
      </c>
      <c r="C37" s="10" t="s">
        <v>310</v>
      </c>
      <c r="D37" s="10"/>
      <c r="E37" s="10"/>
    </row>
    <row r="38" spans="1:5" x14ac:dyDescent="0.25">
      <c r="A38" s="10" t="s">
        <v>300</v>
      </c>
      <c r="B38" s="10" t="s">
        <v>236</v>
      </c>
      <c r="C38" s="10" t="s">
        <v>310</v>
      </c>
      <c r="D38" s="10"/>
      <c r="E38" s="11"/>
    </row>
    <row r="39" spans="1:5" x14ac:dyDescent="0.25">
      <c r="A39" s="10" t="s">
        <v>240</v>
      </c>
      <c r="B39" s="10" t="s">
        <v>241</v>
      </c>
      <c r="C39" s="10" t="s">
        <v>310</v>
      </c>
      <c r="D39" s="10"/>
      <c r="E39" s="10"/>
    </row>
    <row r="40" spans="1:5" x14ac:dyDescent="0.25">
      <c r="A40" s="10" t="s">
        <v>301</v>
      </c>
      <c r="B40" s="10" t="s">
        <v>243</v>
      </c>
      <c r="C40" s="10" t="s">
        <v>310</v>
      </c>
      <c r="D40" s="10"/>
      <c r="E40" s="10"/>
    </row>
    <row r="41" spans="1:5" x14ac:dyDescent="0.25">
      <c r="A41" s="10" t="s">
        <v>302</v>
      </c>
      <c r="B41" s="10" t="s">
        <v>303</v>
      </c>
      <c r="C41" s="10" t="s">
        <v>310</v>
      </c>
      <c r="D41" s="10"/>
      <c r="E41" s="10"/>
    </row>
    <row r="42" spans="1:5" x14ac:dyDescent="0.25">
      <c r="A42" s="10" t="s">
        <v>304</v>
      </c>
      <c r="B42" s="10" t="s">
        <v>180</v>
      </c>
      <c r="C42" s="10" t="s">
        <v>310</v>
      </c>
      <c r="D42" s="10"/>
      <c r="E42" s="10"/>
    </row>
    <row r="43" spans="1:5" x14ac:dyDescent="0.25">
      <c r="A43" s="10" t="s">
        <v>305</v>
      </c>
      <c r="B43" s="10" t="s">
        <v>249</v>
      </c>
      <c r="C43" s="10" t="s">
        <v>310</v>
      </c>
      <c r="D43" s="10"/>
      <c r="E43" s="10"/>
    </row>
    <row r="44" spans="1:5" x14ac:dyDescent="0.25">
      <c r="A44" s="10" t="s">
        <v>250</v>
      </c>
      <c r="B44" s="10" t="s">
        <v>251</v>
      </c>
      <c r="C44" s="10" t="s">
        <v>310</v>
      </c>
      <c r="D44" s="10"/>
      <c r="E44" s="10"/>
    </row>
    <row r="45" spans="1:5" x14ac:dyDescent="0.25">
      <c r="A45" s="10" t="s">
        <v>306</v>
      </c>
      <c r="B45" s="10" t="s">
        <v>175</v>
      </c>
      <c r="C45" s="10" t="s">
        <v>311</v>
      </c>
      <c r="D45" s="10" t="s">
        <v>253</v>
      </c>
      <c r="E45" s="11">
        <v>30513</v>
      </c>
    </row>
    <row r="46" spans="1:5" x14ac:dyDescent="0.25">
      <c r="A46" s="10" t="s">
        <v>255</v>
      </c>
      <c r="B46" s="10" t="s">
        <v>256</v>
      </c>
      <c r="C46" s="10" t="s">
        <v>310</v>
      </c>
      <c r="D46" s="10"/>
      <c r="E4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/>
  </sheetViews>
  <sheetFormatPr defaultRowHeight="15" x14ac:dyDescent="0.25"/>
  <cols>
    <col min="1" max="1" width="44.42578125" customWidth="1"/>
    <col min="2" max="2" width="45.28515625" customWidth="1"/>
    <col min="3" max="3" width="10.7109375" customWidth="1"/>
    <col min="4" max="4" width="40.85546875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307</v>
      </c>
      <c r="D1" s="2" t="s">
        <v>308</v>
      </c>
      <c r="E1" s="3" t="s">
        <v>309</v>
      </c>
      <c r="G1" s="4" t="s">
        <v>310</v>
      </c>
      <c r="H1" s="5">
        <f>COUNTIF(C:C,G1)</f>
        <v>36</v>
      </c>
    </row>
    <row r="2" spans="1:8" x14ac:dyDescent="0.25">
      <c r="A2" s="10" t="s">
        <v>31</v>
      </c>
      <c r="B2" s="10" t="s">
        <v>171</v>
      </c>
      <c r="C2" s="10" t="s">
        <v>311</v>
      </c>
      <c r="D2" s="2" t="s">
        <v>270</v>
      </c>
      <c r="E2" s="12">
        <v>17539</v>
      </c>
      <c r="G2" s="6" t="s">
        <v>311</v>
      </c>
      <c r="H2" s="7">
        <f>COUNTIF(C:C,G2)</f>
        <v>18</v>
      </c>
    </row>
    <row r="3" spans="1:8" ht="15.75" thickBot="1" x14ac:dyDescent="0.3">
      <c r="A3" s="10" t="s">
        <v>172</v>
      </c>
      <c r="B3" s="10" t="s">
        <v>12</v>
      </c>
      <c r="C3" s="10" t="s">
        <v>310</v>
      </c>
      <c r="D3" s="10"/>
      <c r="E3" s="10"/>
      <c r="G3" s="8" t="s">
        <v>312</v>
      </c>
      <c r="H3" s="9">
        <f>H1/SUM(H1:H2)</f>
        <v>0.66666666666666663</v>
      </c>
    </row>
    <row r="4" spans="1:8" x14ac:dyDescent="0.25">
      <c r="A4" s="10" t="s">
        <v>23</v>
      </c>
      <c r="B4" s="10" t="s">
        <v>173</v>
      </c>
      <c r="C4" s="10" t="s">
        <v>310</v>
      </c>
      <c r="D4" s="10"/>
      <c r="E4" s="10"/>
    </row>
    <row r="5" spans="1:8" x14ac:dyDescent="0.25">
      <c r="A5" s="10" t="s">
        <v>174</v>
      </c>
      <c r="B5" s="10" t="s">
        <v>175</v>
      </c>
      <c r="C5" s="10" t="s">
        <v>310</v>
      </c>
      <c r="D5" s="10"/>
      <c r="E5" s="10"/>
    </row>
    <row r="6" spans="1:8" x14ac:dyDescent="0.25">
      <c r="A6" s="10" t="s">
        <v>176</v>
      </c>
      <c r="B6" s="10" t="s">
        <v>177</v>
      </c>
      <c r="C6" s="10" t="s">
        <v>311</v>
      </c>
      <c r="D6" s="10" t="s">
        <v>75</v>
      </c>
      <c r="E6" s="11">
        <v>30481</v>
      </c>
    </row>
    <row r="7" spans="1:8" x14ac:dyDescent="0.25">
      <c r="A7" s="10" t="s">
        <v>25</v>
      </c>
      <c r="B7" s="10" t="s">
        <v>178</v>
      </c>
      <c r="C7" s="10" t="s">
        <v>311</v>
      </c>
      <c r="D7" s="10" t="s">
        <v>326</v>
      </c>
      <c r="E7" s="11">
        <v>30630</v>
      </c>
    </row>
    <row r="8" spans="1:8" x14ac:dyDescent="0.25">
      <c r="A8" s="10" t="s">
        <v>179</v>
      </c>
      <c r="B8" s="10" t="s">
        <v>180</v>
      </c>
      <c r="C8" s="10" t="s">
        <v>311</v>
      </c>
      <c r="D8" s="10" t="s">
        <v>177</v>
      </c>
      <c r="E8" s="11">
        <v>30404</v>
      </c>
    </row>
    <row r="9" spans="1:8" x14ac:dyDescent="0.25">
      <c r="A9" s="10" t="s">
        <v>181</v>
      </c>
      <c r="B9" s="10" t="s">
        <v>182</v>
      </c>
      <c r="C9" s="10" t="s">
        <v>311</v>
      </c>
      <c r="D9" s="10" t="s">
        <v>278</v>
      </c>
      <c r="E9" s="11">
        <v>30479</v>
      </c>
    </row>
    <row r="10" spans="1:8" x14ac:dyDescent="0.25">
      <c r="A10" s="10" t="s">
        <v>183</v>
      </c>
      <c r="B10" s="10" t="s">
        <v>184</v>
      </c>
      <c r="C10" s="10" t="s">
        <v>311</v>
      </c>
      <c r="D10" s="10" t="s">
        <v>325</v>
      </c>
      <c r="E10" s="11">
        <v>30407</v>
      </c>
    </row>
    <row r="11" spans="1:8" x14ac:dyDescent="0.25">
      <c r="A11" s="10" t="s">
        <v>185</v>
      </c>
      <c r="B11" s="10" t="s">
        <v>186</v>
      </c>
      <c r="C11" s="10" t="s">
        <v>310</v>
      </c>
      <c r="D11" s="10"/>
      <c r="E11" s="10"/>
    </row>
    <row r="12" spans="1:8" x14ac:dyDescent="0.25">
      <c r="A12" s="10" t="s">
        <v>187</v>
      </c>
      <c r="B12" s="10" t="s">
        <v>188</v>
      </c>
      <c r="C12" s="10" t="s">
        <v>311</v>
      </c>
      <c r="D12" s="10" t="s">
        <v>332</v>
      </c>
      <c r="E12" s="11">
        <v>30502</v>
      </c>
    </row>
    <row r="13" spans="1:8" x14ac:dyDescent="0.25">
      <c r="A13" s="10" t="s">
        <v>189</v>
      </c>
      <c r="B13" s="10" t="s">
        <v>190</v>
      </c>
      <c r="C13" s="10" t="s">
        <v>310</v>
      </c>
      <c r="D13" s="10"/>
      <c r="E13" s="10"/>
    </row>
    <row r="14" spans="1:8" x14ac:dyDescent="0.25">
      <c r="A14" s="10" t="s">
        <v>191</v>
      </c>
      <c r="B14" s="10" t="s">
        <v>12</v>
      </c>
      <c r="C14" s="10" t="s">
        <v>310</v>
      </c>
      <c r="D14" s="10"/>
      <c r="E14" s="10"/>
    </row>
    <row r="15" spans="1:8" x14ac:dyDescent="0.25">
      <c r="A15" s="10" t="s">
        <v>192</v>
      </c>
      <c r="B15" s="10" t="s">
        <v>193</v>
      </c>
      <c r="C15" s="10" t="s">
        <v>310</v>
      </c>
      <c r="D15" s="10"/>
      <c r="E15" s="10"/>
    </row>
    <row r="16" spans="1:8" x14ac:dyDescent="0.25">
      <c r="A16" s="2" t="s">
        <v>194</v>
      </c>
      <c r="B16" s="2" t="s">
        <v>195</v>
      </c>
      <c r="C16" s="2" t="s">
        <v>311</v>
      </c>
      <c r="D16" s="10" t="s">
        <v>193</v>
      </c>
      <c r="E16" s="11">
        <v>30674</v>
      </c>
    </row>
    <row r="17" spans="1:5" x14ac:dyDescent="0.25">
      <c r="A17" s="10" t="s">
        <v>122</v>
      </c>
      <c r="B17" s="10" t="s">
        <v>122</v>
      </c>
      <c r="C17" s="10" t="s">
        <v>310</v>
      </c>
      <c r="D17" s="10"/>
      <c r="E17" s="10"/>
    </row>
    <row r="18" spans="1:5" x14ac:dyDescent="0.25">
      <c r="A18" s="10" t="s">
        <v>196</v>
      </c>
      <c r="B18" s="10" t="s">
        <v>197</v>
      </c>
      <c r="C18" s="10" t="s">
        <v>310</v>
      </c>
      <c r="D18" s="10"/>
      <c r="E18" s="10"/>
    </row>
    <row r="19" spans="1:5" x14ac:dyDescent="0.25">
      <c r="A19" s="10" t="s">
        <v>198</v>
      </c>
      <c r="B19" s="10" t="s">
        <v>199</v>
      </c>
      <c r="C19" s="10" t="s">
        <v>310</v>
      </c>
      <c r="D19" s="10"/>
      <c r="E19" s="10"/>
    </row>
    <row r="20" spans="1:5" x14ac:dyDescent="0.25">
      <c r="A20" s="10" t="s">
        <v>200</v>
      </c>
      <c r="B20" s="10" t="s">
        <v>201</v>
      </c>
      <c r="C20" s="10" t="s">
        <v>310</v>
      </c>
      <c r="D20" s="10"/>
      <c r="E20" s="10"/>
    </row>
    <row r="21" spans="1:5" x14ac:dyDescent="0.25">
      <c r="A21" s="10" t="s">
        <v>202</v>
      </c>
      <c r="B21" s="10" t="s">
        <v>203</v>
      </c>
      <c r="C21" s="10" t="s">
        <v>310</v>
      </c>
      <c r="D21" s="10"/>
      <c r="E21" s="10"/>
    </row>
    <row r="22" spans="1:5" x14ac:dyDescent="0.25">
      <c r="A22" s="10" t="s">
        <v>204</v>
      </c>
      <c r="B22" s="10" t="s">
        <v>12</v>
      </c>
      <c r="C22" s="10" t="s">
        <v>310</v>
      </c>
      <c r="D22" s="10"/>
      <c r="E22" s="10"/>
    </row>
    <row r="23" spans="1:5" x14ac:dyDescent="0.25">
      <c r="A23" s="10" t="s">
        <v>205</v>
      </c>
      <c r="B23" s="10" t="s">
        <v>206</v>
      </c>
      <c r="C23" s="10" t="s">
        <v>310</v>
      </c>
      <c r="D23" s="10"/>
      <c r="E23" s="10"/>
    </row>
    <row r="24" spans="1:5" x14ac:dyDescent="0.25">
      <c r="A24" s="10" t="s">
        <v>207</v>
      </c>
      <c r="B24" s="10" t="s">
        <v>208</v>
      </c>
      <c r="C24" s="10" t="s">
        <v>310</v>
      </c>
      <c r="D24" s="10"/>
      <c r="E24" s="10"/>
    </row>
    <row r="25" spans="1:5" x14ac:dyDescent="0.25">
      <c r="A25" s="10" t="s">
        <v>209</v>
      </c>
      <c r="B25" s="10" t="s">
        <v>210</v>
      </c>
      <c r="C25" s="10" t="s">
        <v>310</v>
      </c>
      <c r="D25" s="10"/>
      <c r="E25" s="10"/>
    </row>
    <row r="26" spans="1:5" x14ac:dyDescent="0.25">
      <c r="A26" s="10" t="s">
        <v>211</v>
      </c>
      <c r="B26" s="10" t="s">
        <v>212</v>
      </c>
      <c r="C26" s="10" t="s">
        <v>310</v>
      </c>
      <c r="D26" s="10"/>
      <c r="E26" s="10"/>
    </row>
    <row r="27" spans="1:5" x14ac:dyDescent="0.25">
      <c r="A27" s="10" t="s">
        <v>213</v>
      </c>
      <c r="B27" s="10" t="s">
        <v>214</v>
      </c>
      <c r="C27" s="10" t="s">
        <v>310</v>
      </c>
      <c r="D27" s="10"/>
      <c r="E27" s="10"/>
    </row>
    <row r="28" spans="1:5" x14ac:dyDescent="0.25">
      <c r="A28" s="10" t="s">
        <v>215</v>
      </c>
      <c r="B28" s="10" t="s">
        <v>177</v>
      </c>
      <c r="C28" s="10" t="s">
        <v>310</v>
      </c>
      <c r="D28" s="10"/>
      <c r="E28" s="10"/>
    </row>
    <row r="29" spans="1:5" x14ac:dyDescent="0.25">
      <c r="A29" s="10" t="s">
        <v>216</v>
      </c>
      <c r="B29" s="10" t="s">
        <v>177</v>
      </c>
      <c r="C29" s="10" t="s">
        <v>310</v>
      </c>
      <c r="D29" s="10"/>
      <c r="E29" s="10"/>
    </row>
    <row r="30" spans="1:5" x14ac:dyDescent="0.25">
      <c r="A30" s="10" t="s">
        <v>217</v>
      </c>
      <c r="B30" s="10" t="s">
        <v>218</v>
      </c>
      <c r="C30" s="10" t="s">
        <v>311</v>
      </c>
      <c r="D30" s="10" t="s">
        <v>182</v>
      </c>
      <c r="E30" s="11">
        <v>30412</v>
      </c>
    </row>
    <row r="31" spans="1:5" x14ac:dyDescent="0.25">
      <c r="A31" s="10" t="s">
        <v>219</v>
      </c>
      <c r="B31" s="10" t="s">
        <v>12</v>
      </c>
      <c r="C31" s="10" t="s">
        <v>311</v>
      </c>
      <c r="D31" s="10" t="s">
        <v>182</v>
      </c>
      <c r="E31" s="11">
        <v>30412</v>
      </c>
    </row>
    <row r="32" spans="1:5" x14ac:dyDescent="0.25">
      <c r="A32" s="10" t="s">
        <v>220</v>
      </c>
      <c r="B32" s="10" t="s">
        <v>221</v>
      </c>
      <c r="C32" s="10" t="s">
        <v>310</v>
      </c>
      <c r="D32" s="10"/>
      <c r="E32" s="10"/>
    </row>
    <row r="33" spans="1:5" x14ac:dyDescent="0.25">
      <c r="A33" s="10" t="s">
        <v>222</v>
      </c>
      <c r="B33" s="10" t="s">
        <v>221</v>
      </c>
      <c r="C33" s="10" t="s">
        <v>310</v>
      </c>
      <c r="D33" s="10"/>
      <c r="E33" s="10"/>
    </row>
    <row r="34" spans="1:5" x14ac:dyDescent="0.25">
      <c r="A34" s="10" t="s">
        <v>223</v>
      </c>
      <c r="B34" s="10" t="s">
        <v>210</v>
      </c>
      <c r="C34" s="10" t="s">
        <v>311</v>
      </c>
      <c r="D34" s="10" t="s">
        <v>178</v>
      </c>
      <c r="E34" s="11">
        <v>30492</v>
      </c>
    </row>
    <row r="35" spans="1:5" x14ac:dyDescent="0.25">
      <c r="A35" s="10" t="s">
        <v>224</v>
      </c>
      <c r="B35" s="10" t="s">
        <v>218</v>
      </c>
      <c r="C35" s="10" t="s">
        <v>311</v>
      </c>
      <c r="D35" s="10" t="s">
        <v>328</v>
      </c>
      <c r="E35" s="11">
        <v>30476</v>
      </c>
    </row>
    <row r="36" spans="1:5" x14ac:dyDescent="0.25">
      <c r="A36" s="10" t="s">
        <v>225</v>
      </c>
      <c r="B36" s="10" t="s">
        <v>226</v>
      </c>
      <c r="C36" s="10" t="s">
        <v>311</v>
      </c>
      <c r="D36" s="10" t="s">
        <v>329</v>
      </c>
      <c r="E36" s="11">
        <v>30459</v>
      </c>
    </row>
    <row r="37" spans="1:5" x14ac:dyDescent="0.25">
      <c r="A37" s="10" t="s">
        <v>227</v>
      </c>
      <c r="B37" s="10" t="s">
        <v>206</v>
      </c>
      <c r="C37" s="10" t="s">
        <v>311</v>
      </c>
      <c r="D37" s="10" t="s">
        <v>330</v>
      </c>
      <c r="E37" s="11">
        <v>30517</v>
      </c>
    </row>
    <row r="38" spans="1:5" x14ac:dyDescent="0.25">
      <c r="A38" s="10" t="s">
        <v>228</v>
      </c>
      <c r="B38" s="10" t="s">
        <v>229</v>
      </c>
      <c r="C38" s="10" t="s">
        <v>310</v>
      </c>
      <c r="D38" s="10"/>
      <c r="E38" s="10"/>
    </row>
    <row r="39" spans="1:5" x14ac:dyDescent="0.25">
      <c r="A39" s="10" t="s">
        <v>230</v>
      </c>
      <c r="B39" s="10" t="s">
        <v>12</v>
      </c>
      <c r="C39" s="10" t="s">
        <v>310</v>
      </c>
      <c r="D39" s="10"/>
      <c r="E39" s="10"/>
    </row>
    <row r="40" spans="1:5" x14ac:dyDescent="0.25">
      <c r="A40" s="10" t="s">
        <v>231</v>
      </c>
      <c r="B40" s="10" t="s">
        <v>232</v>
      </c>
      <c r="C40" s="10" t="s">
        <v>310</v>
      </c>
      <c r="D40" s="10"/>
      <c r="E40" s="10"/>
    </row>
    <row r="41" spans="1:5" x14ac:dyDescent="0.25">
      <c r="A41" s="10" t="s">
        <v>233</v>
      </c>
      <c r="B41" s="10" t="s">
        <v>234</v>
      </c>
      <c r="C41" s="10" t="s">
        <v>310</v>
      </c>
      <c r="D41" s="10"/>
      <c r="E41" s="10"/>
    </row>
    <row r="42" spans="1:5" x14ac:dyDescent="0.25">
      <c r="A42" s="10" t="s">
        <v>235</v>
      </c>
      <c r="B42" s="10" t="s">
        <v>236</v>
      </c>
      <c r="C42" s="10" t="s">
        <v>310</v>
      </c>
      <c r="D42" s="10"/>
      <c r="E42" s="10"/>
    </row>
    <row r="43" spans="1:5" x14ac:dyDescent="0.25">
      <c r="A43" s="10" t="s">
        <v>237</v>
      </c>
      <c r="B43" s="10" t="s">
        <v>236</v>
      </c>
      <c r="C43" s="10" t="s">
        <v>311</v>
      </c>
      <c r="D43" s="10" t="s">
        <v>327</v>
      </c>
      <c r="E43" s="11">
        <v>30362</v>
      </c>
    </row>
    <row r="44" spans="1:5" x14ac:dyDescent="0.25">
      <c r="A44" s="10" t="s">
        <v>238</v>
      </c>
      <c r="B44" s="10" t="s">
        <v>239</v>
      </c>
      <c r="C44" s="10" t="s">
        <v>310</v>
      </c>
      <c r="D44" s="10"/>
      <c r="E44" s="10"/>
    </row>
    <row r="45" spans="1:5" x14ac:dyDescent="0.25">
      <c r="A45" s="10" t="s">
        <v>240</v>
      </c>
      <c r="B45" s="10" t="s">
        <v>241</v>
      </c>
      <c r="C45" s="10" t="s">
        <v>310</v>
      </c>
      <c r="D45" s="10"/>
      <c r="E45" s="10"/>
    </row>
    <row r="46" spans="1:5" x14ac:dyDescent="0.25">
      <c r="A46" s="10" t="s">
        <v>242</v>
      </c>
      <c r="B46" s="10" t="s">
        <v>243</v>
      </c>
      <c r="C46" s="10" t="s">
        <v>310</v>
      </c>
      <c r="D46" s="10"/>
      <c r="E46" s="10"/>
    </row>
    <row r="47" spans="1:5" x14ac:dyDescent="0.25">
      <c r="A47" s="10" t="s">
        <v>244</v>
      </c>
      <c r="B47" s="10" t="s">
        <v>243</v>
      </c>
      <c r="C47" s="10" t="s">
        <v>310</v>
      </c>
      <c r="D47" s="10"/>
      <c r="E47" s="10"/>
    </row>
    <row r="48" spans="1:5" x14ac:dyDescent="0.25">
      <c r="A48" s="10" t="s">
        <v>245</v>
      </c>
      <c r="B48" s="10" t="s">
        <v>12</v>
      </c>
      <c r="C48" s="10" t="s">
        <v>311</v>
      </c>
      <c r="D48" s="10" t="s">
        <v>184</v>
      </c>
      <c r="E48" s="11">
        <v>17543</v>
      </c>
    </row>
    <row r="49" spans="1:5" x14ac:dyDescent="0.25">
      <c r="A49" s="10" t="s">
        <v>246</v>
      </c>
      <c r="B49" s="10" t="s">
        <v>184</v>
      </c>
      <c r="C49" s="10" t="s">
        <v>311</v>
      </c>
      <c r="D49" s="10" t="s">
        <v>243</v>
      </c>
      <c r="E49" s="11">
        <v>17528</v>
      </c>
    </row>
    <row r="50" spans="1:5" x14ac:dyDescent="0.25">
      <c r="A50" s="10" t="s">
        <v>247</v>
      </c>
      <c r="B50" s="10" t="s">
        <v>180</v>
      </c>
      <c r="C50" s="10" t="s">
        <v>310</v>
      </c>
      <c r="D50" s="10"/>
      <c r="E50" s="10"/>
    </row>
    <row r="51" spans="1:5" x14ac:dyDescent="0.25">
      <c r="A51" s="10" t="s">
        <v>248</v>
      </c>
      <c r="B51" s="10" t="s">
        <v>249</v>
      </c>
      <c r="C51" s="10" t="s">
        <v>310</v>
      </c>
      <c r="D51" s="10"/>
      <c r="E51" s="10"/>
    </row>
    <row r="52" spans="1:5" x14ac:dyDescent="0.25">
      <c r="A52" s="10" t="s">
        <v>250</v>
      </c>
      <c r="B52" s="10" t="s">
        <v>251</v>
      </c>
      <c r="C52" s="10" t="s">
        <v>310</v>
      </c>
      <c r="D52" s="10"/>
      <c r="E52" s="10"/>
    </row>
    <row r="53" spans="1:5" x14ac:dyDescent="0.25">
      <c r="A53" s="10" t="s">
        <v>252</v>
      </c>
      <c r="B53" s="10" t="s">
        <v>253</v>
      </c>
      <c r="C53" s="10" t="s">
        <v>310</v>
      </c>
      <c r="D53" s="10"/>
      <c r="E53" s="10"/>
    </row>
    <row r="54" spans="1:5" x14ac:dyDescent="0.25">
      <c r="A54" s="10" t="s">
        <v>254</v>
      </c>
      <c r="B54" s="10" t="s">
        <v>175</v>
      </c>
      <c r="C54" s="10" t="s">
        <v>311</v>
      </c>
      <c r="D54" s="10" t="s">
        <v>253</v>
      </c>
      <c r="E54" s="11">
        <v>30513</v>
      </c>
    </row>
    <row r="55" spans="1:5" x14ac:dyDescent="0.25">
      <c r="A55" s="10" t="s">
        <v>255</v>
      </c>
      <c r="B55" s="10" t="s">
        <v>256</v>
      </c>
      <c r="C55" s="10" t="s">
        <v>310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workbookViewId="0"/>
  </sheetViews>
  <sheetFormatPr defaultRowHeight="15" x14ac:dyDescent="0.25"/>
  <cols>
    <col min="1" max="1" width="45.42578125" customWidth="1"/>
    <col min="2" max="2" width="45.7109375" bestFit="1" customWidth="1"/>
    <col min="3" max="3" width="9.7109375" customWidth="1"/>
    <col min="4" max="4" width="66.42578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307</v>
      </c>
      <c r="D1" s="2" t="s">
        <v>308</v>
      </c>
      <c r="E1" s="3" t="s">
        <v>309</v>
      </c>
      <c r="G1" s="4" t="s">
        <v>310</v>
      </c>
      <c r="H1" s="5">
        <f>COUNTIF(C:C,G1)</f>
        <v>0</v>
      </c>
    </row>
    <row r="2" spans="1:8" x14ac:dyDescent="0.25">
      <c r="A2" s="10" t="s">
        <v>71</v>
      </c>
      <c r="B2" s="10" t="s">
        <v>12</v>
      </c>
      <c r="C2" s="10"/>
      <c r="D2" s="14" t="s">
        <v>333</v>
      </c>
      <c r="E2" s="10"/>
      <c r="G2" s="6" t="s">
        <v>311</v>
      </c>
      <c r="H2" s="7">
        <f>COUNTIF(C:C,G2)</f>
        <v>0</v>
      </c>
    </row>
    <row r="3" spans="1:8" ht="15.75" thickBot="1" x14ac:dyDescent="0.3">
      <c r="A3" s="10" t="s">
        <v>72</v>
      </c>
      <c r="B3" s="10" t="s">
        <v>16</v>
      </c>
      <c r="C3" s="10"/>
      <c r="D3" s="10"/>
      <c r="E3" s="10"/>
      <c r="G3" s="8" t="s">
        <v>312</v>
      </c>
      <c r="H3" s="9" t="e">
        <f>H1/SUM(H1:H2)</f>
        <v>#DIV/0!</v>
      </c>
    </row>
    <row r="4" spans="1:8" x14ac:dyDescent="0.25">
      <c r="A4" s="10" t="s">
        <v>258</v>
      </c>
      <c r="B4" s="10" t="s">
        <v>3</v>
      </c>
      <c r="C4" s="10"/>
      <c r="D4" s="10"/>
      <c r="E4" s="10"/>
    </row>
    <row r="5" spans="1:8" x14ac:dyDescent="0.25">
      <c r="A5" s="10" t="s">
        <v>259</v>
      </c>
      <c r="B5" s="10" t="s">
        <v>3</v>
      </c>
      <c r="C5" s="10"/>
      <c r="D5" s="10"/>
      <c r="E5" s="10"/>
    </row>
    <row r="6" spans="1:8" x14ac:dyDescent="0.25">
      <c r="A6" s="10" t="s">
        <v>260</v>
      </c>
      <c r="B6" s="10" t="s">
        <v>41</v>
      </c>
      <c r="C6" s="10"/>
      <c r="D6" s="10"/>
      <c r="E6" s="10"/>
    </row>
    <row r="7" spans="1:8" x14ac:dyDescent="0.25">
      <c r="A7" s="10" t="s">
        <v>77</v>
      </c>
      <c r="B7" s="10" t="s">
        <v>36</v>
      </c>
      <c r="C7" s="10"/>
      <c r="D7" s="10"/>
      <c r="E7" s="10"/>
    </row>
    <row r="8" spans="1:8" x14ac:dyDescent="0.25">
      <c r="A8" s="10" t="s">
        <v>78</v>
      </c>
      <c r="B8" s="10" t="s">
        <v>64</v>
      </c>
      <c r="C8" s="10"/>
      <c r="D8" s="10"/>
      <c r="E8" s="10"/>
    </row>
    <row r="9" spans="1:8" x14ac:dyDescent="0.25">
      <c r="A9" s="10" t="s">
        <v>6</v>
      </c>
      <c r="B9" s="10" t="s">
        <v>3</v>
      </c>
      <c r="C9" s="10"/>
      <c r="D9" s="10"/>
      <c r="E9" s="10"/>
    </row>
    <row r="10" spans="1:8" x14ac:dyDescent="0.25">
      <c r="A10" s="10" t="s">
        <v>261</v>
      </c>
      <c r="B10" s="10" t="s">
        <v>12</v>
      </c>
      <c r="C10" s="10"/>
      <c r="D10" s="10"/>
      <c r="E10" s="10"/>
    </row>
    <row r="11" spans="1:8" x14ac:dyDescent="0.25">
      <c r="A11" s="10" t="s">
        <v>71</v>
      </c>
      <c r="B11" s="10" t="s">
        <v>12</v>
      </c>
      <c r="C11" s="10"/>
      <c r="D11" s="10"/>
      <c r="E11" s="10"/>
    </row>
    <row r="12" spans="1:8" x14ac:dyDescent="0.25">
      <c r="A12" s="10" t="s">
        <v>72</v>
      </c>
      <c r="B12" s="10" t="s">
        <v>16</v>
      </c>
      <c r="C12" s="10"/>
      <c r="D12" s="10"/>
      <c r="E12" s="10"/>
    </row>
    <row r="13" spans="1:8" x14ac:dyDescent="0.25">
      <c r="A13" s="10" t="s">
        <v>258</v>
      </c>
      <c r="B13" s="10" t="s">
        <v>3</v>
      </c>
      <c r="C13" s="10"/>
      <c r="D13" s="10"/>
      <c r="E13" s="10"/>
    </row>
    <row r="14" spans="1:8" x14ac:dyDescent="0.25">
      <c r="A14" s="10" t="s">
        <v>259</v>
      </c>
      <c r="B14" s="10" t="s">
        <v>3</v>
      </c>
      <c r="C14" s="10"/>
      <c r="D14" s="10"/>
      <c r="E14" s="10"/>
    </row>
    <row r="15" spans="1:8" x14ac:dyDescent="0.25">
      <c r="A15" s="10" t="s">
        <v>260</v>
      </c>
      <c r="B15" s="10" t="s">
        <v>41</v>
      </c>
      <c r="C15" s="10"/>
      <c r="D15" s="10"/>
      <c r="E15" s="10"/>
    </row>
    <row r="16" spans="1:8" x14ac:dyDescent="0.25">
      <c r="A16" s="10" t="s">
        <v>262</v>
      </c>
      <c r="B16" s="10" t="s">
        <v>53</v>
      </c>
      <c r="C16" s="10"/>
      <c r="D16" s="10"/>
      <c r="E16" s="10"/>
    </row>
    <row r="17" spans="1:5" x14ac:dyDescent="0.25">
      <c r="A17" s="10" t="s">
        <v>21</v>
      </c>
      <c r="B17" s="10" t="s">
        <v>22</v>
      </c>
      <c r="C17" s="10"/>
      <c r="D17" s="10"/>
      <c r="E17" s="10"/>
    </row>
    <row r="18" spans="1:5" x14ac:dyDescent="0.25">
      <c r="A18" s="10" t="s">
        <v>263</v>
      </c>
      <c r="B18" s="10" t="s">
        <v>12</v>
      </c>
      <c r="C18" s="10"/>
      <c r="D18" s="10"/>
      <c r="E18" s="10"/>
    </row>
    <row r="19" spans="1:5" x14ac:dyDescent="0.25">
      <c r="A19" s="10" t="s">
        <v>34</v>
      </c>
      <c r="B19" s="10" t="s">
        <v>12</v>
      </c>
      <c r="C19" s="10"/>
      <c r="D19" s="10"/>
      <c r="E19" s="10"/>
    </row>
    <row r="20" spans="1:5" x14ac:dyDescent="0.25">
      <c r="A20" s="10" t="s">
        <v>85</v>
      </c>
      <c r="B20" s="10" t="s">
        <v>12</v>
      </c>
      <c r="C20" s="10"/>
      <c r="D20" s="10"/>
      <c r="E20" s="10"/>
    </row>
    <row r="21" spans="1:5" x14ac:dyDescent="0.25">
      <c r="A21" s="10" t="s">
        <v>71</v>
      </c>
      <c r="B21" s="10" t="s">
        <v>12</v>
      </c>
      <c r="C21" s="10"/>
      <c r="D21" s="10"/>
      <c r="E21" s="10"/>
    </row>
    <row r="22" spans="1:5" x14ac:dyDescent="0.25">
      <c r="A22" s="10" t="s">
        <v>72</v>
      </c>
      <c r="B22" s="10" t="s">
        <v>16</v>
      </c>
      <c r="C22" s="10"/>
      <c r="D22" s="10"/>
      <c r="E22" s="10"/>
    </row>
    <row r="23" spans="1:5" x14ac:dyDescent="0.25">
      <c r="A23" s="10" t="s">
        <v>258</v>
      </c>
      <c r="B23" s="10" t="s">
        <v>3</v>
      </c>
      <c r="C23" s="10"/>
      <c r="D23" s="10"/>
      <c r="E23" s="10"/>
    </row>
    <row r="24" spans="1:5" x14ac:dyDescent="0.25">
      <c r="A24" s="10" t="s">
        <v>259</v>
      </c>
      <c r="B24" s="10" t="s">
        <v>3</v>
      </c>
      <c r="C24" s="10"/>
      <c r="D24" s="10"/>
      <c r="E24" s="10"/>
    </row>
    <row r="25" spans="1:5" x14ac:dyDescent="0.25">
      <c r="A25" s="10" t="s">
        <v>260</v>
      </c>
      <c r="B25" s="10" t="s">
        <v>41</v>
      </c>
      <c r="C25" s="10"/>
      <c r="D25" s="10"/>
      <c r="E25" s="10"/>
    </row>
    <row r="26" spans="1:5" x14ac:dyDescent="0.25">
      <c r="A26" s="10" t="s">
        <v>86</v>
      </c>
      <c r="B26" s="10" t="s">
        <v>53</v>
      </c>
      <c r="C26" s="10"/>
      <c r="D26" s="10"/>
      <c r="E26" s="10"/>
    </row>
    <row r="27" spans="1:5" x14ac:dyDescent="0.25">
      <c r="A27" s="10" t="s">
        <v>264</v>
      </c>
      <c r="B27" s="10" t="s">
        <v>45</v>
      </c>
      <c r="C27" s="10"/>
      <c r="D27" s="10"/>
      <c r="E27" s="10"/>
    </row>
    <row r="28" spans="1:5" x14ac:dyDescent="0.25">
      <c r="A28" s="10" t="s">
        <v>88</v>
      </c>
      <c r="B28" s="10" t="s">
        <v>10</v>
      </c>
      <c r="C28" s="10"/>
      <c r="D28" s="10"/>
      <c r="E28" s="10"/>
    </row>
    <row r="29" spans="1:5" x14ac:dyDescent="0.25">
      <c r="A29" s="10" t="s">
        <v>89</v>
      </c>
      <c r="B29" s="10" t="s">
        <v>12</v>
      </c>
      <c r="C29" s="10"/>
      <c r="D29" s="10"/>
      <c r="E29" s="10"/>
    </row>
    <row r="30" spans="1:5" x14ac:dyDescent="0.25">
      <c r="A30" s="10" t="s">
        <v>71</v>
      </c>
      <c r="B30" s="10" t="s">
        <v>12</v>
      </c>
      <c r="C30" s="10"/>
      <c r="D30" s="10"/>
      <c r="E30" s="10"/>
    </row>
    <row r="31" spans="1:5" x14ac:dyDescent="0.25">
      <c r="A31" s="10" t="s">
        <v>72</v>
      </c>
      <c r="B31" s="10" t="s">
        <v>16</v>
      </c>
      <c r="C31" s="10"/>
      <c r="D31" s="10"/>
      <c r="E31" s="10"/>
    </row>
    <row r="32" spans="1:5" x14ac:dyDescent="0.25">
      <c r="A32" s="10" t="s">
        <v>258</v>
      </c>
      <c r="B32" s="10" t="s">
        <v>3</v>
      </c>
      <c r="C32" s="10"/>
      <c r="D32" s="10"/>
      <c r="E32" s="10"/>
    </row>
    <row r="33" spans="1:5" x14ac:dyDescent="0.25">
      <c r="A33" s="10" t="s">
        <v>259</v>
      </c>
      <c r="B33" s="10" t="s">
        <v>3</v>
      </c>
      <c r="C33" s="10"/>
      <c r="D33" s="10"/>
      <c r="E33" s="10"/>
    </row>
    <row r="34" spans="1:5" x14ac:dyDescent="0.25">
      <c r="A34" s="10" t="s">
        <v>260</v>
      </c>
      <c r="B34" s="10" t="s">
        <v>41</v>
      </c>
      <c r="C34" s="10"/>
      <c r="D34" s="10"/>
      <c r="E34" s="10"/>
    </row>
    <row r="35" spans="1:5" x14ac:dyDescent="0.25">
      <c r="A35" s="10" t="s">
        <v>90</v>
      </c>
      <c r="B35" s="10" t="s">
        <v>12</v>
      </c>
      <c r="C35" s="10"/>
      <c r="D35" s="10"/>
      <c r="E35" s="10"/>
    </row>
    <row r="36" spans="1:5" x14ac:dyDescent="0.25">
      <c r="A36" s="10" t="s">
        <v>265</v>
      </c>
      <c r="B36" s="10" t="s">
        <v>39</v>
      </c>
      <c r="C36" s="10"/>
      <c r="D36" s="10"/>
      <c r="E36" s="10"/>
    </row>
    <row r="37" spans="1:5" x14ac:dyDescent="0.25">
      <c r="A37" s="10" t="s">
        <v>92</v>
      </c>
      <c r="B37" s="10" t="s">
        <v>93</v>
      </c>
      <c r="C37" s="10"/>
      <c r="D37" s="10"/>
      <c r="E3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workbookViewId="0"/>
  </sheetViews>
  <sheetFormatPr defaultRowHeight="15" x14ac:dyDescent="0.25"/>
  <cols>
    <col min="1" max="1" width="39.28515625" customWidth="1"/>
    <col min="2" max="2" width="64.28515625" customWidth="1"/>
    <col min="3" max="3" width="9.5703125" customWidth="1"/>
    <col min="4" max="4" width="66.42578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307</v>
      </c>
      <c r="D1" s="2" t="s">
        <v>308</v>
      </c>
      <c r="E1" s="3" t="s">
        <v>309</v>
      </c>
      <c r="G1" s="4" t="s">
        <v>310</v>
      </c>
      <c r="H1" s="5">
        <f>COUNTIF(C:C,G1)</f>
        <v>0</v>
      </c>
    </row>
    <row r="2" spans="1:8" x14ac:dyDescent="0.25">
      <c r="A2" s="10" t="s">
        <v>71</v>
      </c>
      <c r="B2" s="10" t="s">
        <v>12</v>
      </c>
      <c r="C2" s="10"/>
      <c r="D2" s="14" t="s">
        <v>333</v>
      </c>
      <c r="E2" s="10"/>
      <c r="G2" s="6" t="s">
        <v>311</v>
      </c>
      <c r="H2" s="7">
        <f>COUNTIF(C:C,G2)</f>
        <v>0</v>
      </c>
    </row>
    <row r="3" spans="1:8" ht="15.75" thickBot="1" x14ac:dyDescent="0.3">
      <c r="A3" s="10" t="s">
        <v>72</v>
      </c>
      <c r="B3" s="10" t="s">
        <v>16</v>
      </c>
      <c r="C3" s="10"/>
      <c r="D3" s="10"/>
      <c r="E3" s="10"/>
      <c r="G3" s="8" t="s">
        <v>312</v>
      </c>
      <c r="H3" s="9" t="e">
        <f>H1/SUM(H1:H2)</f>
        <v>#DIV/0!</v>
      </c>
    </row>
    <row r="4" spans="1:8" x14ac:dyDescent="0.25">
      <c r="A4" s="10" t="s">
        <v>73</v>
      </c>
      <c r="B4" s="10" t="s">
        <v>12</v>
      </c>
      <c r="C4" s="10"/>
      <c r="D4" s="10"/>
      <c r="E4" s="10"/>
    </row>
    <row r="5" spans="1:8" x14ac:dyDescent="0.25">
      <c r="A5" s="10" t="s">
        <v>74</v>
      </c>
      <c r="B5" s="10" t="s">
        <v>75</v>
      </c>
      <c r="C5" s="10"/>
      <c r="D5" s="10"/>
      <c r="E5" s="10"/>
    </row>
    <row r="6" spans="1:8" x14ac:dyDescent="0.25">
      <c r="A6" s="10" t="s">
        <v>76</v>
      </c>
      <c r="B6" s="10" t="s">
        <v>41</v>
      </c>
      <c r="C6" s="10"/>
      <c r="D6" s="10"/>
      <c r="E6" s="10"/>
    </row>
    <row r="7" spans="1:8" x14ac:dyDescent="0.25">
      <c r="A7" s="10" t="s">
        <v>77</v>
      </c>
      <c r="B7" s="10" t="s">
        <v>36</v>
      </c>
      <c r="C7" s="10"/>
      <c r="D7" s="10"/>
      <c r="E7" s="10"/>
    </row>
    <row r="8" spans="1:8" x14ac:dyDescent="0.25">
      <c r="A8" s="10" t="s">
        <v>78</v>
      </c>
      <c r="B8" s="10" t="s">
        <v>64</v>
      </c>
      <c r="C8" s="10"/>
      <c r="D8" s="10"/>
      <c r="E8" s="10"/>
    </row>
    <row r="9" spans="1:8" x14ac:dyDescent="0.25">
      <c r="A9" s="10" t="s">
        <v>6</v>
      </c>
      <c r="B9" s="10" t="s">
        <v>3</v>
      </c>
      <c r="C9" s="10"/>
      <c r="D9" s="10"/>
      <c r="E9" s="10"/>
    </row>
    <row r="10" spans="1:8" x14ac:dyDescent="0.25">
      <c r="A10" s="10" t="s">
        <v>79</v>
      </c>
      <c r="B10" s="10" t="s">
        <v>12</v>
      </c>
      <c r="C10" s="10"/>
      <c r="D10" s="10"/>
      <c r="E10" s="10"/>
    </row>
    <row r="11" spans="1:8" x14ac:dyDescent="0.25">
      <c r="A11" s="10" t="s">
        <v>71</v>
      </c>
      <c r="B11" s="10" t="s">
        <v>12</v>
      </c>
      <c r="C11" s="10"/>
      <c r="D11" s="10"/>
      <c r="E11" s="10"/>
    </row>
    <row r="12" spans="1:8" x14ac:dyDescent="0.25">
      <c r="A12" s="10" t="s">
        <v>72</v>
      </c>
      <c r="B12" s="10" t="s">
        <v>16</v>
      </c>
      <c r="C12" s="10"/>
      <c r="D12" s="10"/>
      <c r="E12" s="10"/>
    </row>
    <row r="13" spans="1:8" x14ac:dyDescent="0.25">
      <c r="A13" s="10" t="s">
        <v>73</v>
      </c>
      <c r="B13" s="10" t="s">
        <v>12</v>
      </c>
      <c r="C13" s="10"/>
      <c r="D13" s="10"/>
      <c r="E13" s="10"/>
    </row>
    <row r="14" spans="1:8" x14ac:dyDescent="0.25">
      <c r="A14" s="10" t="s">
        <v>74</v>
      </c>
      <c r="B14" s="10" t="s">
        <v>75</v>
      </c>
      <c r="C14" s="10"/>
      <c r="D14" s="10"/>
      <c r="E14" s="10"/>
    </row>
    <row r="15" spans="1:8" x14ac:dyDescent="0.25">
      <c r="A15" s="10" t="s">
        <v>76</v>
      </c>
      <c r="B15" s="10" t="s">
        <v>41</v>
      </c>
      <c r="C15" s="10"/>
      <c r="D15" s="10"/>
      <c r="E15" s="10"/>
    </row>
    <row r="16" spans="1:8" x14ac:dyDescent="0.25">
      <c r="A16" s="10" t="s">
        <v>80</v>
      </c>
      <c r="B16" s="10" t="s">
        <v>12</v>
      </c>
      <c r="C16" s="10"/>
      <c r="D16" s="10"/>
      <c r="E16" s="10"/>
    </row>
    <row r="17" spans="1:5" x14ac:dyDescent="0.25">
      <c r="A17" s="10" t="s">
        <v>81</v>
      </c>
      <c r="B17" s="10" t="s">
        <v>12</v>
      </c>
      <c r="C17" s="10"/>
      <c r="D17" s="10"/>
      <c r="E17" s="10"/>
    </row>
    <row r="18" spans="1:5" x14ac:dyDescent="0.25">
      <c r="A18" s="10" t="s">
        <v>71</v>
      </c>
      <c r="B18" s="10" t="s">
        <v>12</v>
      </c>
      <c r="C18" s="10"/>
      <c r="D18" s="10"/>
      <c r="E18" s="10"/>
    </row>
    <row r="19" spans="1:5" x14ac:dyDescent="0.25">
      <c r="A19" s="10" t="s">
        <v>72</v>
      </c>
      <c r="B19" s="10" t="s">
        <v>16</v>
      </c>
      <c r="C19" s="10"/>
      <c r="D19" s="10"/>
      <c r="E19" s="10"/>
    </row>
    <row r="20" spans="1:5" x14ac:dyDescent="0.25">
      <c r="A20" s="10" t="s">
        <v>73</v>
      </c>
      <c r="B20" s="10" t="s">
        <v>12</v>
      </c>
      <c r="C20" s="10"/>
      <c r="D20" s="10"/>
      <c r="E20" s="10"/>
    </row>
    <row r="21" spans="1:5" x14ac:dyDescent="0.25">
      <c r="A21" s="10" t="s">
        <v>74</v>
      </c>
      <c r="B21" s="10" t="s">
        <v>75</v>
      </c>
      <c r="C21" s="10"/>
      <c r="D21" s="10"/>
      <c r="E21" s="10"/>
    </row>
    <row r="22" spans="1:5" x14ac:dyDescent="0.25">
      <c r="A22" s="10" t="s">
        <v>76</v>
      </c>
      <c r="B22" s="10" t="s">
        <v>41</v>
      </c>
      <c r="C22" s="10"/>
      <c r="D22" s="10"/>
      <c r="E22" s="10"/>
    </row>
    <row r="23" spans="1:5" x14ac:dyDescent="0.25">
      <c r="A23" s="10" t="s">
        <v>80</v>
      </c>
      <c r="B23" s="10" t="s">
        <v>12</v>
      </c>
      <c r="C23" s="10"/>
      <c r="D23" s="10"/>
      <c r="E23" s="10"/>
    </row>
    <row r="24" spans="1:5" x14ac:dyDescent="0.25">
      <c r="A24" s="10" t="s">
        <v>82</v>
      </c>
      <c r="B24" s="10" t="s">
        <v>83</v>
      </c>
      <c r="C24" s="10"/>
      <c r="D24" s="10"/>
      <c r="E24" s="10"/>
    </row>
    <row r="25" spans="1:5" x14ac:dyDescent="0.25">
      <c r="A25" s="10" t="s">
        <v>84</v>
      </c>
      <c r="B25" s="10" t="s">
        <v>12</v>
      </c>
      <c r="C25" s="10"/>
      <c r="D25" s="10"/>
      <c r="E25" s="10"/>
    </row>
    <row r="26" spans="1:5" x14ac:dyDescent="0.25">
      <c r="A26" s="10" t="s">
        <v>34</v>
      </c>
      <c r="B26" s="10" t="s">
        <v>12</v>
      </c>
      <c r="C26" s="10"/>
      <c r="D26" s="10"/>
      <c r="E26" s="10"/>
    </row>
    <row r="27" spans="1:5" x14ac:dyDescent="0.25">
      <c r="A27" s="10" t="s">
        <v>85</v>
      </c>
      <c r="B27" s="10" t="s">
        <v>12</v>
      </c>
      <c r="C27" s="10"/>
      <c r="D27" s="10"/>
      <c r="E27" s="10"/>
    </row>
    <row r="28" spans="1:5" x14ac:dyDescent="0.25">
      <c r="A28" s="10" t="s">
        <v>71</v>
      </c>
      <c r="B28" s="10" t="s">
        <v>12</v>
      </c>
      <c r="C28" s="10"/>
      <c r="D28" s="10"/>
      <c r="E28" s="10"/>
    </row>
    <row r="29" spans="1:5" x14ac:dyDescent="0.25">
      <c r="A29" s="10" t="s">
        <v>72</v>
      </c>
      <c r="B29" s="10" t="s">
        <v>16</v>
      </c>
      <c r="C29" s="10"/>
      <c r="D29" s="10"/>
      <c r="E29" s="10"/>
    </row>
    <row r="30" spans="1:5" x14ac:dyDescent="0.25">
      <c r="A30" s="10" t="s">
        <v>73</v>
      </c>
      <c r="B30" s="10" t="s">
        <v>12</v>
      </c>
      <c r="C30" s="10"/>
      <c r="D30" s="10"/>
      <c r="E30" s="10"/>
    </row>
    <row r="31" spans="1:5" x14ac:dyDescent="0.25">
      <c r="A31" s="10" t="s">
        <v>74</v>
      </c>
      <c r="B31" s="10" t="s">
        <v>75</v>
      </c>
      <c r="C31" s="10"/>
      <c r="D31" s="10"/>
      <c r="E31" s="10"/>
    </row>
    <row r="32" spans="1:5" x14ac:dyDescent="0.25">
      <c r="A32" s="10" t="s">
        <v>76</v>
      </c>
      <c r="B32" s="10" t="s">
        <v>41</v>
      </c>
      <c r="C32" s="10"/>
      <c r="D32" s="10"/>
      <c r="E32" s="10"/>
    </row>
    <row r="33" spans="1:5" x14ac:dyDescent="0.25">
      <c r="A33" s="10" t="s">
        <v>86</v>
      </c>
      <c r="B33" s="10" t="s">
        <v>53</v>
      </c>
      <c r="C33" s="10"/>
      <c r="D33" s="10"/>
      <c r="E33" s="10"/>
    </row>
    <row r="34" spans="1:5" x14ac:dyDescent="0.25">
      <c r="A34" s="10" t="s">
        <v>87</v>
      </c>
      <c r="B34" s="10" t="s">
        <v>12</v>
      </c>
      <c r="C34" s="10"/>
      <c r="D34" s="10"/>
      <c r="E34" s="10"/>
    </row>
    <row r="35" spans="1:5" x14ac:dyDescent="0.25">
      <c r="A35" s="10" t="s">
        <v>88</v>
      </c>
      <c r="B35" s="10" t="s">
        <v>10</v>
      </c>
      <c r="C35" s="10"/>
      <c r="D35" s="10"/>
      <c r="E35" s="10"/>
    </row>
    <row r="36" spans="1:5" x14ac:dyDescent="0.25">
      <c r="A36" s="10" t="s">
        <v>89</v>
      </c>
      <c r="B36" s="10" t="s">
        <v>12</v>
      </c>
      <c r="C36" s="10"/>
      <c r="D36" s="10"/>
      <c r="E36" s="10"/>
    </row>
    <row r="37" spans="1:5" x14ac:dyDescent="0.25">
      <c r="A37" s="10" t="s">
        <v>71</v>
      </c>
      <c r="B37" s="10" t="s">
        <v>12</v>
      </c>
      <c r="C37" s="10"/>
      <c r="D37" s="10"/>
      <c r="E37" s="10"/>
    </row>
    <row r="38" spans="1:5" x14ac:dyDescent="0.25">
      <c r="A38" s="10" t="s">
        <v>72</v>
      </c>
      <c r="B38" s="10" t="s">
        <v>16</v>
      </c>
      <c r="C38" s="10"/>
      <c r="D38" s="10"/>
      <c r="E38" s="10"/>
    </row>
    <row r="39" spans="1:5" x14ac:dyDescent="0.25">
      <c r="A39" s="10" t="s">
        <v>73</v>
      </c>
      <c r="B39" s="10" t="s">
        <v>12</v>
      </c>
      <c r="C39" s="10"/>
      <c r="D39" s="10"/>
      <c r="E39" s="10"/>
    </row>
    <row r="40" spans="1:5" x14ac:dyDescent="0.25">
      <c r="A40" s="10" t="s">
        <v>74</v>
      </c>
      <c r="B40" s="10" t="s">
        <v>75</v>
      </c>
      <c r="C40" s="10"/>
      <c r="D40" s="10"/>
      <c r="E40" s="10"/>
    </row>
    <row r="41" spans="1:5" x14ac:dyDescent="0.25">
      <c r="A41" s="10" t="s">
        <v>76</v>
      </c>
      <c r="B41" s="10" t="s">
        <v>41</v>
      </c>
      <c r="C41" s="10"/>
      <c r="D41" s="10"/>
      <c r="E41" s="10"/>
    </row>
    <row r="42" spans="1:5" x14ac:dyDescent="0.25">
      <c r="A42" s="10" t="s">
        <v>90</v>
      </c>
      <c r="B42" s="10" t="s">
        <v>12</v>
      </c>
      <c r="C42" s="10"/>
      <c r="D42" s="10"/>
      <c r="E42" s="10"/>
    </row>
    <row r="43" spans="1:5" x14ac:dyDescent="0.25">
      <c r="A43" s="10" t="s">
        <v>91</v>
      </c>
      <c r="B43" s="10" t="s">
        <v>39</v>
      </c>
      <c r="C43" s="10"/>
      <c r="D43" s="10"/>
      <c r="E43" s="10"/>
    </row>
    <row r="44" spans="1:5" x14ac:dyDescent="0.25">
      <c r="A44" s="10" t="s">
        <v>92</v>
      </c>
      <c r="B44" s="10" t="s">
        <v>93</v>
      </c>
      <c r="C44" s="10"/>
      <c r="D44" s="10"/>
      <c r="E4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SR - P_8 - T_1</vt:lpstr>
      <vt:lpstr>SR_C - P_3 - 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2026-03-16T08:06:03Z</dcterms:created>
  <dcterms:modified xsi:type="dcterms:W3CDTF">2026-03-25T06:55:23Z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2026-03-20T08:29:59Z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277ed14b-806d-4892-9ce5-2c5454e40181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