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A62F1F61-C4EE-4E24-B9EE-2A41830A8D2C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R" sheetId="2" r:id="rId7"/>
    <sheet name="SR_C" sheetId="6" r:id="rId8"/>
  </sheets>
  <definedNames>
    <definedName name="_xlnm._FilterDatabase" localSheetId="3" hidden="1">'Consolidated Balance Sheet'!$A$1:$H$57</definedName>
    <definedName name="_xlnm._FilterDatabase" localSheetId="5" hidden="1">'Consolidated Cash Flow'!$A$1:$H$49</definedName>
    <definedName name="_xlnm._FilterDatabase" localSheetId="1" hidden="1">'Consolidated Profit &amp; Loss'!$A$1:$H$39</definedName>
    <definedName name="_xlnm._FilterDatabase" localSheetId="2" hidden="1">'Standalone Balance Sheet'!$A$1:$H$49</definedName>
    <definedName name="_xlnm._FilterDatabase" localSheetId="4" hidden="1">'Standalone Cash Flow'!$A$1:$H$46</definedName>
    <definedName name="_xlnm._FilterDatabase" localSheetId="0" hidden="1">'Standalone Profit &amp; Loss'!$A$1:$I$37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2" i="6"/>
  <c r="H1" i="6"/>
  <c r="H3" i="6" s="1"/>
  <c r="H2" i="2"/>
  <c r="H1" i="2"/>
  <c r="H3" i="2" s="1"/>
  <c r="H2" i="4"/>
  <c r="H1" i="4"/>
  <c r="H2" i="3"/>
  <c r="H1" i="3"/>
  <c r="H3" i="3" s="1"/>
  <c r="H2" i="5"/>
  <c r="H1" i="5"/>
  <c r="H3" i="5" s="1"/>
  <c r="H2" i="1"/>
  <c r="H1" i="1"/>
  <c r="H1" i="8" l="1"/>
  <c r="H2" i="8"/>
  <c r="H3" i="4"/>
  <c r="H1" i="7"/>
  <c r="H3" i="7" s="1"/>
  <c r="H3" i="1"/>
  <c r="H3" i="8" l="1"/>
</calcChain>
</file>

<file path=xl/sharedStrings.xml><?xml version="1.0" encoding="utf-8"?>
<sst xmlns="http://schemas.openxmlformats.org/spreadsheetml/2006/main" count="1056" uniqueCount="335">
  <si>
    <t>Particulars</t>
  </si>
  <si>
    <t>Cogencis Field</t>
  </si>
  <si>
    <t>Paid-Up Equity Share Capital</t>
  </si>
  <si>
    <t>Gross Sales/Income from Operations</t>
  </si>
  <si>
    <t>Total Income</t>
  </si>
  <si>
    <t>Changes in Inventories of Finished Goods, Work-In-Progress and Stock-In-Trade</t>
  </si>
  <si>
    <t>Total Expenses</t>
  </si>
  <si>
    <t>Net Profit/(Loss) for the Period</t>
  </si>
  <si>
    <t>Profit/(Loss) from operations before other income, finance costs and exceptional items</t>
  </si>
  <si>
    <t>Other Equity</t>
  </si>
  <si>
    <t>Reserve excluding Revaluation Reserves (as per Balance Sheet of Previous Accounting Year)</t>
  </si>
  <si>
    <t>Earnings per Share ( not annualised for the quarter )</t>
  </si>
  <si>
    <t>Lable</t>
  </si>
  <si>
    <t>Basic - In Rs</t>
  </si>
  <si>
    <t>Basic EPS</t>
  </si>
  <si>
    <t>Diluted - In Rs</t>
  </si>
  <si>
    <t>Diluted EPS</t>
  </si>
  <si>
    <t>NOVAL</t>
  </si>
  <si>
    <t>Segment Revenue</t>
  </si>
  <si>
    <t>Mining</t>
  </si>
  <si>
    <t>Steel and related value added products</t>
  </si>
  <si>
    <t>Total Segmental Revenue</t>
  </si>
  <si>
    <t>Less : Inter Segment Revenue</t>
  </si>
  <si>
    <t>Net Sales / Income from Operations</t>
  </si>
  <si>
    <t>Segment Results ( Profit before Finance Costs and Tax )</t>
  </si>
  <si>
    <t>Total Segment Result</t>
  </si>
  <si>
    <t>Less : i ) Finance Cost</t>
  </si>
  <si>
    <t>Profit / ( Loss ) before Tax</t>
  </si>
  <si>
    <t>Segment Assets</t>
  </si>
  <si>
    <t>Steel and related value added products ( including CWIP )</t>
  </si>
  <si>
    <t>Unallocated</t>
  </si>
  <si>
    <t>Total Assets</t>
  </si>
  <si>
    <t>Segment Liabilities</t>
  </si>
  <si>
    <t>Total Liabilities</t>
  </si>
  <si>
    <t>Total Capital Employed</t>
  </si>
  <si>
    <t>Trade Payables</t>
  </si>
  <si>
    <t>ASSETS</t>
  </si>
  <si>
    <t>Non - Current Assets</t>
  </si>
  <si>
    <t>PreProducing Properties</t>
  </si>
  <si>
    <t>Capital Work in Progress</t>
  </si>
  <si>
    <t>Capital Work-In-Progress</t>
  </si>
  <si>
    <t>Right to Use Assets</t>
  </si>
  <si>
    <t>Right-of-use asset</t>
  </si>
  <si>
    <t>Financial Assets</t>
  </si>
  <si>
    <t>Investments</t>
  </si>
  <si>
    <t>Non-Current Investments</t>
  </si>
  <si>
    <t>Loans</t>
  </si>
  <si>
    <t>Loans Non-Current</t>
  </si>
  <si>
    <t>Other Non - current Assets</t>
  </si>
  <si>
    <t>Other Non-Current Assets</t>
  </si>
  <si>
    <t>Total Non Current Assets</t>
  </si>
  <si>
    <t>Total Non-Current Assets</t>
  </si>
  <si>
    <t>Current Assets</t>
  </si>
  <si>
    <t>Inventories</t>
  </si>
  <si>
    <t>Unbilled Revenue</t>
  </si>
  <si>
    <t>Cash And Cash Equivalents</t>
  </si>
  <si>
    <t>Bank balance other than cash and cash equivalents</t>
  </si>
  <si>
    <t>Current tax assets ( net )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</si>
  <si>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</si>
  <si>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</si>
  <si>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</si>
  <si>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</si>
  <si>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</si>
  <si>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</si>
  <si>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Minority Interest</t>
  </si>
  <si>
    <t>Total Equity</t>
  </si>
  <si>
    <t>Total Share Holder's Funds</t>
  </si>
  <si>
    <t>Liabilities</t>
  </si>
  <si>
    <t>Non Current Liabilities</t>
  </si>
  <si>
    <t>Financial Liabilities</t>
  </si>
  <si>
    <t>Long Term Borrowings</t>
  </si>
  <si>
    <t>Borrowings</t>
  </si>
  <si>
    <t>Provisions</t>
  </si>
  <si>
    <t>Long-Term Provisions</t>
  </si>
  <si>
    <t>Deferred Tax Liabilities</t>
  </si>
  <si>
    <t>Deferred Tax Liability (Net)</t>
  </si>
  <si>
    <t>Other Non - Current Liabilities</t>
  </si>
  <si>
    <t>Other Non-Current Liabilities</t>
  </si>
  <si>
    <t>Total Non Current Liabilities</t>
  </si>
  <si>
    <t>Total Non-Current Liabilities</t>
  </si>
  <si>
    <t>Current Liabilities</t>
  </si>
  <si>
    <t>Lease Liabilities</t>
  </si>
  <si>
    <t>Lease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</si>
  <si>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</si>
  <si>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</si>
  <si>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</si>
  <si>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</si>
  <si>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</si>
  <si>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EQUITY AND LIABILITIES</t>
  </si>
  <si>
    <t>Total Equity And Liabilities</t>
  </si>
  <si>
    <t>Other Adjustments</t>
  </si>
  <si>
    <t>CASH FLOW FROM OPERATING ACTIVITIES</t>
  </si>
  <si>
    <t>Net Profit/(Loss ) Before Tax</t>
  </si>
  <si>
    <t>Net Profit Before Tax And Exceptional Item</t>
  </si>
  <si>
    <t>Adjustments for :</t>
  </si>
  <si>
    <t>Depreciation</t>
  </si>
  <si>
    <t>Depreciation and Amortisation Expense</t>
  </si>
  <si>
    <t>Expense on Employee Stock Option Scheme ( ESOP )</t>
  </si>
  <si>
    <t>Employees Stock Options Grants</t>
  </si>
  <si>
    <t>( Profit ) / Loss on disposal of Property</t>
  </si>
  <si>
    <t>Profit On Sale Of Fixed Assets</t>
  </si>
  <si>
    <t>( Profit ) / Loss on sale of share or investment</t>
  </si>
  <si>
    <t>Profit On Sale Of Investments</t>
  </si>
  <si>
    <t>Interest / Dividend Income</t>
  </si>
  <si>
    <t>Dividend Received</t>
  </si>
  <si>
    <t>Interest &amp; Financial Charges</t>
  </si>
  <si>
    <t>Interest Expense</t>
  </si>
  <si>
    <t>Operating Profit Before Working Capital Changes</t>
  </si>
  <si>
    <t>Change in operating assets and liabilities</t>
  </si>
  <si>
    <t>( Increase)/Decrease in Non - current / current financial and other assets</t>
  </si>
  <si>
    <t>Other Current and Non Current Assets</t>
  </si>
  <si>
    <t>( Increase)/Decrease in Inventories</t>
  </si>
  <si>
    <t>Increase/(Decrease ) in Non - current / current financial and other liabilities / provisions</t>
  </si>
  <si>
    <t>Other Current and Non Current Liabilities</t>
  </si>
  <si>
    <t>Cash Generated from Operations</t>
  </si>
  <si>
    <t>Cash Generated From Operations</t>
  </si>
  <si>
    <t>Direct Taxes ( Paid)/ Net of Refunds</t>
  </si>
  <si>
    <t>Income Tax Paid</t>
  </si>
  <si>
    <t>Net cash inflow ( outflow ) from operating activities</t>
  </si>
  <si>
    <t>Net Cash Flow From Operating Activities</t>
  </si>
  <si>
    <t>CASH FLOW FROM INVESTING ACTIVITIES :</t>
  </si>
  <si>
    <t>Purchase of investment property</t>
  </si>
  <si>
    <t>Right to Use Account</t>
  </si>
  <si>
    <t>( Increase)/Decrease on Fixed Deposits</t>
  </si>
  <si>
    <t>Fixed Deposits</t>
  </si>
  <si>
    <t>( Increase)/Decrease on Current Investment</t>
  </si>
  <si>
    <t>Others-From Operations</t>
  </si>
  <si>
    <t>( Increase)/Decrease on Investment in Subsidiaries</t>
  </si>
  <si>
    <t>Investment In Subsidiaries</t>
  </si>
  <si>
    <t>( Increase)/Decrease on Investment in Other Companies</t>
  </si>
  <si>
    <t>Loan to related party and others</t>
  </si>
  <si>
    <t>Repayment Of Long Term Borrowings</t>
  </si>
  <si>
    <t>Proceeds from sales of investment property</t>
  </si>
  <si>
    <t>Interest / Dividend Received</t>
  </si>
  <si>
    <t>Interest Received</t>
  </si>
  <si>
    <t>( Increase)/Decrease in Capital WIP</t>
  </si>
  <si>
    <t>Purchase of intangible assets under development</t>
  </si>
  <si>
    <t>Net cash inflow ( outflow ) from investing activities</t>
  </si>
  <si>
    <t>Net Cash Flow From Investing Activities</t>
  </si>
  <si>
    <t>CASH FLOW FROM FINANCING ACTIVITIES :</t>
  </si>
  <si>
    <t>Proceeds/(Repayment ) from Long term borrowing ( Net )</t>
  </si>
  <si>
    <t>Proceeds From Long Term Borrowings</t>
  </si>
  <si>
    <t>Proceeds/(Repayment ) from Short term borrowing ( Net )</t>
  </si>
  <si>
    <t>Proceeds From Short Term Borrowings</t>
  </si>
  <si>
    <t>Proceeds from issue of Shares ( including Share warrant and ESOP )</t>
  </si>
  <si>
    <t>Proceeds From Issue Of Equity Shares (Inclu Share Premium)</t>
  </si>
  <si>
    <t>Proceeds from issue of Share warrant money</t>
  </si>
  <si>
    <t>Proeeds From Issue Of Share Warrants</t>
  </si>
  <si>
    <t>Dividend Paid</t>
  </si>
  <si>
    <t>Net cash inflow / ( outflow ) from financing activities</t>
  </si>
  <si>
    <t>Net Cash Flow From Financing Activities</t>
  </si>
  <si>
    <t>Net Increase / ( Decrease ) in Cash &amp; Cash Equivalents</t>
  </si>
  <si>
    <t>Net increase (decrease) in cash and cash equivalents before effect of exchange rate changes</t>
  </si>
  <si>
    <t>Cash &amp; Cash Equivalents as at the beginning of half year</t>
  </si>
  <si>
    <t>Cash and Cash Equivalents at the Beginning of the Year</t>
  </si>
  <si>
    <t>Cash &amp; Cash Equivalents as at the end of half year</t>
  </si>
  <si>
    <t>Cash and Cash Equivalents at the End of the Year</t>
  </si>
  <si>
    <t>Components of Cash and Cash equivalents</t>
  </si>
  <si>
    <t>Cash on Hand</t>
  </si>
  <si>
    <t>Balance with Schedule Bank in : Current account</t>
  </si>
  <si>
    <t>Ignore This Field</t>
  </si>
  <si>
    <t>Total cash and Cash Equivalents</t>
  </si>
  <si>
    <t>Total Field</t>
  </si>
  <si>
    <t>Income</t>
  </si>
  <si>
    <t>Revenue from Operations</t>
  </si>
  <si>
    <t>Gross Sales/ Income from operation</t>
  </si>
  <si>
    <t>Other operating revenues</t>
  </si>
  <si>
    <t>Other Operating Income</t>
  </si>
  <si>
    <t>Other Income</t>
  </si>
  <si>
    <t>Miscellaneous Income</t>
  </si>
  <si>
    <t>Expenses</t>
  </si>
  <si>
    <t>Cost of Materials Consumed</t>
  </si>
  <si>
    <t>Purchase of traded goods</t>
  </si>
  <si>
    <t>Purchase of Stock-in-Trade</t>
  </si>
  <si>
    <t>Employees Benefit Expenses</t>
  </si>
  <si>
    <t>Employee Benefit Expense</t>
  </si>
  <si>
    <t>Finance Costs</t>
  </si>
  <si>
    <t>Depreciation, Depletion and Amortisation Expense</t>
  </si>
  <si>
    <t>Other Expenses</t>
  </si>
  <si>
    <t>Profit before tax</t>
  </si>
  <si>
    <t>Profit/(Loss) from Ordinary Activities after Finance Costs but before Exceptional Items</t>
  </si>
  <si>
    <t>Tax Expense</t>
  </si>
  <si>
    <t>Current Tax</t>
  </si>
  <si>
    <t>Deferred Tax</t>
  </si>
  <si>
    <t>Profit after tax</t>
  </si>
  <si>
    <t>Profit after tax attributable to :</t>
  </si>
  <si>
    <t>Profit (Loss) Attributable To [Total]</t>
  </si>
  <si>
    <t>Shareholders of the Company</t>
  </si>
  <si>
    <t>Owners of the company</t>
  </si>
  <si>
    <t>Non - controlling interests</t>
  </si>
  <si>
    <t>Non-Controlling Interests</t>
  </si>
  <si>
    <t>Other Comprehensive Income</t>
  </si>
  <si>
    <t>Item that will not be reclassified to profit or loss</t>
  </si>
  <si>
    <t>Income tax effect on above</t>
  </si>
  <si>
    <t>Income Tax related to items that will not be reclassified to Profit or Loss</t>
  </si>
  <si>
    <t>Item that will be reclassified to profit or loss</t>
  </si>
  <si>
    <t>Items that will be reclassified to Profit or Loss</t>
  </si>
  <si>
    <t>Total Comprehensive Income</t>
  </si>
  <si>
    <t>Total Comprehensive Income Attributable To</t>
  </si>
  <si>
    <t>MDO Operation and related services</t>
  </si>
  <si>
    <t>Capital Employed ( Including NCI )</t>
  </si>
  <si>
    <t>Non - current assets</t>
  </si>
  <si>
    <t>Right - of - use assets</t>
  </si>
  <si>
    <t>Capital work - in - progress</t>
  </si>
  <si>
    <t>Goodwill on consolidation</t>
  </si>
  <si>
    <t>Consolidated Field. Please Ignore</t>
  </si>
  <si>
    <t>Financial assets</t>
  </si>
  <si>
    <t>Investment</t>
  </si>
  <si>
    <t>Non - Current tax assets ( net )</t>
  </si>
  <si>
    <t>Income Tax assets (net)</t>
  </si>
  <si>
    <t>Other non - current assets</t>
  </si>
  <si>
    <t>Total non - current assets</t>
  </si>
  <si>
    <t>Current assets</t>
  </si>
  <si>
    <t>Trade receivables</t>
  </si>
  <si>
    <t>Trade Receivables</t>
  </si>
  <si>
    <t>Cash and cash equivalents</t>
  </si>
  <si>
    <t>Others</t>
  </si>
  <si>
    <t>Other Non-Current Financial Assets</t>
  </si>
  <si>
    <t>Other current assets</t>
  </si>
  <si>
    <t>Total current assets</t>
  </si>
  <si>
    <t>Total assets</t>
  </si>
  <si>
    <t>Equity share capital</t>
  </si>
  <si>
    <t>Share Capital</t>
  </si>
  <si>
    <t>Other equity</t>
  </si>
  <si>
    <t>Reserves And Surplus/Other Equity</t>
  </si>
  <si>
    <t>Equity attributable to the owners of the company</t>
  </si>
  <si>
    <t>Non controlling Interest</t>
  </si>
  <si>
    <t>Total equity</t>
  </si>
  <si>
    <t>Non - current liabilities</t>
  </si>
  <si>
    <t>Financial liabilities</t>
  </si>
  <si>
    <t>Other non - current liabilities</t>
  </si>
  <si>
    <t>Deferred tax liabilities ( net )</t>
  </si>
  <si>
    <t>Total non - current liabilities</t>
  </si>
  <si>
    <t>Current liabilities</t>
  </si>
  <si>
    <t>Trade payables</t>
  </si>
  <si>
    <t>Other financial liabilities</t>
  </si>
  <si>
    <t>Other Non Current Financial Liabilities</t>
  </si>
  <si>
    <t>Current tax liabilities ( net )</t>
  </si>
  <si>
    <t>Total current liabilities</t>
  </si>
  <si>
    <t>Total equity and liabilities</t>
  </si>
  <si>
    <t>Cash flows from operating activities</t>
  </si>
  <si>
    <t>Profit before tax from continuing operations ( after exceptional item before tax )</t>
  </si>
  <si>
    <t>Depreciation and amortisation expense</t>
  </si>
  <si>
    <t>Profit / Loss on sale of share or investment</t>
  </si>
  <si>
    <t>Investment Income</t>
  </si>
  <si>
    <t>Interest / Dividend income</t>
  </si>
  <si>
    <t>Liabilities / provisions no longer required written back</t>
  </si>
  <si>
    <t>Other Provisions Written Off</t>
  </si>
  <si>
    <t>Mark to Market Loss on Derivative Financial Instrument</t>
  </si>
  <si>
    <t>Others-Investing Activities</t>
  </si>
  <si>
    <t>Advances written off</t>
  </si>
  <si>
    <t>Effect of changes in exchange rates</t>
  </si>
  <si>
    <t>Effect of Exchange Fluctuation Translation Reserve</t>
  </si>
  <si>
    <t>Operating profit before working capital changes</t>
  </si>
  <si>
    <t>Movements in working capital :</t>
  </si>
  <si>
    <t>Cash generated from operations</t>
  </si>
  <si>
    <t>Income taxes paid</t>
  </si>
  <si>
    <t>Net cash generated by / ( used in ) operating activities</t>
  </si>
  <si>
    <t>Cash flows from investing activities</t>
  </si>
  <si>
    <t>Interest / Dividend received</t>
  </si>
  <si>
    <t>Loans made to Related parties and others</t>
  </si>
  <si>
    <t>Others-Before Working Capital Changes</t>
  </si>
  <si>
    <t>Net cash outflow on acquisition of investments in Subsidiaries</t>
  </si>
  <si>
    <t>Investment in others</t>
  </si>
  <si>
    <t>Others-Financing Activities</t>
  </si>
  <si>
    <t>Net cash ( used in ) by investing activities</t>
  </si>
  <si>
    <t>Cash flows from financing activities</t>
  </si>
  <si>
    <t>Proceeds from issue of Shares</t>
  </si>
  <si>
    <t>Proceeds/(Repayment ) from Long Term Borrowings ( net )</t>
  </si>
  <si>
    <t>Proceeds/ ( Repayment ) from Short Term Borrowings ( net )</t>
  </si>
  <si>
    <t>Changes in non - controlling interest</t>
  </si>
  <si>
    <t>Net cash generated by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</si>
  <si>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</si>
  <si>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</si>
  <si>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</si>
  <si>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on acquisition of subsidiary</t>
  </si>
  <si>
    <t>Cash &amp; Cash Equivalents as at the end of period</t>
  </si>
  <si>
    <t>Net Increase/ ( Decrease ) in Cash &amp; Cash Equivalents</t>
  </si>
  <si>
    <t xml:space="preserve">Change in Inventories of Finished Goods , WIP and Stock-In-Trade </t>
  </si>
  <si>
    <t>Mining, Royalty and Freight Expenses</t>
  </si>
  <si>
    <t>Tax Expenses</t>
  </si>
  <si>
    <t>Other Comprehensive income</t>
  </si>
  <si>
    <t>Item that will be reclasified to profit or loss</t>
  </si>
  <si>
    <t>Paid Up Equity Share Capital (Face Value of Re. 1 /- each)</t>
  </si>
  <si>
    <t>Capital Employed ( Including Goodwill ) (Segment Assets - Segment Liabilities )</t>
  </si>
  <si>
    <t>Property, Plant and Equipment</t>
  </si>
  <si>
    <t>Cash and Cash Equivalent</t>
  </si>
  <si>
    <t>Bank Balances Other thanabove</t>
  </si>
  <si>
    <t>Equity Share Capital</t>
  </si>
  <si>
    <t xml:space="preserve">Trade Payables </t>
  </si>
  <si>
    <t>total outstanding dues of micro enterprises and small enterprises ; and</t>
  </si>
  <si>
    <t>total outstanding dues of creditors other than micro enterprises and small enterprises</t>
  </si>
  <si>
    <t>(Increase/(Decrease ) in Non - current / current financial and other liabilities / provisions</t>
  </si>
  <si>
    <t>Purchase of Property, Plant &amp; Equipment</t>
  </si>
  <si>
    <t>Sale of Property, Plant &amp; Equipment</t>
  </si>
  <si>
    <t>Change in Inventories of Finished Goods, WJP and Stock-In-Trade</t>
  </si>
  <si>
    <t>Paid Up Equity Share Capital (Face Value of Re. 1 /. each)</t>
  </si>
  <si>
    <t>Property, plant and eq uipment</t>
  </si>
  <si>
    <t>Bank balances other thanabove</t>
  </si>
  <si>
    <t>Total outstanding dues of micro and small enterprises</t>
  </si>
  <si>
    <t>Total outstanding dues of creditors other than micro and small enterprises</t>
  </si>
  <si>
    <t>ProfiULoss on disposal of property, plant and equipment</t>
  </si>
  <si>
    <t>Loss on plant, property, equipment written off</t>
  </si>
  <si>
    <t>Status</t>
  </si>
  <si>
    <t>Correct Field Mapping</t>
  </si>
  <si>
    <t>Field id</t>
  </si>
  <si>
    <t>Correct</t>
  </si>
  <si>
    <t>Incorrect</t>
  </si>
  <si>
    <t>Accuracy %</t>
  </si>
  <si>
    <t>Freight &amp; Handling Expenses</t>
  </si>
  <si>
    <t>Profit/(Loss) From Ordinary Activities before Tax</t>
  </si>
  <si>
    <t>Items that will not be reclassified to Profit or Loss</t>
  </si>
  <si>
    <t>Income Tax related to items that will be reclassified to Profit or Loss</t>
  </si>
  <si>
    <t>This Field is wrongly captured twice</t>
  </si>
  <si>
    <t>Total Comprehensive Income Attributable To:</t>
  </si>
  <si>
    <t>This field was not captured, added manually</t>
  </si>
  <si>
    <t>Property, Plant &amp; Equipment</t>
  </si>
  <si>
    <t>Current Investments</t>
  </si>
  <si>
    <t>Loans, Current</t>
  </si>
  <si>
    <t>Short-Term Provisions</t>
  </si>
  <si>
    <t>Goodwill On Consolidation</t>
  </si>
  <si>
    <t>Other Current Financial Assets</t>
  </si>
  <si>
    <t>Other Current Financial Liabilities</t>
  </si>
  <si>
    <t>Capital Work In Progress</t>
  </si>
  <si>
    <t>Interest Paid</t>
  </si>
  <si>
    <t>Ignore this field</t>
  </si>
  <si>
    <t>Purchase Of Fixed Assets (Tangible / Intangible)</t>
  </si>
  <si>
    <t>Sale Of Investments</t>
  </si>
  <si>
    <t>Cash Advances and Loans Made to Other Parties</t>
  </si>
  <si>
    <t>Sale Of Fixed Assets (Tangible / Intangible)</t>
  </si>
  <si>
    <t>Loss On Sale Of Investments</t>
  </si>
  <si>
    <t>Impairment loss / (Reversal of Impairment Loss)</t>
  </si>
  <si>
    <t>Miscellaneous Expenditure Written Off</t>
  </si>
  <si>
    <t>Other cash payments to acquire equity or debt instruments of other entities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</si>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</sst>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3" borderId="0" xfId="0" applyFill="1"/>
    <xf numFmtId="0" fontId="0" fillId="0" borderId="1" xfId="0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3" borderId="1" xfId="0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A7" workbookViewId="0">
      <selection activeCell="B24" sqref="B24"/>
    </sheetView>
  </sheetViews>
  <sheetFormatPr defaultRowHeight="15" x14ac:dyDescent="0.25"/>
  <cols>
    <col min="1" max="1" width="60.7109375" bestFit="1" customWidth="1"/>
    <col min="2" max="2" width="63" customWidth="1"/>
    <col min="3" max="3" width="8.85546875" bestFit="1" customWidth="1"/>
    <col min="4" max="4" width="45.85546875" customWidth="1"/>
    <col min="5" max="5" width="7.5703125" bestFit="1" customWidth="1"/>
    <col min="7" max="7" width="14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8</v>
      </c>
    </row>
    <row r="2" spans="1:8" x14ac:dyDescent="0.25">
      <c r="A2" s="11" t="s">
        <v>163</v>
      </c>
      <c r="B2" s="11" t="s">
        <v>3</v>
      </c>
      <c r="C2" s="11" t="s">
        <v>307</v>
      </c>
      <c r="D2" s="11" t="s">
        <v>12</v>
      </c>
      <c r="E2" s="11"/>
      <c r="G2" s="6" t="s">
        <v>307</v>
      </c>
      <c r="H2" s="7">
        <f>COUNTIF(C:C,G2)</f>
        <v>28</v>
      </c>
    </row>
    <row r="3" spans="1:8" ht="15.75" thickBot="1" x14ac:dyDescent="0.3">
      <c r="A3" s="11" t="s">
        <v>164</v>
      </c>
      <c r="B3" s="11"/>
      <c r="C3" s="11" t="s">
        <v>307</v>
      </c>
      <c r="D3" s="11" t="s">
        <v>12</v>
      </c>
      <c r="E3" s="11"/>
      <c r="G3" s="8" t="s">
        <v>308</v>
      </c>
      <c r="H3" s="9">
        <f>H1/SUM(H1:H2)</f>
        <v>0.22222222222222221</v>
      </c>
    </row>
    <row r="4" spans="1:8" x14ac:dyDescent="0.25">
      <c r="A4" s="11" t="s">
        <v>165</v>
      </c>
      <c r="B4" s="11"/>
      <c r="C4" s="11" t="s">
        <v>307</v>
      </c>
      <c r="D4" s="11" t="s">
        <v>3</v>
      </c>
      <c r="E4" s="11">
        <v>256</v>
      </c>
    </row>
    <row r="5" spans="1:8" x14ac:dyDescent="0.25">
      <c r="A5" s="11" t="s">
        <v>166</v>
      </c>
      <c r="B5" s="11"/>
      <c r="C5" s="11" t="s">
        <v>307</v>
      </c>
      <c r="D5" s="11" t="s">
        <v>167</v>
      </c>
      <c r="E5" s="11">
        <v>281</v>
      </c>
    </row>
    <row r="6" spans="1:8" x14ac:dyDescent="0.25">
      <c r="A6" s="11" t="s">
        <v>168</v>
      </c>
      <c r="B6" s="11"/>
      <c r="C6" s="11" t="s">
        <v>307</v>
      </c>
      <c r="D6" s="11" t="s">
        <v>169</v>
      </c>
      <c r="E6" s="11">
        <v>265</v>
      </c>
    </row>
    <row r="7" spans="1:8" x14ac:dyDescent="0.25">
      <c r="A7" s="11" t="s">
        <v>4</v>
      </c>
      <c r="B7" s="11" t="s">
        <v>4</v>
      </c>
      <c r="C7" s="11" t="s">
        <v>306</v>
      </c>
      <c r="D7" s="11"/>
      <c r="E7" s="11"/>
    </row>
    <row r="8" spans="1:8" x14ac:dyDescent="0.25">
      <c r="A8" s="11" t="s">
        <v>170</v>
      </c>
      <c r="B8" s="11" t="s">
        <v>5</v>
      </c>
      <c r="C8" s="11" t="s">
        <v>307</v>
      </c>
      <c r="D8" s="11" t="s">
        <v>12</v>
      </c>
      <c r="E8" s="11"/>
    </row>
    <row r="9" spans="1:8" x14ac:dyDescent="0.25">
      <c r="A9" s="11" t="s">
        <v>171</v>
      </c>
      <c r="B9" s="11"/>
      <c r="C9" s="11" t="s">
        <v>307</v>
      </c>
      <c r="D9" s="11" t="s">
        <v>171</v>
      </c>
      <c r="E9" s="11">
        <v>230</v>
      </c>
    </row>
    <row r="10" spans="1:8" x14ac:dyDescent="0.25">
      <c r="A10" s="11" t="s">
        <v>172</v>
      </c>
      <c r="B10" s="11" t="s">
        <v>5</v>
      </c>
      <c r="C10" s="11" t="s">
        <v>307</v>
      </c>
      <c r="D10" s="11" t="s">
        <v>173</v>
      </c>
      <c r="E10" s="11">
        <v>307</v>
      </c>
    </row>
    <row r="11" spans="1:8" x14ac:dyDescent="0.25">
      <c r="A11" s="11" t="s">
        <v>278</v>
      </c>
      <c r="B11" s="11" t="s">
        <v>5</v>
      </c>
      <c r="C11" s="11" t="s">
        <v>306</v>
      </c>
      <c r="D11" s="11"/>
      <c r="E11" s="11"/>
    </row>
    <row r="12" spans="1:8" x14ac:dyDescent="0.25">
      <c r="A12" s="11" t="s">
        <v>174</v>
      </c>
      <c r="B12" s="11"/>
      <c r="C12" s="11" t="s">
        <v>307</v>
      </c>
      <c r="D12" s="11" t="s">
        <v>175</v>
      </c>
      <c r="E12" s="11">
        <v>238</v>
      </c>
    </row>
    <row r="13" spans="1:8" x14ac:dyDescent="0.25">
      <c r="A13" s="11" t="s">
        <v>176</v>
      </c>
      <c r="B13" s="11"/>
      <c r="C13" s="11" t="s">
        <v>307</v>
      </c>
      <c r="D13" s="11" t="s">
        <v>176</v>
      </c>
      <c r="E13" s="11">
        <v>246</v>
      </c>
    </row>
    <row r="14" spans="1:8" x14ac:dyDescent="0.25">
      <c r="A14" s="11" t="s">
        <v>95</v>
      </c>
      <c r="B14" s="11"/>
      <c r="C14" s="11" t="s">
        <v>307</v>
      </c>
      <c r="D14" s="11" t="s">
        <v>177</v>
      </c>
      <c r="E14" s="11">
        <v>232</v>
      </c>
    </row>
    <row r="15" spans="1:8" x14ac:dyDescent="0.25">
      <c r="A15" s="11" t="s">
        <v>279</v>
      </c>
      <c r="B15" s="11"/>
      <c r="C15" s="11" t="s">
        <v>307</v>
      </c>
      <c r="D15" s="11" t="s">
        <v>309</v>
      </c>
      <c r="E15" s="11">
        <v>248</v>
      </c>
    </row>
    <row r="16" spans="1:8" x14ac:dyDescent="0.25">
      <c r="A16" s="11" t="s">
        <v>178</v>
      </c>
      <c r="B16" s="11"/>
      <c r="C16" s="11" t="s">
        <v>307</v>
      </c>
      <c r="D16" s="11" t="s">
        <v>178</v>
      </c>
      <c r="E16" s="11">
        <v>279</v>
      </c>
    </row>
    <row r="17" spans="1:5" x14ac:dyDescent="0.25">
      <c r="A17" s="11" t="s">
        <v>6</v>
      </c>
      <c r="B17" s="11" t="s">
        <v>6</v>
      </c>
      <c r="C17" s="11" t="s">
        <v>306</v>
      </c>
      <c r="D17" s="11"/>
      <c r="E17" s="11"/>
    </row>
    <row r="18" spans="1:5" x14ac:dyDescent="0.25">
      <c r="A18" s="11" t="s">
        <v>179</v>
      </c>
      <c r="B18" s="11" t="s">
        <v>7</v>
      </c>
      <c r="C18" s="11" t="s">
        <v>307</v>
      </c>
      <c r="D18" s="11" t="s">
        <v>310</v>
      </c>
      <c r="E18" s="11">
        <v>296</v>
      </c>
    </row>
    <row r="19" spans="1:5" x14ac:dyDescent="0.25">
      <c r="A19" s="11" t="s">
        <v>280</v>
      </c>
      <c r="B19" s="11"/>
      <c r="C19" s="11" t="s">
        <v>307</v>
      </c>
      <c r="D19" s="11" t="s">
        <v>12</v>
      </c>
      <c r="E19" s="11"/>
    </row>
    <row r="20" spans="1:5" x14ac:dyDescent="0.25">
      <c r="A20" s="11" t="s">
        <v>182</v>
      </c>
      <c r="B20" s="11"/>
      <c r="C20" s="11" t="s">
        <v>307</v>
      </c>
      <c r="D20" s="11" t="s">
        <v>181</v>
      </c>
      <c r="E20" s="11">
        <v>318</v>
      </c>
    </row>
    <row r="21" spans="1:5" x14ac:dyDescent="0.25">
      <c r="A21" s="11" t="s">
        <v>183</v>
      </c>
      <c r="B21" s="11"/>
      <c r="C21" s="11" t="s">
        <v>307</v>
      </c>
      <c r="D21" s="11" t="s">
        <v>183</v>
      </c>
      <c r="E21" s="11">
        <v>231</v>
      </c>
    </row>
    <row r="22" spans="1:5" x14ac:dyDescent="0.25">
      <c r="A22" s="12" t="s">
        <v>179</v>
      </c>
      <c r="B22" s="12" t="s">
        <v>7</v>
      </c>
      <c r="C22" s="12" t="s">
        <v>307</v>
      </c>
      <c r="D22" s="12" t="s">
        <v>313</v>
      </c>
      <c r="E22" s="12"/>
    </row>
    <row r="23" spans="1:5" x14ac:dyDescent="0.25">
      <c r="A23" s="12" t="s">
        <v>280</v>
      </c>
      <c r="B23" s="12"/>
      <c r="C23" s="12" t="s">
        <v>307</v>
      </c>
      <c r="D23" s="12" t="s">
        <v>313</v>
      </c>
      <c r="E23" s="12"/>
    </row>
    <row r="24" spans="1:5" x14ac:dyDescent="0.25">
      <c r="A24" s="12" t="s">
        <v>182</v>
      </c>
      <c r="B24" s="12"/>
      <c r="C24" s="12" t="s">
        <v>307</v>
      </c>
      <c r="D24" s="12" t="s">
        <v>313</v>
      </c>
      <c r="E24" s="12"/>
    </row>
    <row r="25" spans="1:5" x14ac:dyDescent="0.25">
      <c r="A25" s="12" t="s">
        <v>183</v>
      </c>
      <c r="B25" s="12"/>
      <c r="C25" s="12" t="s">
        <v>307</v>
      </c>
      <c r="D25" s="12" t="s">
        <v>313</v>
      </c>
      <c r="E25" s="12"/>
    </row>
    <row r="26" spans="1:5" x14ac:dyDescent="0.25">
      <c r="A26" s="11" t="s">
        <v>184</v>
      </c>
      <c r="B26" s="11" t="s">
        <v>8</v>
      </c>
      <c r="C26" s="11" t="s">
        <v>307</v>
      </c>
      <c r="D26" s="11" t="s">
        <v>7</v>
      </c>
      <c r="E26" s="15">
        <v>269</v>
      </c>
    </row>
    <row r="27" spans="1:5" x14ac:dyDescent="0.25">
      <c r="A27" s="11" t="s">
        <v>281</v>
      </c>
      <c r="B27" s="11" t="s">
        <v>8</v>
      </c>
      <c r="C27" s="11" t="s">
        <v>307</v>
      </c>
      <c r="D27" s="11" t="s">
        <v>12</v>
      </c>
      <c r="E27" s="11"/>
    </row>
    <row r="28" spans="1:5" x14ac:dyDescent="0.25">
      <c r="A28" s="11" t="s">
        <v>192</v>
      </c>
      <c r="B28" s="11" t="s">
        <v>8</v>
      </c>
      <c r="C28" s="11" t="s">
        <v>307</v>
      </c>
      <c r="D28" s="11" t="s">
        <v>311</v>
      </c>
      <c r="E28" s="11">
        <v>22293</v>
      </c>
    </row>
    <row r="29" spans="1:5" x14ac:dyDescent="0.25">
      <c r="A29" s="11" t="s">
        <v>193</v>
      </c>
      <c r="B29" s="11" t="s">
        <v>8</v>
      </c>
      <c r="C29" s="11" t="s">
        <v>307</v>
      </c>
      <c r="D29" s="11" t="s">
        <v>194</v>
      </c>
      <c r="E29" s="11">
        <v>22295</v>
      </c>
    </row>
    <row r="30" spans="1:5" x14ac:dyDescent="0.25">
      <c r="A30" s="11" t="s">
        <v>282</v>
      </c>
      <c r="B30" s="11" t="s">
        <v>8</v>
      </c>
      <c r="C30" s="11" t="s">
        <v>307</v>
      </c>
      <c r="D30" s="11" t="s">
        <v>196</v>
      </c>
      <c r="E30" s="11">
        <v>22294</v>
      </c>
    </row>
    <row r="31" spans="1:5" x14ac:dyDescent="0.25">
      <c r="A31" s="11" t="s">
        <v>193</v>
      </c>
      <c r="B31" s="11" t="s">
        <v>8</v>
      </c>
      <c r="C31" s="11" t="s">
        <v>307</v>
      </c>
      <c r="D31" s="11" t="s">
        <v>312</v>
      </c>
      <c r="E31" s="11">
        <v>22296</v>
      </c>
    </row>
    <row r="32" spans="1:5" x14ac:dyDescent="0.25">
      <c r="A32" s="11" t="s">
        <v>197</v>
      </c>
      <c r="B32" s="11" t="s">
        <v>8</v>
      </c>
      <c r="C32" s="11" t="s">
        <v>307</v>
      </c>
      <c r="D32" s="11" t="s">
        <v>191</v>
      </c>
      <c r="E32" s="11">
        <v>16484</v>
      </c>
    </row>
    <row r="33" spans="1:5" x14ac:dyDescent="0.25">
      <c r="A33" s="11" t="s">
        <v>283</v>
      </c>
      <c r="B33" s="11" t="s">
        <v>2</v>
      </c>
      <c r="C33" s="11" t="s">
        <v>306</v>
      </c>
      <c r="D33" s="11"/>
      <c r="E33" s="11"/>
    </row>
    <row r="34" spans="1:5" x14ac:dyDescent="0.25">
      <c r="A34" s="11" t="s">
        <v>9</v>
      </c>
      <c r="B34" s="11" t="s">
        <v>10</v>
      </c>
      <c r="C34" s="11" t="s">
        <v>306</v>
      </c>
      <c r="D34" s="11"/>
      <c r="E34" s="11"/>
    </row>
    <row r="35" spans="1:5" x14ac:dyDescent="0.25">
      <c r="A35" s="11" t="s">
        <v>11</v>
      </c>
      <c r="B35" s="11" t="s">
        <v>12</v>
      </c>
      <c r="C35" s="11" t="s">
        <v>306</v>
      </c>
      <c r="D35" s="11"/>
      <c r="E35" s="11"/>
    </row>
    <row r="36" spans="1:5" x14ac:dyDescent="0.25">
      <c r="A36" s="11" t="s">
        <v>13</v>
      </c>
      <c r="B36" s="11" t="s">
        <v>14</v>
      </c>
      <c r="C36" s="11" t="s">
        <v>306</v>
      </c>
      <c r="D36" s="11"/>
      <c r="E36" s="11"/>
    </row>
    <row r="37" spans="1:5" x14ac:dyDescent="0.25">
      <c r="A37" s="11" t="s">
        <v>15</v>
      </c>
      <c r="B37" s="11" t="s">
        <v>16</v>
      </c>
      <c r="C37" s="11" t="s">
        <v>306</v>
      </c>
      <c r="D37" s="11"/>
      <c r="E37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topLeftCell="A27" workbookViewId="0">
      <selection activeCell="B2" sqref="B2"/>
    </sheetView>
  </sheetViews>
  <sheetFormatPr defaultRowHeight="15" x14ac:dyDescent="0.25"/>
  <cols>
    <col min="1" max="1" width="60" bestFit="1" customWidth="1"/>
    <col min="2" max="2" width="62.7109375" customWidth="1"/>
    <col min="4" max="4" width="26.7109375" bestFit="1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31</v>
      </c>
    </row>
    <row r="2" spans="1:8" x14ac:dyDescent="0.25">
      <c r="A2" s="11" t="s">
        <v>163</v>
      </c>
      <c r="B2" s="11" t="s">
        <v>12</v>
      </c>
      <c r="C2" s="11" t="s">
        <v>306</v>
      </c>
      <c r="D2" s="11"/>
      <c r="E2" s="11"/>
      <c r="G2" s="6" t="s">
        <v>307</v>
      </c>
      <c r="H2" s="7">
        <f>COUNTIF(C:C,G2)</f>
        <v>7</v>
      </c>
    </row>
    <row r="3" spans="1:8" ht="15.75" thickBot="1" x14ac:dyDescent="0.3">
      <c r="A3" s="11" t="s">
        <v>164</v>
      </c>
      <c r="B3" s="11" t="s">
        <v>3</v>
      </c>
      <c r="C3" s="11" t="s">
        <v>307</v>
      </c>
      <c r="D3" s="11" t="s">
        <v>12</v>
      </c>
      <c r="E3" s="11"/>
      <c r="G3" s="8" t="s">
        <v>308</v>
      </c>
      <c r="H3" s="9">
        <f>H1/SUM(H1:H2)</f>
        <v>0.81578947368421051</v>
      </c>
    </row>
    <row r="4" spans="1:8" x14ac:dyDescent="0.25">
      <c r="A4" s="11" t="s">
        <v>165</v>
      </c>
      <c r="B4" s="11" t="s">
        <v>3</v>
      </c>
      <c r="C4" s="11" t="s">
        <v>306</v>
      </c>
      <c r="D4" s="11"/>
      <c r="E4" s="11"/>
    </row>
    <row r="5" spans="1:8" x14ac:dyDescent="0.25">
      <c r="A5" s="11" t="s">
        <v>166</v>
      </c>
      <c r="B5" s="11" t="s">
        <v>167</v>
      </c>
      <c r="C5" s="11" t="s">
        <v>306</v>
      </c>
      <c r="D5" s="11"/>
      <c r="E5" s="11"/>
    </row>
    <row r="6" spans="1:8" x14ac:dyDescent="0.25">
      <c r="A6" s="11" t="s">
        <v>168</v>
      </c>
      <c r="B6" s="11" t="s">
        <v>169</v>
      </c>
      <c r="C6" s="11" t="s">
        <v>306</v>
      </c>
      <c r="D6" s="11"/>
      <c r="E6" s="11"/>
    </row>
    <row r="7" spans="1:8" x14ac:dyDescent="0.25">
      <c r="A7" s="11" t="s">
        <v>4</v>
      </c>
      <c r="B7" s="11" t="s">
        <v>4</v>
      </c>
      <c r="C7" s="11" t="s">
        <v>306</v>
      </c>
      <c r="D7" s="11"/>
      <c r="E7" s="11"/>
    </row>
    <row r="8" spans="1:8" x14ac:dyDescent="0.25">
      <c r="A8" s="11" t="s">
        <v>170</v>
      </c>
      <c r="B8" s="11" t="s">
        <v>12</v>
      </c>
      <c r="C8" s="11" t="s">
        <v>306</v>
      </c>
      <c r="D8" s="11"/>
      <c r="E8" s="11"/>
    </row>
    <row r="9" spans="1:8" x14ac:dyDescent="0.25">
      <c r="A9" s="11" t="s">
        <v>171</v>
      </c>
      <c r="B9" s="11" t="s">
        <v>171</v>
      </c>
      <c r="C9" s="11" t="s">
        <v>306</v>
      </c>
      <c r="D9" s="11"/>
      <c r="E9" s="11"/>
    </row>
    <row r="10" spans="1:8" x14ac:dyDescent="0.25">
      <c r="A10" s="11" t="s">
        <v>172</v>
      </c>
      <c r="B10" s="11" t="s">
        <v>173</v>
      </c>
      <c r="C10" s="11" t="s">
        <v>306</v>
      </c>
      <c r="D10" s="11"/>
      <c r="E10" s="11"/>
    </row>
    <row r="11" spans="1:8" x14ac:dyDescent="0.25">
      <c r="A11" s="11" t="s">
        <v>295</v>
      </c>
      <c r="B11" s="11" t="s">
        <v>5</v>
      </c>
      <c r="C11" s="11" t="s">
        <v>306</v>
      </c>
      <c r="D11" s="11"/>
      <c r="E11" s="11"/>
    </row>
    <row r="12" spans="1:8" x14ac:dyDescent="0.25">
      <c r="A12" s="11" t="s">
        <v>174</v>
      </c>
      <c r="B12" s="11" t="s">
        <v>175</v>
      </c>
      <c r="C12" s="11" t="s">
        <v>306</v>
      </c>
      <c r="D12" s="11"/>
      <c r="E12" s="11"/>
    </row>
    <row r="13" spans="1:8" x14ac:dyDescent="0.25">
      <c r="A13" s="11" t="s">
        <v>176</v>
      </c>
      <c r="B13" s="11" t="s">
        <v>176</v>
      </c>
      <c r="C13" s="11" t="s">
        <v>306</v>
      </c>
      <c r="D13" s="11"/>
      <c r="E13" s="11"/>
    </row>
    <row r="14" spans="1:8" x14ac:dyDescent="0.25">
      <c r="A14" s="11" t="s">
        <v>95</v>
      </c>
      <c r="B14" s="11" t="s">
        <v>177</v>
      </c>
      <c r="C14" s="11" t="s">
        <v>306</v>
      </c>
      <c r="D14" s="11"/>
      <c r="E14" s="11"/>
    </row>
    <row r="15" spans="1:8" x14ac:dyDescent="0.25">
      <c r="A15" s="11" t="s">
        <v>279</v>
      </c>
      <c r="B15" s="11" t="s">
        <v>12</v>
      </c>
      <c r="C15" s="11" t="s">
        <v>307</v>
      </c>
      <c r="D15" s="11" t="s">
        <v>309</v>
      </c>
      <c r="E15" s="11">
        <v>248</v>
      </c>
    </row>
    <row r="16" spans="1:8" x14ac:dyDescent="0.25">
      <c r="A16" s="11" t="s">
        <v>178</v>
      </c>
      <c r="B16" s="11" t="s">
        <v>178</v>
      </c>
      <c r="C16" s="11" t="s">
        <v>306</v>
      </c>
      <c r="D16" s="11"/>
      <c r="E16" s="11"/>
    </row>
    <row r="17" spans="1:6" x14ac:dyDescent="0.25">
      <c r="A17" s="11" t="s">
        <v>6</v>
      </c>
      <c r="B17" s="11" t="s">
        <v>6</v>
      </c>
      <c r="C17" s="11" t="s">
        <v>306</v>
      </c>
      <c r="D17" s="11"/>
      <c r="E17" s="11"/>
    </row>
    <row r="18" spans="1:6" x14ac:dyDescent="0.25">
      <c r="A18" s="11" t="s">
        <v>179</v>
      </c>
      <c r="B18" s="11" t="s">
        <v>180</v>
      </c>
      <c r="C18" s="11" t="s">
        <v>307</v>
      </c>
      <c r="D18" s="11" t="s">
        <v>310</v>
      </c>
      <c r="E18" s="11">
        <v>296</v>
      </c>
    </row>
    <row r="19" spans="1:6" x14ac:dyDescent="0.25">
      <c r="A19" s="11" t="s">
        <v>181</v>
      </c>
      <c r="B19" s="11" t="s">
        <v>12</v>
      </c>
      <c r="C19" s="11" t="s">
        <v>306</v>
      </c>
      <c r="D19" s="11"/>
      <c r="E19" s="11"/>
    </row>
    <row r="20" spans="1:6" x14ac:dyDescent="0.25">
      <c r="A20" s="11" t="s">
        <v>182</v>
      </c>
      <c r="B20" s="11" t="s">
        <v>181</v>
      </c>
      <c r="C20" s="11" t="s">
        <v>306</v>
      </c>
      <c r="D20" s="11"/>
      <c r="E20" s="11"/>
    </row>
    <row r="21" spans="1:6" x14ac:dyDescent="0.25">
      <c r="A21" s="11" t="s">
        <v>183</v>
      </c>
      <c r="B21" s="11" t="s">
        <v>183</v>
      </c>
      <c r="C21" s="11" t="s">
        <v>306</v>
      </c>
      <c r="D21" s="11"/>
      <c r="E21" s="11"/>
    </row>
    <row r="22" spans="1:6" x14ac:dyDescent="0.25">
      <c r="A22" s="11" t="s">
        <v>184</v>
      </c>
      <c r="B22" s="11" t="s">
        <v>7</v>
      </c>
      <c r="C22" s="11" t="s">
        <v>306</v>
      </c>
      <c r="D22" s="11"/>
      <c r="E22" s="11"/>
    </row>
    <row r="23" spans="1:6" x14ac:dyDescent="0.25">
      <c r="A23" s="11" t="s">
        <v>185</v>
      </c>
      <c r="B23" s="11" t="s">
        <v>186</v>
      </c>
      <c r="C23" s="11" t="s">
        <v>306</v>
      </c>
      <c r="D23" s="11" t="s">
        <v>12</v>
      </c>
      <c r="E23" s="11"/>
    </row>
    <row r="24" spans="1:6" x14ac:dyDescent="0.25">
      <c r="A24" s="11" t="s">
        <v>187</v>
      </c>
      <c r="B24" s="11" t="s">
        <v>188</v>
      </c>
      <c r="C24" s="11" t="s">
        <v>306</v>
      </c>
      <c r="D24" s="11"/>
      <c r="E24" s="11"/>
    </row>
    <row r="25" spans="1:6" x14ac:dyDescent="0.25">
      <c r="A25" s="11" t="s">
        <v>189</v>
      </c>
      <c r="B25" s="11" t="s">
        <v>190</v>
      </c>
      <c r="C25" s="11" t="s">
        <v>306</v>
      </c>
      <c r="D25" s="11"/>
      <c r="E25" s="11"/>
    </row>
    <row r="26" spans="1:6" x14ac:dyDescent="0.25">
      <c r="A26" s="11" t="s">
        <v>191</v>
      </c>
      <c r="B26" s="11" t="s">
        <v>12</v>
      </c>
      <c r="C26" s="11" t="s">
        <v>306</v>
      </c>
      <c r="D26" s="11"/>
      <c r="E26" s="11"/>
    </row>
    <row r="27" spans="1:6" x14ac:dyDescent="0.25">
      <c r="A27" s="11" t="s">
        <v>192</v>
      </c>
      <c r="B27" s="11" t="s">
        <v>12</v>
      </c>
      <c r="C27" s="11" t="s">
        <v>307</v>
      </c>
      <c r="D27" s="11" t="s">
        <v>311</v>
      </c>
      <c r="E27" s="11">
        <v>22293</v>
      </c>
    </row>
    <row r="28" spans="1:6" x14ac:dyDescent="0.25">
      <c r="A28" s="11" t="s">
        <v>193</v>
      </c>
      <c r="B28" s="11" t="s">
        <v>194</v>
      </c>
      <c r="C28" s="11" t="s">
        <v>306</v>
      </c>
      <c r="D28" s="11"/>
      <c r="E28" s="11"/>
    </row>
    <row r="29" spans="1:6" x14ac:dyDescent="0.25">
      <c r="A29" s="11" t="s">
        <v>195</v>
      </c>
      <c r="B29" s="11" t="s">
        <v>196</v>
      </c>
      <c r="C29" s="11" t="s">
        <v>306</v>
      </c>
      <c r="D29" s="11"/>
      <c r="E29" s="11"/>
    </row>
    <row r="30" spans="1:6" x14ac:dyDescent="0.25">
      <c r="A30" s="11" t="s">
        <v>193</v>
      </c>
      <c r="B30" s="11" t="s">
        <v>194</v>
      </c>
      <c r="C30" s="11" t="s">
        <v>307</v>
      </c>
      <c r="D30" s="11" t="s">
        <v>312</v>
      </c>
      <c r="E30" s="11">
        <v>22296</v>
      </c>
    </row>
    <row r="31" spans="1:6" x14ac:dyDescent="0.25">
      <c r="A31" s="11" t="s">
        <v>197</v>
      </c>
      <c r="B31" s="11" t="s">
        <v>198</v>
      </c>
      <c r="C31" s="11" t="s">
        <v>307</v>
      </c>
      <c r="D31" s="11" t="s">
        <v>191</v>
      </c>
      <c r="E31" s="11">
        <v>16484</v>
      </c>
    </row>
    <row r="32" spans="1:6" x14ac:dyDescent="0.25">
      <c r="A32" s="14" t="s">
        <v>314</v>
      </c>
      <c r="B32" s="14"/>
      <c r="C32" s="14" t="s">
        <v>307</v>
      </c>
      <c r="D32" s="14" t="s">
        <v>12</v>
      </c>
      <c r="E32" s="13">
        <v>22301</v>
      </c>
      <c r="F32" s="10" t="s">
        <v>315</v>
      </c>
    </row>
    <row r="33" spans="1:5" x14ac:dyDescent="0.25">
      <c r="A33" s="11" t="s">
        <v>187</v>
      </c>
      <c r="B33" s="11" t="s">
        <v>188</v>
      </c>
      <c r="C33" s="11" t="s">
        <v>306</v>
      </c>
      <c r="D33" s="11"/>
      <c r="E33" s="11"/>
    </row>
    <row r="34" spans="1:5" x14ac:dyDescent="0.25">
      <c r="A34" s="11" t="s">
        <v>189</v>
      </c>
      <c r="B34" s="11" t="s">
        <v>190</v>
      </c>
      <c r="C34" s="11" t="s">
        <v>306</v>
      </c>
      <c r="D34" s="11"/>
      <c r="E34" s="11"/>
    </row>
    <row r="35" spans="1:5" x14ac:dyDescent="0.25">
      <c r="A35" s="11" t="s">
        <v>296</v>
      </c>
      <c r="B35" s="11" t="s">
        <v>2</v>
      </c>
      <c r="C35" s="11" t="s">
        <v>306</v>
      </c>
      <c r="D35" s="11"/>
      <c r="E35" s="11"/>
    </row>
    <row r="36" spans="1:5" x14ac:dyDescent="0.25">
      <c r="A36" s="11" t="s">
        <v>9</v>
      </c>
      <c r="B36" s="11" t="s">
        <v>10</v>
      </c>
      <c r="C36" s="11" t="s">
        <v>306</v>
      </c>
      <c r="D36" s="11"/>
      <c r="E36" s="11"/>
    </row>
    <row r="37" spans="1:5" x14ac:dyDescent="0.25">
      <c r="A37" s="11" t="s">
        <v>11</v>
      </c>
      <c r="B37" s="11" t="s">
        <v>12</v>
      </c>
      <c r="C37" s="11" t="s">
        <v>306</v>
      </c>
      <c r="D37" s="11"/>
      <c r="E37" s="11"/>
    </row>
    <row r="38" spans="1:5" x14ac:dyDescent="0.25">
      <c r="A38" s="11" t="s">
        <v>13</v>
      </c>
      <c r="B38" s="11" t="s">
        <v>14</v>
      </c>
      <c r="C38" s="11" t="s">
        <v>306</v>
      </c>
      <c r="D38" s="11"/>
      <c r="E38" s="11"/>
    </row>
    <row r="39" spans="1:5" x14ac:dyDescent="0.25">
      <c r="A39" s="11" t="s">
        <v>15</v>
      </c>
      <c r="B39" s="11" t="s">
        <v>16</v>
      </c>
      <c r="C39" s="11" t="s">
        <v>306</v>
      </c>
      <c r="D39" s="11"/>
      <c r="E39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A35" workbookViewId="0">
      <selection activeCell="A33" sqref="A33:B33"/>
    </sheetView>
  </sheetViews>
  <sheetFormatPr defaultRowHeight="15" x14ac:dyDescent="0.25"/>
  <cols>
    <col min="1" max="1" width="51.28515625" customWidth="1"/>
    <col min="2" max="2" width="46.7109375" bestFit="1" customWidth="1"/>
    <col min="3" max="3" width="8.85546875" bestFit="1" customWidth="1"/>
    <col min="4" max="4" width="32.71093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37</v>
      </c>
    </row>
    <row r="2" spans="1:8" x14ac:dyDescent="0.25">
      <c r="A2" s="11" t="s">
        <v>36</v>
      </c>
      <c r="B2" s="11" t="s">
        <v>12</v>
      </c>
      <c r="C2" s="11" t="s">
        <v>306</v>
      </c>
      <c r="D2" s="11"/>
      <c r="E2" s="11"/>
      <c r="G2" s="6" t="s">
        <v>307</v>
      </c>
      <c r="H2" s="7">
        <f>COUNTIF(C:C,G2)</f>
        <v>11</v>
      </c>
    </row>
    <row r="3" spans="1:8" ht="15.75" thickBot="1" x14ac:dyDescent="0.3">
      <c r="A3" s="11" t="s">
        <v>37</v>
      </c>
      <c r="B3" s="11" t="s">
        <v>12</v>
      </c>
      <c r="C3" s="11" t="s">
        <v>306</v>
      </c>
      <c r="D3" s="11"/>
      <c r="E3" s="11"/>
      <c r="G3" s="8" t="s">
        <v>308</v>
      </c>
      <c r="H3" s="9">
        <f>H1/SUM(H1:H2)</f>
        <v>0.77083333333333337</v>
      </c>
    </row>
    <row r="4" spans="1:8" x14ac:dyDescent="0.25">
      <c r="A4" s="11" t="s">
        <v>285</v>
      </c>
      <c r="B4" s="11" t="s">
        <v>38</v>
      </c>
      <c r="C4" s="11" t="s">
        <v>307</v>
      </c>
      <c r="D4" s="11" t="s">
        <v>316</v>
      </c>
      <c r="E4" s="11">
        <v>20222</v>
      </c>
    </row>
    <row r="5" spans="1:8" x14ac:dyDescent="0.25">
      <c r="A5" s="11" t="s">
        <v>39</v>
      </c>
      <c r="B5" s="11" t="s">
        <v>40</v>
      </c>
      <c r="C5" s="11" t="s">
        <v>306</v>
      </c>
      <c r="D5" s="11"/>
      <c r="E5" s="11"/>
    </row>
    <row r="6" spans="1:8" x14ac:dyDescent="0.25">
      <c r="A6" s="11" t="s">
        <v>41</v>
      </c>
      <c r="B6" s="11" t="s">
        <v>42</v>
      </c>
      <c r="C6" s="11" t="s">
        <v>306</v>
      </c>
      <c r="D6" s="11"/>
      <c r="E6" s="11"/>
    </row>
    <row r="7" spans="1:8" x14ac:dyDescent="0.25">
      <c r="A7" s="11" t="s">
        <v>43</v>
      </c>
      <c r="B7" s="11" t="s">
        <v>12</v>
      </c>
      <c r="C7" s="11" t="s">
        <v>306</v>
      </c>
      <c r="D7" s="11"/>
      <c r="E7" s="11"/>
    </row>
    <row r="8" spans="1:8" x14ac:dyDescent="0.25">
      <c r="A8" s="11" t="s">
        <v>44</v>
      </c>
      <c r="B8" s="11" t="s">
        <v>45</v>
      </c>
      <c r="C8" s="11" t="s">
        <v>306</v>
      </c>
      <c r="D8" s="11"/>
      <c r="E8" s="11"/>
    </row>
    <row r="9" spans="1:8" x14ac:dyDescent="0.25">
      <c r="A9" s="11" t="s">
        <v>46</v>
      </c>
      <c r="B9" s="11" t="s">
        <v>47</v>
      </c>
      <c r="C9" s="11" t="s">
        <v>306</v>
      </c>
      <c r="D9" s="11"/>
      <c r="E9" s="11"/>
    </row>
    <row r="10" spans="1:8" x14ac:dyDescent="0.25">
      <c r="A10" s="11" t="s">
        <v>48</v>
      </c>
      <c r="B10" s="11" t="s">
        <v>49</v>
      </c>
      <c r="C10" s="11" t="s">
        <v>306</v>
      </c>
      <c r="D10" s="11"/>
      <c r="E10" s="11"/>
    </row>
    <row r="11" spans="1:8" x14ac:dyDescent="0.25">
      <c r="A11" s="11" t="s">
        <v>50</v>
      </c>
      <c r="B11" s="11" t="s">
        <v>51</v>
      </c>
      <c r="C11" s="11" t="s">
        <v>306</v>
      </c>
      <c r="D11" s="11"/>
      <c r="E11" s="11"/>
    </row>
    <row r="12" spans="1:8" x14ac:dyDescent="0.25">
      <c r="A12" s="11" t="s">
        <v>52</v>
      </c>
      <c r="B12" s="11" t="s">
        <v>12</v>
      </c>
      <c r="C12" s="11" t="s">
        <v>306</v>
      </c>
      <c r="D12" s="11"/>
      <c r="E12" s="11"/>
    </row>
    <row r="13" spans="1:8" x14ac:dyDescent="0.25">
      <c r="A13" s="11" t="s">
        <v>53</v>
      </c>
      <c r="B13" s="11" t="s">
        <v>53</v>
      </c>
      <c r="C13" s="11" t="s">
        <v>306</v>
      </c>
      <c r="D13" s="11"/>
      <c r="E13" s="11"/>
    </row>
    <row r="14" spans="1:8" x14ac:dyDescent="0.25">
      <c r="A14" s="11" t="s">
        <v>43</v>
      </c>
      <c r="B14" s="11" t="s">
        <v>12</v>
      </c>
      <c r="C14" s="11" t="s">
        <v>306</v>
      </c>
      <c r="D14" s="11"/>
      <c r="E14" s="11"/>
    </row>
    <row r="15" spans="1:8" x14ac:dyDescent="0.25">
      <c r="A15" s="11" t="s">
        <v>44</v>
      </c>
      <c r="B15" s="11" t="s">
        <v>45</v>
      </c>
      <c r="C15" s="11" t="s">
        <v>307</v>
      </c>
      <c r="D15" s="11" t="s">
        <v>317</v>
      </c>
      <c r="E15" s="11">
        <v>13724</v>
      </c>
    </row>
    <row r="16" spans="1:8" x14ac:dyDescent="0.25">
      <c r="A16" s="11" t="s">
        <v>214</v>
      </c>
      <c r="B16" s="11" t="s">
        <v>54</v>
      </c>
      <c r="C16" s="11" t="s">
        <v>307</v>
      </c>
      <c r="D16" s="11" t="s">
        <v>214</v>
      </c>
      <c r="E16" s="11">
        <v>13780</v>
      </c>
    </row>
    <row r="17" spans="1:5" x14ac:dyDescent="0.25">
      <c r="A17" s="11" t="s">
        <v>286</v>
      </c>
      <c r="B17" s="11" t="s">
        <v>55</v>
      </c>
      <c r="C17" s="11" t="s">
        <v>306</v>
      </c>
      <c r="D17" s="11"/>
      <c r="E17" s="11"/>
    </row>
    <row r="18" spans="1:5" x14ac:dyDescent="0.25">
      <c r="A18" s="11" t="s">
        <v>287</v>
      </c>
      <c r="B18" s="11" t="s">
        <v>56</v>
      </c>
      <c r="C18" s="11" t="s">
        <v>306</v>
      </c>
      <c r="D18" s="11"/>
      <c r="E18" s="11"/>
    </row>
    <row r="19" spans="1:5" x14ac:dyDescent="0.25">
      <c r="A19" s="11" t="s">
        <v>46</v>
      </c>
      <c r="B19" s="11" t="s">
        <v>47</v>
      </c>
      <c r="C19" s="11" t="s">
        <v>307</v>
      </c>
      <c r="D19" s="11" t="s">
        <v>318</v>
      </c>
      <c r="E19" s="11">
        <v>20230</v>
      </c>
    </row>
    <row r="20" spans="1:5" x14ac:dyDescent="0.25">
      <c r="A20" s="11" t="s">
        <v>57</v>
      </c>
      <c r="B20" s="11" t="s">
        <v>58</v>
      </c>
      <c r="C20" s="11" t="s">
        <v>306</v>
      </c>
      <c r="D20" s="11"/>
      <c r="E20" s="11"/>
    </row>
    <row r="21" spans="1:5" x14ac:dyDescent="0.25">
      <c r="A21" s="11" t="s">
        <v>59</v>
      </c>
      <c r="B21" s="11" t="s">
        <v>59</v>
      </c>
      <c r="C21" s="11" t="s">
        <v>306</v>
      </c>
      <c r="D21" s="11"/>
      <c r="E21" s="11"/>
    </row>
    <row r="22" spans="1:5" x14ac:dyDescent="0.25">
      <c r="A22" s="11" t="s">
        <v>60</v>
      </c>
      <c r="B22" s="11" t="s">
        <v>60</v>
      </c>
      <c r="C22" s="11" t="s">
        <v>306</v>
      </c>
      <c r="D22" s="11"/>
      <c r="E22" s="11"/>
    </row>
    <row r="23" spans="1:5" x14ac:dyDescent="0.25">
      <c r="A23" s="11" t="s">
        <v>61</v>
      </c>
      <c r="B23" s="11" t="s">
        <v>31</v>
      </c>
      <c r="C23" s="11" t="s">
        <v>306</v>
      </c>
      <c r="D23" s="11"/>
      <c r="E23" s="11"/>
    </row>
    <row r="24" spans="1:5" x14ac:dyDescent="0.25">
      <c r="A24" s="11" t="s">
        <v>62</v>
      </c>
      <c r="B24" s="11" t="s">
        <v>12</v>
      </c>
      <c r="C24" s="11" t="s">
        <v>306</v>
      </c>
      <c r="D24" s="11"/>
      <c r="E24" s="11"/>
    </row>
    <row r="25" spans="1:5" x14ac:dyDescent="0.25">
      <c r="A25" s="11" t="s">
        <v>63</v>
      </c>
      <c r="B25" s="11" t="s">
        <v>12</v>
      </c>
      <c r="C25" s="11" t="s">
        <v>306</v>
      </c>
      <c r="D25" s="11"/>
      <c r="E25" s="11"/>
    </row>
    <row r="26" spans="1:5" x14ac:dyDescent="0.25">
      <c r="A26" s="11" t="s">
        <v>288</v>
      </c>
      <c r="B26" s="11" t="s">
        <v>45</v>
      </c>
      <c r="C26" s="11" t="s">
        <v>307</v>
      </c>
      <c r="D26" s="11" t="s">
        <v>222</v>
      </c>
      <c r="E26" s="11">
        <v>13765</v>
      </c>
    </row>
    <row r="27" spans="1:5" x14ac:dyDescent="0.25">
      <c r="A27" s="11" t="s">
        <v>9</v>
      </c>
      <c r="B27" s="11" t="s">
        <v>64</v>
      </c>
      <c r="C27" s="11" t="s">
        <v>307</v>
      </c>
      <c r="D27" s="11" t="s">
        <v>224</v>
      </c>
      <c r="E27" s="11">
        <v>13762</v>
      </c>
    </row>
    <row r="28" spans="1:5" x14ac:dyDescent="0.25">
      <c r="A28" s="11" t="s">
        <v>65</v>
      </c>
      <c r="B28" s="11" t="s">
        <v>66</v>
      </c>
      <c r="C28" s="11" t="s">
        <v>306</v>
      </c>
      <c r="D28" s="11"/>
      <c r="E28" s="11"/>
    </row>
    <row r="29" spans="1:5" x14ac:dyDescent="0.25">
      <c r="A29" s="11" t="s">
        <v>67</v>
      </c>
      <c r="B29" s="11" t="s">
        <v>12</v>
      </c>
      <c r="C29" s="11" t="s">
        <v>306</v>
      </c>
      <c r="D29" s="11"/>
      <c r="E29" s="11"/>
    </row>
    <row r="30" spans="1:5" x14ac:dyDescent="0.25">
      <c r="A30" s="11" t="s">
        <v>68</v>
      </c>
      <c r="B30" s="11" t="s">
        <v>12</v>
      </c>
      <c r="C30" s="11" t="s">
        <v>306</v>
      </c>
      <c r="D30" s="11"/>
      <c r="E30" s="11"/>
    </row>
    <row r="31" spans="1:5" x14ac:dyDescent="0.25">
      <c r="A31" s="11" t="s">
        <v>69</v>
      </c>
      <c r="B31" s="11" t="s">
        <v>12</v>
      </c>
      <c r="C31" s="11" t="s">
        <v>306</v>
      </c>
      <c r="D31" s="11"/>
      <c r="E31" s="11"/>
    </row>
    <row r="32" spans="1:5" x14ac:dyDescent="0.25">
      <c r="A32" s="11" t="s">
        <v>70</v>
      </c>
      <c r="B32" s="11" t="s">
        <v>71</v>
      </c>
      <c r="C32" s="11" t="s">
        <v>306</v>
      </c>
      <c r="D32" s="11"/>
      <c r="E32" s="11"/>
    </row>
    <row r="33" spans="1:5" x14ac:dyDescent="0.25">
      <c r="A33" s="11" t="s">
        <v>81</v>
      </c>
      <c r="B33" s="11" t="s">
        <v>17</v>
      </c>
      <c r="C33" s="11" t="s">
        <v>307</v>
      </c>
      <c r="D33" s="11" t="s">
        <v>82</v>
      </c>
      <c r="E33" s="11">
        <v>30340</v>
      </c>
    </row>
    <row r="34" spans="1:5" x14ac:dyDescent="0.25">
      <c r="A34" s="11" t="s">
        <v>72</v>
      </c>
      <c r="B34" s="11" t="s">
        <v>73</v>
      </c>
      <c r="C34" s="11" t="s">
        <v>306</v>
      </c>
      <c r="D34" s="11"/>
      <c r="E34" s="11"/>
    </row>
    <row r="35" spans="1:5" x14ac:dyDescent="0.25">
      <c r="A35" s="11" t="s">
        <v>74</v>
      </c>
      <c r="B35" s="11" t="s">
        <v>75</v>
      </c>
      <c r="C35" s="11" t="s">
        <v>306</v>
      </c>
      <c r="D35" s="11"/>
      <c r="E35" s="11"/>
    </row>
    <row r="36" spans="1:5" x14ac:dyDescent="0.25">
      <c r="A36" s="11" t="s">
        <v>76</v>
      </c>
      <c r="B36" s="11" t="s">
        <v>77</v>
      </c>
      <c r="C36" s="11" t="s">
        <v>306</v>
      </c>
      <c r="D36" s="11"/>
      <c r="E36" s="11"/>
    </row>
    <row r="37" spans="1:5" x14ac:dyDescent="0.25">
      <c r="A37" s="11" t="s">
        <v>78</v>
      </c>
      <c r="B37" s="11" t="s">
        <v>79</v>
      </c>
      <c r="C37" s="11" t="s">
        <v>306</v>
      </c>
      <c r="D37" s="11"/>
      <c r="E37" s="11"/>
    </row>
    <row r="38" spans="1:5" x14ac:dyDescent="0.25">
      <c r="A38" s="11" t="s">
        <v>80</v>
      </c>
      <c r="B38" s="11" t="s">
        <v>12</v>
      </c>
      <c r="C38" s="11" t="s">
        <v>306</v>
      </c>
      <c r="D38" s="11"/>
      <c r="E38" s="11"/>
    </row>
    <row r="39" spans="1:5" x14ac:dyDescent="0.25">
      <c r="A39" s="11" t="s">
        <v>69</v>
      </c>
      <c r="B39" s="11" t="s">
        <v>12</v>
      </c>
      <c r="C39" s="11" t="s">
        <v>306</v>
      </c>
      <c r="D39" s="11"/>
      <c r="E39" s="11"/>
    </row>
    <row r="40" spans="1:5" x14ac:dyDescent="0.25">
      <c r="A40" s="11" t="s">
        <v>71</v>
      </c>
      <c r="B40" s="11" t="s">
        <v>71</v>
      </c>
      <c r="C40" s="11" t="s">
        <v>306</v>
      </c>
      <c r="D40" s="11"/>
      <c r="E40" s="11"/>
    </row>
    <row r="41" spans="1:5" x14ac:dyDescent="0.25">
      <c r="A41" s="11" t="s">
        <v>81</v>
      </c>
      <c r="B41" s="11" t="s">
        <v>82</v>
      </c>
      <c r="C41" s="11" t="s">
        <v>306</v>
      </c>
      <c r="D41" s="11"/>
      <c r="E41" s="11"/>
    </row>
    <row r="42" spans="1:5" x14ac:dyDescent="0.25">
      <c r="A42" s="11" t="s">
        <v>289</v>
      </c>
      <c r="B42" s="11" t="s">
        <v>35</v>
      </c>
      <c r="C42" s="11" t="s">
        <v>307</v>
      </c>
      <c r="D42" s="11" t="s">
        <v>12</v>
      </c>
      <c r="E42" s="11"/>
    </row>
    <row r="43" spans="1:5" x14ac:dyDescent="0.25">
      <c r="A43" s="11" t="s">
        <v>290</v>
      </c>
      <c r="B43" s="11"/>
      <c r="C43" s="11" t="s">
        <v>307</v>
      </c>
      <c r="D43" s="11" t="s">
        <v>35</v>
      </c>
      <c r="E43" s="11">
        <v>13779</v>
      </c>
    </row>
    <row r="44" spans="1:5" x14ac:dyDescent="0.25">
      <c r="A44" s="11" t="s">
        <v>291</v>
      </c>
      <c r="B44" s="11"/>
      <c r="C44" s="11" t="s">
        <v>307</v>
      </c>
      <c r="D44" s="11" t="s">
        <v>35</v>
      </c>
      <c r="E44" s="11">
        <v>13779</v>
      </c>
    </row>
    <row r="45" spans="1:5" x14ac:dyDescent="0.25">
      <c r="A45" s="11" t="s">
        <v>83</v>
      </c>
      <c r="B45" s="11" t="s">
        <v>84</v>
      </c>
      <c r="C45" s="11" t="s">
        <v>306</v>
      </c>
      <c r="D45" s="11"/>
      <c r="E45" s="11"/>
    </row>
    <row r="46" spans="1:5" x14ac:dyDescent="0.25">
      <c r="A46" s="11" t="s">
        <v>72</v>
      </c>
      <c r="B46" s="11" t="s">
        <v>73</v>
      </c>
      <c r="C46" s="11" t="s">
        <v>307</v>
      </c>
      <c r="D46" s="11" t="s">
        <v>319</v>
      </c>
      <c r="E46" s="11">
        <v>13767</v>
      </c>
    </row>
    <row r="47" spans="1:5" x14ac:dyDescent="0.25">
      <c r="A47" s="11" t="s">
        <v>85</v>
      </c>
      <c r="B47" s="11" t="s">
        <v>86</v>
      </c>
      <c r="C47" s="11" t="s">
        <v>306</v>
      </c>
      <c r="D47" s="11"/>
      <c r="E47" s="11"/>
    </row>
    <row r="48" spans="1:5" x14ac:dyDescent="0.25">
      <c r="A48" s="11" t="s">
        <v>87</v>
      </c>
      <c r="B48" s="11" t="s">
        <v>87</v>
      </c>
      <c r="C48" s="11" t="s">
        <v>306</v>
      </c>
      <c r="D48" s="11"/>
      <c r="E48" s="11"/>
    </row>
    <row r="49" spans="1:5" x14ac:dyDescent="0.25">
      <c r="A49" s="11" t="s">
        <v>88</v>
      </c>
      <c r="B49" s="11" t="s">
        <v>89</v>
      </c>
      <c r="C49" s="11" t="s">
        <v>306</v>
      </c>
      <c r="D49" s="11"/>
      <c r="E49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topLeftCell="A45" workbookViewId="0">
      <selection activeCell="D48" sqref="D48"/>
    </sheetView>
  </sheetViews>
  <sheetFormatPr defaultRowHeight="15" x14ac:dyDescent="0.25"/>
  <cols>
    <col min="1" max="1" width="43.28515625" customWidth="1"/>
    <col min="2" max="2" width="46.7109375" bestFit="1" customWidth="1"/>
    <col min="3" max="3" width="8.85546875" bestFit="1" customWidth="1"/>
    <col min="4" max="4" width="35.5703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43</v>
      </c>
    </row>
    <row r="2" spans="1:8" x14ac:dyDescent="0.25">
      <c r="A2" s="11" t="s">
        <v>36</v>
      </c>
      <c r="B2" s="11" t="s">
        <v>12</v>
      </c>
      <c r="C2" s="11" t="s">
        <v>306</v>
      </c>
      <c r="D2" s="11"/>
      <c r="E2" s="11"/>
      <c r="G2" s="6" t="s">
        <v>307</v>
      </c>
      <c r="H2" s="7">
        <f>COUNTIF(C:C,G2)</f>
        <v>12</v>
      </c>
    </row>
    <row r="3" spans="1:8" ht="15.75" thickBot="1" x14ac:dyDescent="0.3">
      <c r="A3" s="11" t="s">
        <v>201</v>
      </c>
      <c r="B3" s="11" t="s">
        <v>12</v>
      </c>
      <c r="C3" s="11" t="s">
        <v>306</v>
      </c>
      <c r="D3" s="11"/>
      <c r="E3" s="11"/>
      <c r="G3" s="8" t="s">
        <v>308</v>
      </c>
      <c r="H3" s="9">
        <f>H1/SUM(H1:H2)</f>
        <v>0.78181818181818186</v>
      </c>
    </row>
    <row r="4" spans="1:8" x14ac:dyDescent="0.25">
      <c r="A4" s="11" t="s">
        <v>297</v>
      </c>
      <c r="B4" s="11" t="s">
        <v>38</v>
      </c>
      <c r="C4" s="11" t="s">
        <v>307</v>
      </c>
      <c r="D4" s="11" t="s">
        <v>316</v>
      </c>
      <c r="E4" s="11">
        <v>20222</v>
      </c>
    </row>
    <row r="5" spans="1:8" x14ac:dyDescent="0.25">
      <c r="A5" s="11" t="s">
        <v>202</v>
      </c>
      <c r="B5" s="11" t="s">
        <v>42</v>
      </c>
      <c r="C5" s="11" t="s">
        <v>306</v>
      </c>
      <c r="D5" s="11"/>
      <c r="E5" s="11"/>
    </row>
    <row r="6" spans="1:8" x14ac:dyDescent="0.25">
      <c r="A6" s="11" t="s">
        <v>203</v>
      </c>
      <c r="B6" s="11" t="s">
        <v>40</v>
      </c>
      <c r="C6" s="11" t="s">
        <v>306</v>
      </c>
      <c r="D6" s="11"/>
      <c r="E6" s="11"/>
    </row>
    <row r="7" spans="1:8" x14ac:dyDescent="0.25">
      <c r="A7" s="11" t="s">
        <v>204</v>
      </c>
      <c r="B7" s="11" t="s">
        <v>205</v>
      </c>
      <c r="C7" s="11" t="s">
        <v>307</v>
      </c>
      <c r="D7" s="11" t="s">
        <v>320</v>
      </c>
      <c r="E7" s="11">
        <v>13734</v>
      </c>
    </row>
    <row r="8" spans="1:8" x14ac:dyDescent="0.25">
      <c r="A8" s="11" t="s">
        <v>206</v>
      </c>
      <c r="B8" s="11" t="s">
        <v>12</v>
      </c>
      <c r="C8" s="11" t="s">
        <v>306</v>
      </c>
      <c r="D8" s="11"/>
      <c r="E8" s="11"/>
    </row>
    <row r="9" spans="1:8" x14ac:dyDescent="0.25">
      <c r="A9" s="11" t="s">
        <v>207</v>
      </c>
      <c r="B9" s="11" t="s">
        <v>45</v>
      </c>
      <c r="C9" s="11" t="s">
        <v>306</v>
      </c>
      <c r="D9" s="11"/>
      <c r="E9" s="11"/>
    </row>
    <row r="10" spans="1:8" x14ac:dyDescent="0.25">
      <c r="A10" s="11" t="s">
        <v>46</v>
      </c>
      <c r="B10" s="11" t="s">
        <v>47</v>
      </c>
      <c r="C10" s="11" t="s">
        <v>306</v>
      </c>
      <c r="D10" s="11"/>
      <c r="E10" s="11"/>
    </row>
    <row r="11" spans="1:8" x14ac:dyDescent="0.25">
      <c r="A11" s="11" t="s">
        <v>216</v>
      </c>
      <c r="B11" s="11" t="s">
        <v>17</v>
      </c>
      <c r="C11" s="11" t="s">
        <v>307</v>
      </c>
      <c r="D11" s="11" t="s">
        <v>217</v>
      </c>
      <c r="E11" s="11">
        <v>20216</v>
      </c>
    </row>
    <row r="12" spans="1:8" x14ac:dyDescent="0.25">
      <c r="A12" s="11" t="s">
        <v>208</v>
      </c>
      <c r="B12" s="11" t="s">
        <v>209</v>
      </c>
      <c r="C12" s="11" t="s">
        <v>306</v>
      </c>
      <c r="D12" s="11"/>
      <c r="E12" s="11"/>
    </row>
    <row r="13" spans="1:8" x14ac:dyDescent="0.25">
      <c r="A13" s="11" t="s">
        <v>210</v>
      </c>
      <c r="B13" s="11" t="s">
        <v>49</v>
      </c>
      <c r="C13" s="11" t="s">
        <v>306</v>
      </c>
      <c r="D13" s="11"/>
      <c r="E13" s="11"/>
    </row>
    <row r="14" spans="1:8" x14ac:dyDescent="0.25">
      <c r="A14" s="11" t="s">
        <v>211</v>
      </c>
      <c r="B14" s="11" t="s">
        <v>51</v>
      </c>
      <c r="C14" s="11" t="s">
        <v>306</v>
      </c>
      <c r="D14" s="11"/>
      <c r="E14" s="11"/>
    </row>
    <row r="15" spans="1:8" x14ac:dyDescent="0.25">
      <c r="A15" s="11" t="s">
        <v>212</v>
      </c>
      <c r="B15" s="11" t="s">
        <v>12</v>
      </c>
      <c r="C15" s="11" t="s">
        <v>306</v>
      </c>
      <c r="D15" s="11"/>
      <c r="E15" s="11"/>
    </row>
    <row r="16" spans="1:8" x14ac:dyDescent="0.25">
      <c r="A16" s="11" t="s">
        <v>53</v>
      </c>
      <c r="B16" s="11" t="s">
        <v>53</v>
      </c>
      <c r="C16" s="11" t="s">
        <v>306</v>
      </c>
      <c r="D16" s="11"/>
      <c r="E16" s="11"/>
    </row>
    <row r="17" spans="1:5" x14ac:dyDescent="0.25">
      <c r="A17" s="11" t="s">
        <v>206</v>
      </c>
      <c r="B17" s="11" t="s">
        <v>12</v>
      </c>
      <c r="C17" s="11" t="s">
        <v>306</v>
      </c>
      <c r="D17" s="11"/>
      <c r="E17" s="11"/>
    </row>
    <row r="18" spans="1:5" x14ac:dyDescent="0.25">
      <c r="A18" s="11" t="s">
        <v>213</v>
      </c>
      <c r="B18" s="11" t="s">
        <v>214</v>
      </c>
      <c r="C18" s="11" t="s">
        <v>306</v>
      </c>
      <c r="D18" s="11"/>
      <c r="E18" s="11"/>
    </row>
    <row r="19" spans="1:5" x14ac:dyDescent="0.25">
      <c r="A19" s="11" t="s">
        <v>215</v>
      </c>
      <c r="B19" s="11" t="s">
        <v>55</v>
      </c>
      <c r="C19" s="11" t="s">
        <v>306</v>
      </c>
      <c r="D19" s="11"/>
      <c r="E19" s="11"/>
    </row>
    <row r="20" spans="1:5" x14ac:dyDescent="0.25">
      <c r="A20" s="11" t="s">
        <v>298</v>
      </c>
      <c r="B20" s="11" t="s">
        <v>56</v>
      </c>
      <c r="C20" s="11" t="s">
        <v>306</v>
      </c>
      <c r="D20" s="11"/>
      <c r="E20" s="11"/>
    </row>
    <row r="21" spans="1:5" x14ac:dyDescent="0.25">
      <c r="A21" s="11" t="s">
        <v>46</v>
      </c>
      <c r="B21" s="11" t="s">
        <v>47</v>
      </c>
      <c r="C21" s="11" t="s">
        <v>307</v>
      </c>
      <c r="D21" s="11" t="s">
        <v>318</v>
      </c>
      <c r="E21" s="11">
        <v>20230</v>
      </c>
    </row>
    <row r="22" spans="1:5" x14ac:dyDescent="0.25">
      <c r="A22" s="11" t="s">
        <v>216</v>
      </c>
      <c r="B22" s="11" t="s">
        <v>217</v>
      </c>
      <c r="C22" s="11" t="s">
        <v>307</v>
      </c>
      <c r="D22" s="11" t="s">
        <v>321</v>
      </c>
      <c r="E22" s="11">
        <v>20231</v>
      </c>
    </row>
    <row r="23" spans="1:5" x14ac:dyDescent="0.25">
      <c r="A23" s="11" t="s">
        <v>207</v>
      </c>
      <c r="B23" s="11" t="s">
        <v>45</v>
      </c>
      <c r="C23" s="11" t="s">
        <v>307</v>
      </c>
      <c r="D23" s="11" t="s">
        <v>317</v>
      </c>
      <c r="E23" s="11">
        <v>13724</v>
      </c>
    </row>
    <row r="24" spans="1:5" x14ac:dyDescent="0.25">
      <c r="A24" s="11" t="s">
        <v>57</v>
      </c>
      <c r="B24" s="11" t="s">
        <v>58</v>
      </c>
      <c r="C24" s="11" t="s">
        <v>306</v>
      </c>
      <c r="D24" s="11"/>
      <c r="E24" s="11"/>
    </row>
    <row r="25" spans="1:5" x14ac:dyDescent="0.25">
      <c r="A25" s="11" t="s">
        <v>218</v>
      </c>
      <c r="B25" s="11" t="s">
        <v>59</v>
      </c>
      <c r="C25" s="11" t="s">
        <v>306</v>
      </c>
      <c r="D25" s="11"/>
      <c r="E25" s="11"/>
    </row>
    <row r="26" spans="1:5" x14ac:dyDescent="0.25">
      <c r="A26" s="11" t="s">
        <v>219</v>
      </c>
      <c r="B26" s="11" t="s">
        <v>60</v>
      </c>
      <c r="C26" s="11" t="s">
        <v>306</v>
      </c>
      <c r="D26" s="11"/>
      <c r="E26" s="11"/>
    </row>
    <row r="27" spans="1:5" x14ac:dyDescent="0.25">
      <c r="A27" s="11" t="s">
        <v>220</v>
      </c>
      <c r="B27" s="11" t="s">
        <v>31</v>
      </c>
      <c r="C27" s="11" t="s">
        <v>306</v>
      </c>
      <c r="D27" s="11"/>
      <c r="E27" s="11"/>
    </row>
    <row r="28" spans="1:5" x14ac:dyDescent="0.25">
      <c r="A28" s="11" t="s">
        <v>62</v>
      </c>
      <c r="B28" s="11" t="s">
        <v>12</v>
      </c>
      <c r="C28" s="11" t="s">
        <v>306</v>
      </c>
      <c r="D28" s="11"/>
      <c r="E28" s="11"/>
    </row>
    <row r="29" spans="1:5" x14ac:dyDescent="0.25">
      <c r="A29" s="11" t="s">
        <v>63</v>
      </c>
      <c r="B29" s="11" t="s">
        <v>12</v>
      </c>
      <c r="C29" s="11" t="s">
        <v>306</v>
      </c>
      <c r="D29" s="11"/>
      <c r="E29" s="11"/>
    </row>
    <row r="30" spans="1:5" x14ac:dyDescent="0.25">
      <c r="A30" s="11" t="s">
        <v>221</v>
      </c>
      <c r="B30" s="11" t="s">
        <v>222</v>
      </c>
      <c r="C30" s="11" t="s">
        <v>306</v>
      </c>
      <c r="D30" s="11"/>
      <c r="E30" s="11"/>
    </row>
    <row r="31" spans="1:5" x14ac:dyDescent="0.25">
      <c r="A31" s="11" t="s">
        <v>223</v>
      </c>
      <c r="B31" s="11" t="s">
        <v>224</v>
      </c>
      <c r="C31" s="11" t="s">
        <v>306</v>
      </c>
      <c r="D31" s="11"/>
      <c r="E31" s="11"/>
    </row>
    <row r="32" spans="1:5" x14ac:dyDescent="0.25">
      <c r="A32" s="11" t="s">
        <v>225</v>
      </c>
      <c r="B32" s="11" t="s">
        <v>66</v>
      </c>
      <c r="C32" s="11" t="s">
        <v>306</v>
      </c>
      <c r="D32" s="11"/>
      <c r="E32" s="11"/>
    </row>
    <row r="33" spans="1:5" x14ac:dyDescent="0.25">
      <c r="A33" s="11" t="s">
        <v>226</v>
      </c>
      <c r="B33" s="11" t="s">
        <v>205</v>
      </c>
      <c r="C33" s="11" t="s">
        <v>307</v>
      </c>
      <c r="D33" s="11" t="s">
        <v>64</v>
      </c>
      <c r="E33" s="11">
        <v>13744</v>
      </c>
    </row>
    <row r="34" spans="1:5" x14ac:dyDescent="0.25">
      <c r="A34" s="11" t="s">
        <v>227</v>
      </c>
      <c r="B34" s="11" t="s">
        <v>66</v>
      </c>
      <c r="C34" s="11"/>
      <c r="D34" s="11" t="s">
        <v>325</v>
      </c>
      <c r="E34" s="11"/>
    </row>
    <row r="35" spans="1:5" x14ac:dyDescent="0.25">
      <c r="A35" s="11" t="s">
        <v>67</v>
      </c>
      <c r="B35" s="11" t="s">
        <v>12</v>
      </c>
      <c r="C35" s="11" t="s">
        <v>306</v>
      </c>
      <c r="D35" s="11"/>
      <c r="E35" s="11"/>
    </row>
    <row r="36" spans="1:5" x14ac:dyDescent="0.25">
      <c r="A36" s="11" t="s">
        <v>228</v>
      </c>
      <c r="B36" s="11" t="s">
        <v>12</v>
      </c>
      <c r="C36" s="11" t="s">
        <v>306</v>
      </c>
      <c r="D36" s="11"/>
      <c r="E36" s="11"/>
    </row>
    <row r="37" spans="1:5" x14ac:dyDescent="0.25">
      <c r="A37" s="11" t="s">
        <v>229</v>
      </c>
      <c r="B37" s="11" t="s">
        <v>12</v>
      </c>
      <c r="C37" s="11" t="s">
        <v>306</v>
      </c>
      <c r="D37" s="11"/>
      <c r="E37" s="11"/>
    </row>
    <row r="38" spans="1:5" x14ac:dyDescent="0.25">
      <c r="A38" s="11" t="s">
        <v>71</v>
      </c>
      <c r="B38" s="11" t="s">
        <v>71</v>
      </c>
      <c r="C38" s="11" t="s">
        <v>306</v>
      </c>
      <c r="D38" s="11"/>
      <c r="E38" s="11"/>
    </row>
    <row r="39" spans="1:5" x14ac:dyDescent="0.25">
      <c r="A39" s="11" t="s">
        <v>82</v>
      </c>
      <c r="B39" s="11" t="s">
        <v>82</v>
      </c>
      <c r="C39" s="11" t="s">
        <v>306</v>
      </c>
      <c r="D39" s="11"/>
      <c r="E39" s="11"/>
    </row>
    <row r="40" spans="1:5" x14ac:dyDescent="0.25">
      <c r="A40" s="11" t="s">
        <v>235</v>
      </c>
      <c r="B40" s="11" t="s">
        <v>66</v>
      </c>
      <c r="C40" s="11" t="s">
        <v>307</v>
      </c>
      <c r="D40" s="11" t="s">
        <v>236</v>
      </c>
      <c r="E40" s="11">
        <v>20226</v>
      </c>
    </row>
    <row r="41" spans="1:5" x14ac:dyDescent="0.25">
      <c r="A41" s="11" t="s">
        <v>72</v>
      </c>
      <c r="B41" s="11" t="s">
        <v>73</v>
      </c>
      <c r="C41" s="11" t="s">
        <v>306</v>
      </c>
      <c r="D41" s="11"/>
      <c r="E41" s="11"/>
    </row>
    <row r="42" spans="1:5" x14ac:dyDescent="0.25">
      <c r="A42" s="11" t="s">
        <v>230</v>
      </c>
      <c r="B42" s="11" t="s">
        <v>77</v>
      </c>
      <c r="C42" s="11" t="s">
        <v>306</v>
      </c>
      <c r="D42" s="11"/>
      <c r="E42" s="11"/>
    </row>
    <row r="43" spans="1:5" x14ac:dyDescent="0.25">
      <c r="A43" s="11" t="s">
        <v>231</v>
      </c>
      <c r="B43" s="11" t="s">
        <v>75</v>
      </c>
      <c r="C43" s="11" t="s">
        <v>306</v>
      </c>
      <c r="D43" s="11"/>
      <c r="E43" s="11"/>
    </row>
    <row r="44" spans="1:5" x14ac:dyDescent="0.25">
      <c r="A44" s="11" t="s">
        <v>232</v>
      </c>
      <c r="B44" s="11" t="s">
        <v>79</v>
      </c>
      <c r="C44" s="11" t="s">
        <v>306</v>
      </c>
      <c r="D44" s="11"/>
      <c r="E44" s="11"/>
    </row>
    <row r="45" spans="1:5" x14ac:dyDescent="0.25">
      <c r="A45" s="11" t="s">
        <v>233</v>
      </c>
      <c r="B45" s="11" t="s">
        <v>12</v>
      </c>
      <c r="C45" s="11" t="s">
        <v>306</v>
      </c>
      <c r="D45" s="11"/>
      <c r="E45" s="11"/>
    </row>
    <row r="46" spans="1:5" x14ac:dyDescent="0.25">
      <c r="A46" s="11" t="s">
        <v>229</v>
      </c>
      <c r="B46" s="11" t="s">
        <v>12</v>
      </c>
      <c r="C46" s="11" t="s">
        <v>306</v>
      </c>
      <c r="D46" s="11"/>
      <c r="E46" s="11"/>
    </row>
    <row r="47" spans="1:5" x14ac:dyDescent="0.25">
      <c r="A47" s="11" t="s">
        <v>71</v>
      </c>
      <c r="B47" s="11" t="s">
        <v>71</v>
      </c>
      <c r="C47" s="11" t="s">
        <v>306</v>
      </c>
      <c r="D47" s="11"/>
      <c r="E47" s="11"/>
    </row>
    <row r="48" spans="1:5" x14ac:dyDescent="0.25">
      <c r="A48" s="11" t="s">
        <v>234</v>
      </c>
      <c r="B48" s="11" t="s">
        <v>35</v>
      </c>
      <c r="C48" s="11" t="s">
        <v>307</v>
      </c>
      <c r="D48" s="11" t="s">
        <v>12</v>
      </c>
      <c r="E48" s="11"/>
    </row>
    <row r="49" spans="1:5" x14ac:dyDescent="0.25">
      <c r="A49" s="11" t="s">
        <v>299</v>
      </c>
      <c r="B49" s="11" t="s">
        <v>35</v>
      </c>
      <c r="C49" s="11" t="s">
        <v>306</v>
      </c>
      <c r="D49" s="11"/>
      <c r="E49" s="11"/>
    </row>
    <row r="50" spans="1:5" x14ac:dyDescent="0.25">
      <c r="A50" s="11" t="s">
        <v>300</v>
      </c>
      <c r="B50" s="11" t="s">
        <v>35</v>
      </c>
      <c r="C50" s="11" t="s">
        <v>306</v>
      </c>
      <c r="D50" s="11"/>
      <c r="E50" s="11"/>
    </row>
    <row r="51" spans="1:5" x14ac:dyDescent="0.25">
      <c r="A51" s="11" t="s">
        <v>82</v>
      </c>
      <c r="B51" s="11" t="s">
        <v>17</v>
      </c>
      <c r="C51" s="11" t="s">
        <v>307</v>
      </c>
      <c r="D51" s="11" t="s">
        <v>82</v>
      </c>
      <c r="E51" s="11">
        <v>25716</v>
      </c>
    </row>
    <row r="52" spans="1:5" x14ac:dyDescent="0.25">
      <c r="A52" s="11" t="s">
        <v>235</v>
      </c>
      <c r="B52" s="11" t="s">
        <v>236</v>
      </c>
      <c r="C52" s="11" t="s">
        <v>307</v>
      </c>
      <c r="D52" s="11" t="s">
        <v>322</v>
      </c>
      <c r="E52" s="11">
        <v>20214</v>
      </c>
    </row>
    <row r="53" spans="1:5" x14ac:dyDescent="0.25">
      <c r="A53" s="11" t="s">
        <v>72</v>
      </c>
      <c r="B53" s="11" t="s">
        <v>73</v>
      </c>
      <c r="C53" s="11" t="s">
        <v>307</v>
      </c>
      <c r="D53" s="11" t="s">
        <v>319</v>
      </c>
      <c r="E53" s="11">
        <v>13767</v>
      </c>
    </row>
    <row r="54" spans="1:5" x14ac:dyDescent="0.25">
      <c r="A54" s="11" t="s">
        <v>237</v>
      </c>
      <c r="B54" s="11" t="s">
        <v>86</v>
      </c>
      <c r="C54" s="11" t="s">
        <v>306</v>
      </c>
      <c r="D54" s="11"/>
      <c r="E54" s="11"/>
    </row>
    <row r="55" spans="1:5" x14ac:dyDescent="0.25">
      <c r="A55" s="11" t="s">
        <v>84</v>
      </c>
      <c r="B55" s="11" t="s">
        <v>84</v>
      </c>
      <c r="C55" s="11" t="s">
        <v>306</v>
      </c>
      <c r="D55" s="11"/>
      <c r="E55" s="11"/>
    </row>
    <row r="56" spans="1:5" x14ac:dyDescent="0.25">
      <c r="A56" s="11" t="s">
        <v>238</v>
      </c>
      <c r="B56" s="11" t="s">
        <v>87</v>
      </c>
      <c r="C56" s="11" t="s">
        <v>306</v>
      </c>
      <c r="D56" s="11"/>
      <c r="E56" s="11"/>
    </row>
    <row r="57" spans="1:5" x14ac:dyDescent="0.25">
      <c r="A57" s="11" t="s">
        <v>239</v>
      </c>
      <c r="B57" s="11" t="s">
        <v>89</v>
      </c>
      <c r="C57" s="11" t="s">
        <v>306</v>
      </c>
      <c r="D57" s="11"/>
      <c r="E57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topLeftCell="A28" workbookViewId="0">
      <selection activeCell="B34" sqref="B34"/>
    </sheetView>
  </sheetViews>
  <sheetFormatPr defaultRowHeight="15" x14ac:dyDescent="0.25"/>
  <cols>
    <col min="1" max="1" width="55.7109375" customWidth="1"/>
    <col min="2" max="2" width="50.85546875" customWidth="1"/>
    <col min="4" max="4" width="35.7109375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33</v>
      </c>
    </row>
    <row r="2" spans="1:8" x14ac:dyDescent="0.25">
      <c r="A2" s="11" t="s">
        <v>91</v>
      </c>
      <c r="B2" s="11" t="s">
        <v>12</v>
      </c>
      <c r="C2" s="11" t="s">
        <v>306</v>
      </c>
      <c r="D2" s="11"/>
      <c r="E2" s="11"/>
      <c r="G2" s="6" t="s">
        <v>307</v>
      </c>
      <c r="H2" s="7">
        <f>COUNTIF(C:C,G2)</f>
        <v>7</v>
      </c>
    </row>
    <row r="3" spans="1:8" ht="15.75" thickBot="1" x14ac:dyDescent="0.3">
      <c r="A3" s="11" t="s">
        <v>92</v>
      </c>
      <c r="B3" s="11" t="s">
        <v>93</v>
      </c>
      <c r="C3" s="11" t="s">
        <v>306</v>
      </c>
      <c r="D3" s="11"/>
      <c r="E3" s="11"/>
      <c r="G3" s="8" t="s">
        <v>308</v>
      </c>
      <c r="H3" s="9">
        <f>H1/SUM(H1:H2)</f>
        <v>0.82499999999999996</v>
      </c>
    </row>
    <row r="4" spans="1:8" x14ac:dyDescent="0.25">
      <c r="A4" s="11" t="s">
        <v>94</v>
      </c>
      <c r="B4" s="11" t="s">
        <v>12</v>
      </c>
      <c r="C4" s="11" t="s">
        <v>306</v>
      </c>
      <c r="D4" s="11"/>
      <c r="E4" s="11"/>
    </row>
    <row r="5" spans="1:8" x14ac:dyDescent="0.25">
      <c r="A5" s="11" t="s">
        <v>95</v>
      </c>
      <c r="B5" s="11" t="s">
        <v>96</v>
      </c>
      <c r="C5" s="11" t="s">
        <v>306</v>
      </c>
      <c r="D5" s="11"/>
      <c r="E5" s="11"/>
    </row>
    <row r="6" spans="1:8" x14ac:dyDescent="0.25">
      <c r="A6" s="11" t="s">
        <v>97</v>
      </c>
      <c r="B6" s="11" t="s">
        <v>98</v>
      </c>
      <c r="C6" s="11" t="s">
        <v>306</v>
      </c>
      <c r="D6" s="11"/>
      <c r="E6" s="11"/>
    </row>
    <row r="7" spans="1:8" x14ac:dyDescent="0.25">
      <c r="A7" s="11" t="s">
        <v>99</v>
      </c>
      <c r="B7" s="11" t="s">
        <v>100</v>
      </c>
      <c r="C7" s="11" t="s">
        <v>306</v>
      </c>
      <c r="D7" s="11"/>
      <c r="E7" s="11"/>
    </row>
    <row r="8" spans="1:8" x14ac:dyDescent="0.25">
      <c r="A8" s="11" t="s">
        <v>101</v>
      </c>
      <c r="B8" s="11" t="s">
        <v>102</v>
      </c>
      <c r="C8" s="11" t="s">
        <v>306</v>
      </c>
      <c r="D8" s="11"/>
      <c r="E8" s="11"/>
    </row>
    <row r="9" spans="1:8" x14ac:dyDescent="0.25">
      <c r="A9" s="11" t="s">
        <v>103</v>
      </c>
      <c r="B9" s="11" t="s">
        <v>104</v>
      </c>
      <c r="C9" s="11" t="s">
        <v>306</v>
      </c>
      <c r="D9" s="11"/>
      <c r="E9" s="11"/>
    </row>
    <row r="10" spans="1:8" x14ac:dyDescent="0.25">
      <c r="A10" s="11" t="s">
        <v>105</v>
      </c>
      <c r="B10" s="11" t="s">
        <v>106</v>
      </c>
      <c r="C10" s="11" t="s">
        <v>306</v>
      </c>
      <c r="D10" s="11"/>
      <c r="E10" s="11"/>
    </row>
    <row r="11" spans="1:8" x14ac:dyDescent="0.25">
      <c r="A11" s="11" t="s">
        <v>107</v>
      </c>
      <c r="B11" s="11" t="s">
        <v>107</v>
      </c>
      <c r="C11" s="11" t="s">
        <v>306</v>
      </c>
      <c r="D11" s="11"/>
      <c r="E11" s="11"/>
    </row>
    <row r="12" spans="1:8" x14ac:dyDescent="0.25">
      <c r="A12" s="11" t="s">
        <v>108</v>
      </c>
      <c r="B12" s="11" t="s">
        <v>12</v>
      </c>
      <c r="C12" s="11" t="s">
        <v>306</v>
      </c>
      <c r="D12" s="11"/>
      <c r="E12" s="11"/>
    </row>
    <row r="13" spans="1:8" x14ac:dyDescent="0.25">
      <c r="A13" s="11" t="s">
        <v>109</v>
      </c>
      <c r="B13" s="11" t="s">
        <v>110</v>
      </c>
      <c r="C13" s="11" t="s">
        <v>306</v>
      </c>
      <c r="D13" s="11"/>
      <c r="E13" s="11"/>
    </row>
    <row r="14" spans="1:8" x14ac:dyDescent="0.25">
      <c r="A14" s="11" t="s">
        <v>111</v>
      </c>
      <c r="B14" s="11" t="s">
        <v>53</v>
      </c>
      <c r="C14" s="11" t="s">
        <v>306</v>
      </c>
      <c r="D14" s="11"/>
      <c r="E14" s="11"/>
    </row>
    <row r="15" spans="1:8" x14ac:dyDescent="0.25">
      <c r="A15" s="11" t="s">
        <v>292</v>
      </c>
      <c r="B15" s="11" t="s">
        <v>113</v>
      </c>
      <c r="C15" s="11" t="s">
        <v>306</v>
      </c>
      <c r="D15" s="11"/>
      <c r="E15" s="11"/>
    </row>
    <row r="16" spans="1:8" x14ac:dyDescent="0.25">
      <c r="A16" s="11" t="s">
        <v>114</v>
      </c>
      <c r="B16" s="11" t="s">
        <v>115</v>
      </c>
      <c r="C16" s="11" t="s">
        <v>306</v>
      </c>
      <c r="D16" s="11"/>
      <c r="E16" s="11"/>
    </row>
    <row r="17" spans="1:5" x14ac:dyDescent="0.25">
      <c r="A17" s="11" t="s">
        <v>116</v>
      </c>
      <c r="B17" s="11" t="s">
        <v>117</v>
      </c>
      <c r="C17" s="11" t="s">
        <v>306</v>
      </c>
      <c r="D17" s="11"/>
      <c r="E17" s="11"/>
    </row>
    <row r="18" spans="1:5" x14ac:dyDescent="0.25">
      <c r="A18" s="11" t="s">
        <v>118</v>
      </c>
      <c r="B18" s="11" t="s">
        <v>119</v>
      </c>
      <c r="C18" s="11" t="s">
        <v>306</v>
      </c>
      <c r="D18" s="11"/>
      <c r="E18" s="11"/>
    </row>
    <row r="19" spans="1:5" x14ac:dyDescent="0.25">
      <c r="A19" s="11" t="s">
        <v>120</v>
      </c>
      <c r="B19" s="11" t="s">
        <v>12</v>
      </c>
      <c r="C19" s="11" t="s">
        <v>306</v>
      </c>
      <c r="D19" s="11"/>
      <c r="E19" s="11"/>
    </row>
    <row r="20" spans="1:5" x14ac:dyDescent="0.25">
      <c r="A20" s="11" t="s">
        <v>293</v>
      </c>
      <c r="B20" s="11" t="s">
        <v>121</v>
      </c>
      <c r="C20" s="11" t="s">
        <v>307</v>
      </c>
      <c r="D20" s="11" t="s">
        <v>326</v>
      </c>
      <c r="E20" s="15">
        <v>17556</v>
      </c>
    </row>
    <row r="21" spans="1:5" x14ac:dyDescent="0.25">
      <c r="A21" s="11" t="s">
        <v>122</v>
      </c>
      <c r="B21" s="11" t="s">
        <v>12</v>
      </c>
      <c r="C21" s="11" t="s">
        <v>307</v>
      </c>
      <c r="D21" s="11" t="s">
        <v>326</v>
      </c>
      <c r="E21" s="15">
        <v>17556</v>
      </c>
    </row>
    <row r="22" spans="1:5" x14ac:dyDescent="0.25">
      <c r="A22" s="11" t="s">
        <v>123</v>
      </c>
      <c r="B22" s="11" t="s">
        <v>124</v>
      </c>
      <c r="C22" s="11" t="s">
        <v>306</v>
      </c>
      <c r="D22" s="11"/>
      <c r="E22" s="11"/>
    </row>
    <row r="23" spans="1:5" x14ac:dyDescent="0.25">
      <c r="A23" s="11" t="s">
        <v>125</v>
      </c>
      <c r="B23" s="11" t="s">
        <v>126</v>
      </c>
      <c r="C23" s="11" t="s">
        <v>307</v>
      </c>
      <c r="D23" s="11" t="s">
        <v>327</v>
      </c>
      <c r="E23" s="15">
        <v>17563</v>
      </c>
    </row>
    <row r="24" spans="1:5" x14ac:dyDescent="0.25">
      <c r="A24" s="11" t="s">
        <v>127</v>
      </c>
      <c r="B24" s="11" t="s">
        <v>128</v>
      </c>
      <c r="C24" s="11" t="s">
        <v>306</v>
      </c>
      <c r="D24" s="11"/>
      <c r="E24" s="11"/>
    </row>
    <row r="25" spans="1:5" x14ac:dyDescent="0.25">
      <c r="A25" s="11" t="s">
        <v>129</v>
      </c>
      <c r="B25" s="11" t="s">
        <v>128</v>
      </c>
      <c r="C25" s="11" t="s">
        <v>306</v>
      </c>
      <c r="D25" s="11"/>
      <c r="E25" s="11"/>
    </row>
    <row r="26" spans="1:5" x14ac:dyDescent="0.25">
      <c r="A26" s="11" t="s">
        <v>130</v>
      </c>
      <c r="B26" s="11" t="s">
        <v>131</v>
      </c>
      <c r="C26" s="11" t="s">
        <v>307</v>
      </c>
      <c r="D26" s="11" t="s">
        <v>328</v>
      </c>
      <c r="E26" s="15">
        <v>30368</v>
      </c>
    </row>
    <row r="27" spans="1:5" x14ac:dyDescent="0.25">
      <c r="A27" s="11" t="s">
        <v>294</v>
      </c>
      <c r="B27" s="11" t="s">
        <v>132</v>
      </c>
      <c r="C27" s="11" t="s">
        <v>307</v>
      </c>
      <c r="D27" s="11" t="s">
        <v>329</v>
      </c>
      <c r="E27" s="15">
        <v>30662</v>
      </c>
    </row>
    <row r="28" spans="1:5" x14ac:dyDescent="0.25">
      <c r="A28" s="11" t="s">
        <v>133</v>
      </c>
      <c r="B28" s="11" t="s">
        <v>134</v>
      </c>
      <c r="C28" s="11" t="s">
        <v>306</v>
      </c>
      <c r="D28" s="11"/>
      <c r="E28" s="11"/>
    </row>
    <row r="29" spans="1:5" x14ac:dyDescent="0.25">
      <c r="A29" s="11" t="s">
        <v>135</v>
      </c>
      <c r="B29" s="11" t="s">
        <v>136</v>
      </c>
      <c r="C29" s="11" t="s">
        <v>307</v>
      </c>
      <c r="D29" s="11" t="s">
        <v>323</v>
      </c>
      <c r="E29" s="11">
        <v>17527</v>
      </c>
    </row>
    <row r="30" spans="1:5" x14ac:dyDescent="0.25">
      <c r="A30" s="11" t="s">
        <v>137</v>
      </c>
      <c r="B30" s="11" t="s">
        <v>138</v>
      </c>
      <c r="C30" s="11" t="s">
        <v>306</v>
      </c>
      <c r="D30" s="11"/>
      <c r="E30" s="11"/>
    </row>
    <row r="31" spans="1:5" x14ac:dyDescent="0.25">
      <c r="A31" s="11" t="s">
        <v>139</v>
      </c>
      <c r="B31" s="11" t="s">
        <v>12</v>
      </c>
      <c r="C31" s="11" t="s">
        <v>306</v>
      </c>
      <c r="D31" s="11"/>
      <c r="E31" s="11"/>
    </row>
    <row r="32" spans="1:5" x14ac:dyDescent="0.25">
      <c r="A32" s="11" t="s">
        <v>105</v>
      </c>
      <c r="B32" s="11" t="s">
        <v>106</v>
      </c>
      <c r="C32" s="11" t="s">
        <v>307</v>
      </c>
      <c r="D32" s="11" t="s">
        <v>324</v>
      </c>
      <c r="E32" s="11">
        <v>30484</v>
      </c>
    </row>
    <row r="33" spans="1:5" x14ac:dyDescent="0.25">
      <c r="A33" s="11" t="s">
        <v>140</v>
      </c>
      <c r="B33" s="11" t="s">
        <v>141</v>
      </c>
      <c r="C33" s="11" t="s">
        <v>306</v>
      </c>
      <c r="D33" s="11"/>
      <c r="E33" s="11"/>
    </row>
    <row r="34" spans="1:5" x14ac:dyDescent="0.25">
      <c r="A34" s="11" t="s">
        <v>142</v>
      </c>
      <c r="B34" s="11" t="s">
        <v>143</v>
      </c>
      <c r="C34" s="11" t="s">
        <v>306</v>
      </c>
      <c r="D34" s="11"/>
      <c r="E34" s="11"/>
    </row>
    <row r="35" spans="1:5" x14ac:dyDescent="0.25">
      <c r="A35" s="11" t="s">
        <v>144</v>
      </c>
      <c r="B35" s="11" t="s">
        <v>145</v>
      </c>
      <c r="C35" s="11" t="s">
        <v>306</v>
      </c>
      <c r="D35" s="11"/>
      <c r="E35" s="11"/>
    </row>
    <row r="36" spans="1:5" x14ac:dyDescent="0.25">
      <c r="A36" s="11" t="s">
        <v>146</v>
      </c>
      <c r="B36" s="11" t="s">
        <v>147</v>
      </c>
      <c r="C36" s="11" t="s">
        <v>306</v>
      </c>
      <c r="D36" s="11"/>
      <c r="E36" s="11"/>
    </row>
    <row r="37" spans="1:5" x14ac:dyDescent="0.25">
      <c r="A37" s="11" t="s">
        <v>148</v>
      </c>
      <c r="B37" s="11" t="s">
        <v>148</v>
      </c>
      <c r="C37" s="11" t="s">
        <v>306</v>
      </c>
      <c r="D37" s="11"/>
      <c r="E37" s="11"/>
    </row>
    <row r="38" spans="1:5" x14ac:dyDescent="0.25">
      <c r="A38" s="11" t="s">
        <v>149</v>
      </c>
      <c r="B38" s="11" t="s">
        <v>150</v>
      </c>
      <c r="C38" s="11" t="s">
        <v>306</v>
      </c>
      <c r="D38" s="11"/>
      <c r="E38" s="11"/>
    </row>
    <row r="39" spans="1:5" x14ac:dyDescent="0.25">
      <c r="A39" s="11" t="s">
        <v>151</v>
      </c>
      <c r="B39" s="11" t="s">
        <v>152</v>
      </c>
      <c r="C39" s="11" t="s">
        <v>306</v>
      </c>
      <c r="D39" s="11"/>
      <c r="E39" s="11"/>
    </row>
    <row r="40" spans="1:5" x14ac:dyDescent="0.25">
      <c r="A40" s="11" t="s">
        <v>153</v>
      </c>
      <c r="B40" s="11" t="s">
        <v>154</v>
      </c>
      <c r="C40" s="11" t="s">
        <v>306</v>
      </c>
      <c r="D40" s="11"/>
      <c r="E40" s="11"/>
    </row>
    <row r="41" spans="1:5" x14ac:dyDescent="0.25">
      <c r="A41" s="11" t="s">
        <v>155</v>
      </c>
      <c r="B41" s="11" t="s">
        <v>156</v>
      </c>
      <c r="C41" s="11" t="s">
        <v>306</v>
      </c>
      <c r="D41" s="11"/>
      <c r="E41" s="11"/>
    </row>
    <row r="42" spans="1:5" x14ac:dyDescent="0.25">
      <c r="A42" s="11" t="s">
        <v>151</v>
      </c>
      <c r="B42" s="11" t="s">
        <v>152</v>
      </c>
      <c r="C42" s="11"/>
      <c r="D42" s="11" t="s">
        <v>160</v>
      </c>
      <c r="E42" s="11"/>
    </row>
    <row r="43" spans="1:5" x14ac:dyDescent="0.25">
      <c r="A43" s="11" t="s">
        <v>157</v>
      </c>
      <c r="B43" s="11" t="s">
        <v>12</v>
      </c>
      <c r="C43" s="11"/>
      <c r="D43" s="11" t="s">
        <v>160</v>
      </c>
      <c r="E43" s="11"/>
    </row>
    <row r="44" spans="1:5" x14ac:dyDescent="0.25">
      <c r="A44" s="11" t="s">
        <v>158</v>
      </c>
      <c r="B44" s="11" t="s">
        <v>12</v>
      </c>
      <c r="C44" s="11"/>
      <c r="D44" s="11" t="s">
        <v>160</v>
      </c>
      <c r="E44" s="11"/>
    </row>
    <row r="45" spans="1:5" x14ac:dyDescent="0.25">
      <c r="A45" s="11" t="s">
        <v>159</v>
      </c>
      <c r="B45" s="11" t="s">
        <v>160</v>
      </c>
      <c r="C45" s="11"/>
      <c r="D45" s="11" t="s">
        <v>160</v>
      </c>
      <c r="E45" s="11"/>
    </row>
    <row r="46" spans="1:5" x14ac:dyDescent="0.25">
      <c r="A46" s="11" t="s">
        <v>161</v>
      </c>
      <c r="B46" s="11" t="s">
        <v>162</v>
      </c>
      <c r="C46" s="11"/>
      <c r="D46" s="11" t="s">
        <v>160</v>
      </c>
      <c r="E46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9"/>
  <sheetViews>
    <sheetView tabSelected="1" topLeftCell="A32" workbookViewId="0">
      <selection activeCell="C36" sqref="C36"/>
    </sheetView>
  </sheetViews>
  <sheetFormatPr defaultRowHeight="15" x14ac:dyDescent="0.25"/>
  <cols>
    <col min="1" max="1" width="56.7109375" customWidth="1"/>
    <col min="2" max="2" width="49.28515625" customWidth="1"/>
    <col min="4" max="4" width="31.42578125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35</v>
      </c>
    </row>
    <row r="2" spans="1:8" x14ac:dyDescent="0.25">
      <c r="A2" s="11" t="s">
        <v>240</v>
      </c>
      <c r="B2" s="11" t="s">
        <v>12</v>
      </c>
      <c r="C2" s="11" t="s">
        <v>306</v>
      </c>
      <c r="D2" s="11"/>
      <c r="E2" s="11"/>
      <c r="G2" s="6" t="s">
        <v>307</v>
      </c>
      <c r="H2" s="7">
        <f>COUNTIF(C:C,G2)</f>
        <v>12</v>
      </c>
    </row>
    <row r="3" spans="1:8" ht="15.75" thickBot="1" x14ac:dyDescent="0.3">
      <c r="A3" s="11" t="s">
        <v>241</v>
      </c>
      <c r="B3" s="11" t="s">
        <v>93</v>
      </c>
      <c r="C3" s="11" t="s">
        <v>306</v>
      </c>
      <c r="D3" s="11"/>
      <c r="E3" s="11"/>
      <c r="G3" s="8" t="s">
        <v>308</v>
      </c>
      <c r="H3" s="9">
        <f>H1/SUM(H1:H2)</f>
        <v>0.74468085106382975</v>
      </c>
    </row>
    <row r="4" spans="1:8" x14ac:dyDescent="0.25">
      <c r="A4" s="11" t="s">
        <v>94</v>
      </c>
      <c r="B4" s="11" t="s">
        <v>12</v>
      </c>
      <c r="C4" s="11" t="s">
        <v>306</v>
      </c>
      <c r="D4" s="11"/>
      <c r="E4" s="11"/>
    </row>
    <row r="5" spans="1:8" x14ac:dyDescent="0.25">
      <c r="A5" s="11" t="s">
        <v>242</v>
      </c>
      <c r="B5" s="11" t="s">
        <v>96</v>
      </c>
      <c r="C5" s="11" t="s">
        <v>306</v>
      </c>
      <c r="D5" s="11"/>
      <c r="E5" s="11"/>
    </row>
    <row r="6" spans="1:8" x14ac:dyDescent="0.25">
      <c r="A6" s="11" t="s">
        <v>97</v>
      </c>
      <c r="B6" s="11" t="s">
        <v>98</v>
      </c>
      <c r="C6" s="11" t="s">
        <v>306</v>
      </c>
      <c r="D6" s="11"/>
      <c r="E6" s="11"/>
    </row>
    <row r="7" spans="1:8" x14ac:dyDescent="0.25">
      <c r="A7" s="11" t="s">
        <v>301</v>
      </c>
      <c r="B7" s="11" t="s">
        <v>100</v>
      </c>
      <c r="C7" s="11" t="s">
        <v>306</v>
      </c>
      <c r="D7" s="11"/>
      <c r="E7" s="11"/>
    </row>
    <row r="8" spans="1:8" x14ac:dyDescent="0.25">
      <c r="A8" s="11" t="s">
        <v>243</v>
      </c>
      <c r="B8" s="11" t="s">
        <v>244</v>
      </c>
      <c r="C8" s="11" t="s">
        <v>307</v>
      </c>
      <c r="D8" s="11" t="s">
        <v>102</v>
      </c>
      <c r="E8" s="11">
        <v>30577</v>
      </c>
    </row>
    <row r="9" spans="1:8" x14ac:dyDescent="0.25">
      <c r="A9" s="11" t="s">
        <v>105</v>
      </c>
      <c r="B9" s="11" t="s">
        <v>106</v>
      </c>
      <c r="C9" s="11" t="s">
        <v>306</v>
      </c>
      <c r="D9" s="11"/>
      <c r="E9" s="11"/>
    </row>
    <row r="10" spans="1:8" x14ac:dyDescent="0.25">
      <c r="A10" s="11" t="s">
        <v>245</v>
      </c>
      <c r="B10" s="11" t="s">
        <v>104</v>
      </c>
      <c r="C10" s="11" t="s">
        <v>306</v>
      </c>
      <c r="D10" s="11"/>
      <c r="E10" s="11"/>
    </row>
    <row r="11" spans="1:8" x14ac:dyDescent="0.25">
      <c r="A11" s="11" t="s">
        <v>246</v>
      </c>
      <c r="B11" s="11" t="s">
        <v>247</v>
      </c>
      <c r="C11" s="11" t="s">
        <v>306</v>
      </c>
      <c r="D11" s="11"/>
      <c r="E11" s="11"/>
    </row>
    <row r="12" spans="1:8" x14ac:dyDescent="0.25">
      <c r="A12" s="11" t="s">
        <v>248</v>
      </c>
      <c r="B12" s="11" t="s">
        <v>102</v>
      </c>
      <c r="C12" s="11" t="s">
        <v>307</v>
      </c>
      <c r="D12" s="11" t="s">
        <v>330</v>
      </c>
      <c r="E12" s="15">
        <v>30503</v>
      </c>
    </row>
    <row r="13" spans="1:8" x14ac:dyDescent="0.25">
      <c r="A13" s="11" t="s">
        <v>302</v>
      </c>
      <c r="B13" s="11" t="s">
        <v>249</v>
      </c>
      <c r="C13" s="11" t="s">
        <v>307</v>
      </c>
      <c r="D13" s="11" t="s">
        <v>331</v>
      </c>
      <c r="E13" s="15">
        <v>30420</v>
      </c>
    </row>
    <row r="14" spans="1:8" x14ac:dyDescent="0.25">
      <c r="A14" s="11" t="s">
        <v>250</v>
      </c>
      <c r="B14" s="11" t="s">
        <v>247</v>
      </c>
      <c r="C14" s="11" t="s">
        <v>307</v>
      </c>
      <c r="D14" s="11" t="s">
        <v>332</v>
      </c>
      <c r="E14" s="15">
        <v>30505</v>
      </c>
    </row>
    <row r="15" spans="1:8" x14ac:dyDescent="0.25">
      <c r="A15" s="11" t="s">
        <v>251</v>
      </c>
      <c r="B15" s="11" t="s">
        <v>252</v>
      </c>
      <c r="C15" s="11" t="s">
        <v>306</v>
      </c>
      <c r="D15" s="11" t="s">
        <v>261</v>
      </c>
      <c r="E15" s="11">
        <v>17542</v>
      </c>
    </row>
    <row r="16" spans="1:8" x14ac:dyDescent="0.25">
      <c r="A16" s="11" t="s">
        <v>253</v>
      </c>
      <c r="B16" s="11" t="s">
        <v>107</v>
      </c>
      <c r="C16" s="11" t="s">
        <v>306</v>
      </c>
      <c r="D16" s="11"/>
      <c r="E16" s="11"/>
    </row>
    <row r="17" spans="1:5" x14ac:dyDescent="0.25">
      <c r="A17" s="11" t="s">
        <v>254</v>
      </c>
      <c r="B17" s="11" t="s">
        <v>12</v>
      </c>
      <c r="C17" s="11" t="s">
        <v>306</v>
      </c>
      <c r="D17" s="11"/>
      <c r="E17" s="11"/>
    </row>
    <row r="18" spans="1:5" x14ac:dyDescent="0.25">
      <c r="A18" s="11" t="s">
        <v>109</v>
      </c>
      <c r="B18" s="11" t="s">
        <v>110</v>
      </c>
      <c r="C18" s="11" t="s">
        <v>306</v>
      </c>
      <c r="D18" s="11"/>
      <c r="E18" s="11"/>
    </row>
    <row r="19" spans="1:5" x14ac:dyDescent="0.25">
      <c r="A19" s="11" t="s">
        <v>111</v>
      </c>
      <c r="B19" s="11" t="s">
        <v>53</v>
      </c>
      <c r="C19" s="11" t="s">
        <v>306</v>
      </c>
      <c r="D19" s="11"/>
      <c r="E19" s="11"/>
    </row>
    <row r="20" spans="1:5" x14ac:dyDescent="0.25">
      <c r="A20" s="11" t="s">
        <v>112</v>
      </c>
      <c r="B20" s="11" t="s">
        <v>113</v>
      </c>
      <c r="C20" s="11" t="s">
        <v>306</v>
      </c>
      <c r="D20" s="11"/>
      <c r="E20" s="11"/>
    </row>
    <row r="21" spans="1:5" x14ac:dyDescent="0.25">
      <c r="A21" s="11" t="s">
        <v>255</v>
      </c>
      <c r="B21" s="11" t="s">
        <v>115</v>
      </c>
      <c r="C21" s="11" t="s">
        <v>306</v>
      </c>
      <c r="D21" s="11"/>
      <c r="E21" s="11"/>
    </row>
    <row r="22" spans="1:5" x14ac:dyDescent="0.25">
      <c r="A22" s="11" t="s">
        <v>256</v>
      </c>
      <c r="B22" s="11" t="s">
        <v>117</v>
      </c>
      <c r="C22" s="11" t="s">
        <v>306</v>
      </c>
      <c r="D22" s="11"/>
      <c r="E22" s="11"/>
    </row>
    <row r="23" spans="1:5" x14ac:dyDescent="0.25">
      <c r="A23" s="11" t="s">
        <v>257</v>
      </c>
      <c r="B23" s="11" t="s">
        <v>119</v>
      </c>
      <c r="C23" s="11" t="s">
        <v>306</v>
      </c>
      <c r="D23" s="11"/>
      <c r="E23" s="11"/>
    </row>
    <row r="24" spans="1:5" x14ac:dyDescent="0.25">
      <c r="A24" s="11" t="s">
        <v>258</v>
      </c>
      <c r="B24" s="11" t="s">
        <v>12</v>
      </c>
      <c r="C24" s="11" t="s">
        <v>306</v>
      </c>
      <c r="D24" s="11"/>
      <c r="E24" s="11"/>
    </row>
    <row r="25" spans="1:5" x14ac:dyDescent="0.25">
      <c r="A25" s="11" t="s">
        <v>259</v>
      </c>
      <c r="B25" s="11" t="s">
        <v>134</v>
      </c>
      <c r="C25" s="11" t="s">
        <v>306</v>
      </c>
      <c r="D25" s="11"/>
      <c r="E25" s="11"/>
    </row>
    <row r="26" spans="1:5" x14ac:dyDescent="0.25">
      <c r="A26" s="11" t="s">
        <v>260</v>
      </c>
      <c r="B26" s="11" t="s">
        <v>261</v>
      </c>
      <c r="C26" s="11" t="s">
        <v>307</v>
      </c>
      <c r="D26" s="11" t="s">
        <v>328</v>
      </c>
      <c r="E26" s="15">
        <v>30368</v>
      </c>
    </row>
    <row r="27" spans="1:5" x14ac:dyDescent="0.25">
      <c r="A27" s="11" t="s">
        <v>293</v>
      </c>
      <c r="B27" s="11" t="s">
        <v>121</v>
      </c>
      <c r="C27" s="11" t="s">
        <v>307</v>
      </c>
      <c r="D27" s="11" t="s">
        <v>326</v>
      </c>
      <c r="E27" s="15">
        <v>17556</v>
      </c>
    </row>
    <row r="28" spans="1:5" x14ac:dyDescent="0.25">
      <c r="A28" s="11" t="s">
        <v>122</v>
      </c>
      <c r="B28" s="11" t="s">
        <v>12</v>
      </c>
      <c r="C28" s="11" t="s">
        <v>307</v>
      </c>
      <c r="D28" s="11" t="s">
        <v>326</v>
      </c>
      <c r="E28" s="15">
        <v>17556</v>
      </c>
    </row>
    <row r="29" spans="1:5" x14ac:dyDescent="0.25">
      <c r="A29" s="11" t="s">
        <v>123</v>
      </c>
      <c r="B29" s="11" t="s">
        <v>124</v>
      </c>
      <c r="C29" s="11" t="s">
        <v>306</v>
      </c>
      <c r="D29" s="11"/>
      <c r="E29" s="11"/>
    </row>
    <row r="30" spans="1:5" x14ac:dyDescent="0.25">
      <c r="A30" s="11" t="s">
        <v>125</v>
      </c>
      <c r="B30" s="11" t="s">
        <v>126</v>
      </c>
      <c r="C30" s="11" t="s">
        <v>307</v>
      </c>
      <c r="D30" s="11" t="s">
        <v>327</v>
      </c>
      <c r="E30" s="15">
        <v>17563</v>
      </c>
    </row>
    <row r="31" spans="1:5" x14ac:dyDescent="0.25">
      <c r="A31" s="11" t="s">
        <v>294</v>
      </c>
      <c r="B31" s="11" t="s">
        <v>132</v>
      </c>
      <c r="C31" s="11" t="s">
        <v>307</v>
      </c>
      <c r="D31" s="11" t="s">
        <v>329</v>
      </c>
      <c r="E31" s="15">
        <v>30662</v>
      </c>
    </row>
    <row r="32" spans="1:5" x14ac:dyDescent="0.25">
      <c r="A32" s="11" t="s">
        <v>135</v>
      </c>
      <c r="B32" s="11" t="s">
        <v>136</v>
      </c>
      <c r="C32" s="11" t="s">
        <v>307</v>
      </c>
      <c r="D32" s="11" t="s">
        <v>323</v>
      </c>
      <c r="E32" s="11">
        <v>17527</v>
      </c>
    </row>
    <row r="33" spans="1:5" x14ac:dyDescent="0.25">
      <c r="A33" s="11" t="s">
        <v>262</v>
      </c>
      <c r="B33" s="11" t="s">
        <v>128</v>
      </c>
      <c r="C33" s="11" t="s">
        <v>306</v>
      </c>
      <c r="D33" s="11"/>
      <c r="E33" s="11"/>
    </row>
    <row r="34" spans="1:5" x14ac:dyDescent="0.25">
      <c r="A34" s="11" t="s">
        <v>263</v>
      </c>
      <c r="B34" s="11" t="s">
        <v>264</v>
      </c>
      <c r="C34" s="11" t="s">
        <v>307</v>
      </c>
      <c r="D34" s="11" t="s">
        <v>333</v>
      </c>
      <c r="E34" s="15">
        <v>30460</v>
      </c>
    </row>
    <row r="35" spans="1:5" x14ac:dyDescent="0.25">
      <c r="A35" s="11" t="s">
        <v>265</v>
      </c>
      <c r="B35" s="11" t="s">
        <v>138</v>
      </c>
      <c r="C35" s="11" t="s">
        <v>306</v>
      </c>
      <c r="D35" s="11"/>
      <c r="E35" s="11"/>
    </row>
    <row r="36" spans="1:5" x14ac:dyDescent="0.25">
      <c r="A36" s="11" t="s">
        <v>266</v>
      </c>
      <c r="B36" s="11" t="s">
        <v>12</v>
      </c>
      <c r="C36" s="11" t="s">
        <v>306</v>
      </c>
      <c r="D36" s="11"/>
      <c r="E36" s="11"/>
    </row>
    <row r="37" spans="1:5" x14ac:dyDescent="0.25">
      <c r="A37" s="11" t="s">
        <v>267</v>
      </c>
      <c r="B37" s="11" t="s">
        <v>145</v>
      </c>
      <c r="C37" s="11" t="s">
        <v>306</v>
      </c>
      <c r="D37" s="11"/>
      <c r="E37" s="11"/>
    </row>
    <row r="38" spans="1:5" x14ac:dyDescent="0.25">
      <c r="A38" s="11" t="s">
        <v>146</v>
      </c>
      <c r="B38" s="11" t="s">
        <v>147</v>
      </c>
      <c r="C38" s="11" t="s">
        <v>306</v>
      </c>
      <c r="D38" s="11"/>
      <c r="E38" s="11"/>
    </row>
    <row r="39" spans="1:5" x14ac:dyDescent="0.25">
      <c r="A39" s="11" t="s">
        <v>148</v>
      </c>
      <c r="B39" s="11" t="s">
        <v>148</v>
      </c>
      <c r="C39" s="11" t="s">
        <v>306</v>
      </c>
      <c r="D39" s="11"/>
      <c r="E39" s="11"/>
    </row>
    <row r="40" spans="1:5" x14ac:dyDescent="0.25">
      <c r="A40" s="11" t="s">
        <v>268</v>
      </c>
      <c r="B40" s="11" t="s">
        <v>141</v>
      </c>
      <c r="C40" s="11" t="s">
        <v>306</v>
      </c>
      <c r="D40" s="11"/>
      <c r="E40" s="11"/>
    </row>
    <row r="41" spans="1:5" x14ac:dyDescent="0.25">
      <c r="A41" s="11" t="s">
        <v>269</v>
      </c>
      <c r="B41" s="11" t="s">
        <v>143</v>
      </c>
      <c r="C41" s="11" t="s">
        <v>306</v>
      </c>
      <c r="D41" s="11"/>
      <c r="E41" s="11"/>
    </row>
    <row r="42" spans="1:5" x14ac:dyDescent="0.25">
      <c r="A42" s="11" t="s">
        <v>105</v>
      </c>
      <c r="B42" s="11" t="s">
        <v>106</v>
      </c>
      <c r="C42" s="11" t="s">
        <v>307</v>
      </c>
      <c r="D42" s="11" t="s">
        <v>324</v>
      </c>
      <c r="E42" s="11">
        <v>30484</v>
      </c>
    </row>
    <row r="43" spans="1:5" x14ac:dyDescent="0.25">
      <c r="A43" s="11" t="s">
        <v>270</v>
      </c>
      <c r="B43" s="11" t="s">
        <v>264</v>
      </c>
      <c r="C43" s="11" t="s">
        <v>306</v>
      </c>
      <c r="D43" s="11"/>
      <c r="E43" s="11"/>
    </row>
    <row r="44" spans="1:5" x14ac:dyDescent="0.25">
      <c r="A44" s="11" t="s">
        <v>271</v>
      </c>
      <c r="B44" s="11" t="s">
        <v>150</v>
      </c>
      <c r="C44" s="11" t="s">
        <v>306</v>
      </c>
      <c r="D44" s="11"/>
      <c r="E44" s="11"/>
    </row>
    <row r="45" spans="1:5" x14ac:dyDescent="0.25">
      <c r="A45" s="11" t="s">
        <v>272</v>
      </c>
      <c r="B45" s="11" t="s">
        <v>273</v>
      </c>
      <c r="C45" s="11" t="s">
        <v>306</v>
      </c>
      <c r="D45" s="11"/>
      <c r="E45" s="11"/>
    </row>
    <row r="46" spans="1:5" x14ac:dyDescent="0.25">
      <c r="A46" s="11" t="s">
        <v>274</v>
      </c>
      <c r="B46" s="11" t="s">
        <v>154</v>
      </c>
      <c r="C46" s="11" t="s">
        <v>306</v>
      </c>
      <c r="D46" s="11"/>
      <c r="E46" s="11"/>
    </row>
    <row r="47" spans="1:5" x14ac:dyDescent="0.25">
      <c r="A47" s="11" t="s">
        <v>275</v>
      </c>
      <c r="B47" s="11" t="s">
        <v>90</v>
      </c>
      <c r="C47" s="11" t="s">
        <v>306</v>
      </c>
      <c r="D47" s="11"/>
      <c r="E47" s="11"/>
    </row>
    <row r="48" spans="1:5" x14ac:dyDescent="0.25">
      <c r="A48" s="11" t="s">
        <v>276</v>
      </c>
      <c r="B48" s="11" t="s">
        <v>156</v>
      </c>
      <c r="C48" s="11" t="s">
        <v>306</v>
      </c>
      <c r="D48" s="11"/>
      <c r="E48" s="11"/>
    </row>
    <row r="49" spans="1:5" x14ac:dyDescent="0.25">
      <c r="A49" s="11" t="s">
        <v>277</v>
      </c>
      <c r="B49" s="11" t="s">
        <v>152</v>
      </c>
      <c r="C49" s="11"/>
      <c r="D49" s="11" t="s">
        <v>334</v>
      </c>
      <c r="E49" s="1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D6" sqref="D6"/>
    </sheetView>
  </sheetViews>
  <sheetFormatPr defaultRowHeight="15" x14ac:dyDescent="0.25"/>
  <cols>
    <col min="1" max="1" width="72.5703125" bestFit="1" customWidth="1"/>
    <col min="2" max="2" width="13.85546875" bestFit="1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0</v>
      </c>
    </row>
    <row r="2" spans="1:8" x14ac:dyDescent="0.25">
      <c r="A2" t="s">
        <v>18</v>
      </c>
      <c r="B2" t="s">
        <v>17</v>
      </c>
      <c r="G2" s="6" t="s">
        <v>307</v>
      </c>
      <c r="H2" s="7">
        <f>COUNTIF(C:C,G2)</f>
        <v>0</v>
      </c>
    </row>
    <row r="3" spans="1:8" ht="15.75" thickBot="1" x14ac:dyDescent="0.3">
      <c r="A3" t="s">
        <v>19</v>
      </c>
      <c r="B3" t="s">
        <v>17</v>
      </c>
      <c r="G3" s="8" t="s">
        <v>308</v>
      </c>
      <c r="H3" s="9" t="e">
        <f>H1/SUM(H1:H2)</f>
        <v>#DIV/0!</v>
      </c>
    </row>
    <row r="4" spans="1:8" x14ac:dyDescent="0.25">
      <c r="A4" t="s">
        <v>20</v>
      </c>
      <c r="B4" t="s">
        <v>17</v>
      </c>
    </row>
    <row r="5" spans="1:8" x14ac:dyDescent="0.25">
      <c r="A5" t="s">
        <v>21</v>
      </c>
      <c r="B5" t="s">
        <v>17</v>
      </c>
    </row>
    <row r="6" spans="1:8" x14ac:dyDescent="0.25">
      <c r="A6" t="s">
        <v>22</v>
      </c>
      <c r="B6" t="s">
        <v>17</v>
      </c>
    </row>
    <row r="7" spans="1:8" x14ac:dyDescent="0.25">
      <c r="A7" t="s">
        <v>23</v>
      </c>
      <c r="B7" t="s">
        <v>17</v>
      </c>
    </row>
    <row r="8" spans="1:8" x14ac:dyDescent="0.25">
      <c r="A8" t="s">
        <v>24</v>
      </c>
      <c r="B8" t="s">
        <v>17</v>
      </c>
    </row>
    <row r="9" spans="1:8" x14ac:dyDescent="0.25">
      <c r="A9" t="s">
        <v>19</v>
      </c>
      <c r="B9" t="s">
        <v>17</v>
      </c>
    </row>
    <row r="10" spans="1:8" x14ac:dyDescent="0.25">
      <c r="A10" t="s">
        <v>20</v>
      </c>
      <c r="B10" t="s">
        <v>17</v>
      </c>
    </row>
    <row r="11" spans="1:8" x14ac:dyDescent="0.25">
      <c r="A11" t="s">
        <v>25</v>
      </c>
      <c r="B11" t="s">
        <v>17</v>
      </c>
    </row>
    <row r="12" spans="1:8" x14ac:dyDescent="0.25">
      <c r="A12" t="s">
        <v>26</v>
      </c>
      <c r="B12" t="s">
        <v>17</v>
      </c>
    </row>
    <row r="13" spans="1:8" x14ac:dyDescent="0.25">
      <c r="A13" t="s">
        <v>27</v>
      </c>
      <c r="B13" t="s">
        <v>17</v>
      </c>
    </row>
    <row r="14" spans="1:8" x14ac:dyDescent="0.25">
      <c r="A14" t="s">
        <v>28</v>
      </c>
      <c r="B14" t="s">
        <v>17</v>
      </c>
    </row>
    <row r="15" spans="1:8" x14ac:dyDescent="0.25">
      <c r="A15" t="s">
        <v>19</v>
      </c>
      <c r="B15" t="s">
        <v>17</v>
      </c>
    </row>
    <row r="16" spans="1:8" x14ac:dyDescent="0.25">
      <c r="A16" t="s">
        <v>29</v>
      </c>
      <c r="B16" t="s">
        <v>17</v>
      </c>
    </row>
    <row r="17" spans="1:2" x14ac:dyDescent="0.25">
      <c r="A17" t="s">
        <v>30</v>
      </c>
      <c r="B17" t="s">
        <v>17</v>
      </c>
    </row>
    <row r="18" spans="1:2" x14ac:dyDescent="0.25">
      <c r="A18" t="s">
        <v>31</v>
      </c>
      <c r="B18" t="s">
        <v>17</v>
      </c>
    </row>
    <row r="19" spans="1:2" x14ac:dyDescent="0.25">
      <c r="A19" t="s">
        <v>32</v>
      </c>
      <c r="B19" t="s">
        <v>17</v>
      </c>
    </row>
    <row r="20" spans="1:2" x14ac:dyDescent="0.25">
      <c r="A20" t="s">
        <v>19</v>
      </c>
      <c r="B20" t="s">
        <v>17</v>
      </c>
    </row>
    <row r="21" spans="1:2" x14ac:dyDescent="0.25">
      <c r="A21" t="s">
        <v>29</v>
      </c>
      <c r="B21" t="s">
        <v>17</v>
      </c>
    </row>
    <row r="22" spans="1:2" x14ac:dyDescent="0.25">
      <c r="A22" t="s">
        <v>30</v>
      </c>
      <c r="B22" t="s">
        <v>17</v>
      </c>
    </row>
    <row r="23" spans="1:2" x14ac:dyDescent="0.25">
      <c r="A23" t="s">
        <v>33</v>
      </c>
      <c r="B23" t="s">
        <v>17</v>
      </c>
    </row>
    <row r="24" spans="1:2" x14ac:dyDescent="0.25">
      <c r="A24" t="s">
        <v>284</v>
      </c>
      <c r="B24" t="s">
        <v>17</v>
      </c>
    </row>
    <row r="25" spans="1:2" x14ac:dyDescent="0.25">
      <c r="A25" t="s">
        <v>19</v>
      </c>
      <c r="B25" t="s">
        <v>17</v>
      </c>
    </row>
    <row r="26" spans="1:2" x14ac:dyDescent="0.25">
      <c r="A26" t="s">
        <v>29</v>
      </c>
      <c r="B26" t="s">
        <v>17</v>
      </c>
    </row>
    <row r="27" spans="1:2" x14ac:dyDescent="0.25">
      <c r="A27" t="s">
        <v>30</v>
      </c>
      <c r="B27" t="s">
        <v>17</v>
      </c>
    </row>
    <row r="28" spans="1:2" x14ac:dyDescent="0.25">
      <c r="A28" t="s">
        <v>34</v>
      </c>
      <c r="B28" t="s">
        <v>17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/>
  </sheetViews>
  <sheetFormatPr defaultRowHeight="15" x14ac:dyDescent="0.25"/>
  <cols>
    <col min="1" max="1" width="53" bestFit="1" customWidth="1"/>
    <col min="2" max="2" width="13.85546875" bestFit="1" customWidth="1"/>
  </cols>
  <sheetData>
    <row r="1" spans="1:8" x14ac:dyDescent="0.25">
      <c r="A1" s="1" t="s">
        <v>0</v>
      </c>
      <c r="B1" s="1" t="s">
        <v>1</v>
      </c>
      <c r="C1" s="2" t="s">
        <v>303</v>
      </c>
      <c r="D1" s="2" t="s">
        <v>304</v>
      </c>
      <c r="E1" s="3" t="s">
        <v>305</v>
      </c>
      <c r="G1" s="4" t="s">
        <v>306</v>
      </c>
      <c r="H1" s="5">
        <f>COUNTIF(C:C,G1)</f>
        <v>0</v>
      </c>
    </row>
    <row r="2" spans="1:8" x14ac:dyDescent="0.25">
      <c r="A2" t="s">
        <v>18</v>
      </c>
      <c r="B2" t="s">
        <v>17</v>
      </c>
      <c r="G2" s="6" t="s">
        <v>307</v>
      </c>
      <c r="H2" s="7">
        <f>COUNTIF(C:C,G2)</f>
        <v>0</v>
      </c>
    </row>
    <row r="3" spans="1:8" ht="15.75" thickBot="1" x14ac:dyDescent="0.3">
      <c r="A3" t="s">
        <v>19</v>
      </c>
      <c r="B3" t="s">
        <v>17</v>
      </c>
      <c r="G3" s="8" t="s">
        <v>308</v>
      </c>
      <c r="H3" s="9" t="e">
        <f>H1/SUM(H1:H2)</f>
        <v>#DIV/0!</v>
      </c>
    </row>
    <row r="4" spans="1:8" x14ac:dyDescent="0.25">
      <c r="A4" t="s">
        <v>20</v>
      </c>
      <c r="B4" t="s">
        <v>17</v>
      </c>
    </row>
    <row r="5" spans="1:8" x14ac:dyDescent="0.25">
      <c r="A5" t="s">
        <v>199</v>
      </c>
      <c r="B5" t="s">
        <v>17</v>
      </c>
    </row>
    <row r="6" spans="1:8" x14ac:dyDescent="0.25">
      <c r="A6" t="s">
        <v>21</v>
      </c>
      <c r="B6" t="s">
        <v>17</v>
      </c>
    </row>
    <row r="7" spans="1:8" x14ac:dyDescent="0.25">
      <c r="A7" t="s">
        <v>22</v>
      </c>
      <c r="B7" t="s">
        <v>17</v>
      </c>
    </row>
    <row r="8" spans="1:8" x14ac:dyDescent="0.25">
      <c r="A8" t="s">
        <v>23</v>
      </c>
      <c r="B8" t="s">
        <v>17</v>
      </c>
    </row>
    <row r="9" spans="1:8" x14ac:dyDescent="0.25">
      <c r="A9" t="s">
        <v>24</v>
      </c>
      <c r="B9" t="s">
        <v>17</v>
      </c>
    </row>
    <row r="10" spans="1:8" x14ac:dyDescent="0.25">
      <c r="A10" t="s">
        <v>19</v>
      </c>
      <c r="B10" t="s">
        <v>17</v>
      </c>
    </row>
    <row r="11" spans="1:8" x14ac:dyDescent="0.25">
      <c r="A11" t="s">
        <v>20</v>
      </c>
      <c r="B11" t="s">
        <v>17</v>
      </c>
    </row>
    <row r="12" spans="1:8" x14ac:dyDescent="0.25">
      <c r="A12" t="s">
        <v>199</v>
      </c>
      <c r="B12" t="s">
        <v>17</v>
      </c>
    </row>
    <row r="13" spans="1:8" x14ac:dyDescent="0.25">
      <c r="A13" t="s">
        <v>25</v>
      </c>
      <c r="B13" t="s">
        <v>17</v>
      </c>
    </row>
    <row r="14" spans="1:8" x14ac:dyDescent="0.25">
      <c r="A14" t="s">
        <v>26</v>
      </c>
      <c r="B14" t="s">
        <v>17</v>
      </c>
    </row>
    <row r="15" spans="1:8" x14ac:dyDescent="0.25">
      <c r="A15" t="s">
        <v>27</v>
      </c>
      <c r="B15" t="s">
        <v>17</v>
      </c>
    </row>
    <row r="16" spans="1:8" x14ac:dyDescent="0.25">
      <c r="A16" t="s">
        <v>28</v>
      </c>
      <c r="B16" t="s">
        <v>17</v>
      </c>
    </row>
    <row r="17" spans="1:2" x14ac:dyDescent="0.25">
      <c r="A17" t="s">
        <v>19</v>
      </c>
      <c r="B17" t="s">
        <v>17</v>
      </c>
    </row>
    <row r="18" spans="1:2" x14ac:dyDescent="0.25">
      <c r="A18" t="s">
        <v>29</v>
      </c>
      <c r="B18" t="s">
        <v>17</v>
      </c>
    </row>
    <row r="19" spans="1:2" x14ac:dyDescent="0.25">
      <c r="A19" t="s">
        <v>199</v>
      </c>
      <c r="B19" t="s">
        <v>17</v>
      </c>
    </row>
    <row r="20" spans="1:2" x14ac:dyDescent="0.25">
      <c r="A20" t="s">
        <v>30</v>
      </c>
      <c r="B20" t="s">
        <v>17</v>
      </c>
    </row>
    <row r="21" spans="1:2" x14ac:dyDescent="0.25">
      <c r="A21" t="s">
        <v>31</v>
      </c>
      <c r="B21" t="s">
        <v>17</v>
      </c>
    </row>
    <row r="22" spans="1:2" x14ac:dyDescent="0.25">
      <c r="A22" t="s">
        <v>32</v>
      </c>
      <c r="B22" t="s">
        <v>17</v>
      </c>
    </row>
    <row r="23" spans="1:2" x14ac:dyDescent="0.25">
      <c r="A23" t="s">
        <v>19</v>
      </c>
      <c r="B23" t="s">
        <v>17</v>
      </c>
    </row>
    <row r="24" spans="1:2" x14ac:dyDescent="0.25">
      <c r="A24" t="s">
        <v>29</v>
      </c>
      <c r="B24" t="s">
        <v>17</v>
      </c>
    </row>
    <row r="25" spans="1:2" x14ac:dyDescent="0.25">
      <c r="A25" t="s">
        <v>199</v>
      </c>
      <c r="B25" t="s">
        <v>17</v>
      </c>
    </row>
    <row r="26" spans="1:2" x14ac:dyDescent="0.25">
      <c r="A26" t="s">
        <v>30</v>
      </c>
      <c r="B26" t="s">
        <v>17</v>
      </c>
    </row>
    <row r="27" spans="1:2" x14ac:dyDescent="0.25">
      <c r="A27" t="s">
        <v>33</v>
      </c>
      <c r="B27" t="s">
        <v>17</v>
      </c>
    </row>
    <row r="28" spans="1:2" x14ac:dyDescent="0.25">
      <c r="A28" t="s">
        <v>200</v>
      </c>
      <c r="B28" t="s">
        <v>17</v>
      </c>
    </row>
    <row r="29" spans="1:2" x14ac:dyDescent="0.25">
      <c r="A29" t="s">
        <v>19</v>
      </c>
      <c r="B29" t="s">
        <v>17</v>
      </c>
    </row>
    <row r="30" spans="1:2" x14ac:dyDescent="0.25">
      <c r="A30" t="s">
        <v>29</v>
      </c>
      <c r="B30" t="s">
        <v>17</v>
      </c>
    </row>
    <row r="31" spans="1:2" x14ac:dyDescent="0.25">
      <c r="A31" t="s">
        <v>199</v>
      </c>
      <c r="B31" t="s">
        <v>17</v>
      </c>
    </row>
    <row r="32" spans="1:2" x14ac:dyDescent="0.25">
      <c r="A32" t="s">
        <v>30</v>
      </c>
      <c r="B32" t="s">
        <v>17</v>
      </c>
    </row>
    <row r="33" spans="1:2" x14ac:dyDescent="0.25">
      <c r="A33" t="s">
        <v>34</v>
      </c>
      <c r="B33" t="s">
        <v>17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SR</vt:lpstr>
      <vt:lpstr>SR_C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2026-03-10T15:09:47Z</dcterms:created>
  <dcterms:modified xsi:type="dcterms:W3CDTF">2026-03-25T09:17:11Z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2026-03-23T03:35:29Z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25812239-8863-47ed-97f4-ed7b008bcb99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