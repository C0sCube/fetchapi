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E74EC3BF-A7CA-41F7-88A3-FE5A6962B0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and Loss" sheetId="2" r:id="rId1"/>
    <sheet name="Consolidated Profit and Loss" sheetId="4" r:id="rId2"/>
    <sheet name="Standalone Balance Sheet" sheetId="3" r:id="rId3"/>
    <sheet name="Consolidated Balance Sheet" sheetId="6" r:id="rId4"/>
    <sheet name="Standalone Cash Flows" sheetId="1" r:id="rId5"/>
    <sheet name="Consolidated Cash Flows" sheetId="5" r:id="rId6"/>
  </sheets>
  <definedNames>
    <definedName name="_xlnm._FilterDatabase" localSheetId="3" hidden="1">'Consolidated Balance Sheet'!$A$1:$H$55</definedName>
    <definedName name="_xlnm._FilterDatabase" localSheetId="1" hidden="1">'Consolidated Profit and Loss'!$A$1:$L$45</definedName>
    <definedName name="_xlnm._FilterDatabase" localSheetId="2" hidden="1">'Standalone Balance Sheet'!$A$1:$H$53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1"/>
  <c r="H1" i="1"/>
  <c r="H3" i="1" s="1"/>
  <c r="H2" i="4"/>
  <c r="H1" i="4"/>
  <c r="H2" i="2"/>
  <c r="H1" i="2"/>
  <c r="H2" i="3"/>
  <c r="H1" i="3"/>
  <c r="H2" i="6"/>
  <c r="H1" i="6"/>
  <c r="H3" i="5" l="1"/>
  <c r="H3" i="6"/>
  <c r="H3" i="3"/>
  <c r="H3" i="4"/>
  <c r="H3" i="2"/>
</calcChain>
</file>

<file path=xl/sharedStrings.xml><?xml version="1.0" encoding="utf-8"?>
<sst xmlns="http://schemas.openxmlformats.org/spreadsheetml/2006/main" count="954" uniqueCount="257">
  <si>
    <t>Particulars</t>
  </si>
  <si>
    <t>Cogencis Field</t>
  </si>
  <si>
    <t>Adjustments For</t>
  </si>
  <si>
    <t>Lable</t>
  </si>
  <si>
    <t>Depreciation and Amortisation Expenses</t>
  </si>
  <si>
    <t>Depreciation and Amortisation Expense</t>
  </si>
  <si>
    <t>Debit balance Written Off</t>
  </si>
  <si>
    <t>Miscellaneous Expenditure Written Off</t>
  </si>
  <si>
    <t>Allowance for Doubtful Trade Receivables ( Net )</t>
  </si>
  <si>
    <t>Provision For Doubtful Debts</t>
  </si>
  <si>
    <t>Gain on Fair Value of Interest Free SGST Loan from Government</t>
  </si>
  <si>
    <t>Interest Income</t>
  </si>
  <si>
    <t>Net ( Gain)/Loss on Sale of Investments</t>
  </si>
  <si>
    <t>Profit On Sale Of Investments</t>
  </si>
  <si>
    <t>(Gain)/Loss on Fair Value of Investments through Profit or Loss</t>
  </si>
  <si>
    <t>Profit / Loss from Deployment in Mutual Funds</t>
  </si>
  <si>
    <t>Interest Received</t>
  </si>
  <si>
    <t>Dividend Income</t>
  </si>
  <si>
    <t>Dividend Received</t>
  </si>
  <si>
    <t>Loss/(Profit ) on Sale of Property Plant and Equipment ( Net ) / Assets Written Off</t>
  </si>
  <si>
    <t>Profit On Sale Of Fixed Assets</t>
  </si>
  <si>
    <t>Finance Costs</t>
  </si>
  <si>
    <t>Interest Expense</t>
  </si>
  <si>
    <t>Operating Profit Before Working Capital Changes</t>
  </si>
  <si>
    <t>(Increase ) / Decrease in Trade and Other Receivables</t>
  </si>
  <si>
    <t>Trade And Other Receivables</t>
  </si>
  <si>
    <t>(Increase ) / Decrease in Inventories</t>
  </si>
  <si>
    <t>Inventories</t>
  </si>
  <si>
    <t>Increase / ( Decrease ) in Trade &amp; Other Payables and Provisions</t>
  </si>
  <si>
    <t>Trade Payables And Others</t>
  </si>
  <si>
    <t>Cash Generated From Operations</t>
  </si>
  <si>
    <t>Direct Taxes Paid ( Net of Refunds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</si>
  <si>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</si>
  <si>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</si>
  <si>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</si>
  <si>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</si>
  <si>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</si>
  <si>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( Including Capital Work - in­ - Progress and Capital Advances )</t>
  </si>
  <si>
    <t>Purchase Of Fixed Assets (Tangible / Intangible)</t>
  </si>
  <si>
    <t>Proceeds from Sale of Property Plant and Equipment</t>
  </si>
  <si>
    <t>Sale Of Fixed Assets (Tangible / Intangible)</t>
  </si>
  <si>
    <t>Payments for Intangible Assets</t>
  </si>
  <si>
    <t>(Purchases ) / Proceeds of Investments in Mutual Funds ( Net )</t>
  </si>
  <si>
    <t>Investments in Mutual Funds</t>
  </si>
  <si>
    <t>Investment made in Subsidiary Companies</t>
  </si>
  <si>
    <t>Investment In Subsidiaries</t>
  </si>
  <si>
    <t>Purchases of Other Investments</t>
  </si>
  <si>
    <t>Purchase Of Investments</t>
  </si>
  <si>
    <t>Proceeds from Sale/ Redemption of Other Investments</t>
  </si>
  <si>
    <t>Sale Of Investments</t>
  </si>
  <si>
    <t>Loan Given to Subsidiary Companies</t>
  </si>
  <si>
    <t>Loans To Subsidiaries</t>
  </si>
  <si>
    <t>Repayment Received for Loan Given to Subsidiary Companies</t>
  </si>
  <si>
    <t>Cash Receipts from Repayment of Advances and Loans Made to Other Parties</t>
  </si>
  <si>
    <t>Investments in Bank Deposits</t>
  </si>
  <si>
    <t>Fixed Deposits</t>
  </si>
  <si>
    <t>Maturity of Bank Deposits</t>
  </si>
  <si>
    <t>Change in Earmarked Balances with Banks</t>
  </si>
  <si>
    <t>Net Cash Used in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</si>
  <si>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</si>
  <si>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</si>
  <si>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</si>
  <si>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</si>
  <si>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</si>
  <si>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Repayment of Lease Liabilities ( including Interest )</t>
  </si>
  <si>
    <t>Payments of lease liabilities</t>
  </si>
  <si>
    <t>Proceeds / ( Repayment ) of Short Term Borrowings ( Net ) ( upto Three months maturity )</t>
  </si>
  <si>
    <t>Proceeds From Short Term Borrowings</t>
  </si>
  <si>
    <t>Interest and Financial Charges Paid</t>
  </si>
  <si>
    <t>Interest Paid</t>
  </si>
  <si>
    <t>Dividend Paid</t>
  </si>
  <si>
    <t>Net Cash Used in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</si>
  <si>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</si>
  <si>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</si>
  <si>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</si>
  <si>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as at the beginning of the Year #</t>
  </si>
  <si>
    <t>Cash and Cash Equivalents at the Beginning of the Year</t>
  </si>
  <si>
    <t>Cash and Cash Equivalents as at the end of the Year #</t>
  </si>
  <si>
    <t>Cash and Cash Equivalents at the End of the Year</t>
  </si>
  <si>
    <t>Total Income</t>
  </si>
  <si>
    <t>Expenses</t>
  </si>
  <si>
    <t>Cost of Materials Consumed</t>
  </si>
  <si>
    <t>Purchases of Stock - in - Trade</t>
  </si>
  <si>
    <t>Purchase of Stock-in-Trade</t>
  </si>
  <si>
    <t>Changes in Inventories of Finished Goods Stock - in - Trade and Work - in - Progress</t>
  </si>
  <si>
    <t>Changes in Inventories of Finished Goods, Work-In-Progress and Stock-In-Trade</t>
  </si>
  <si>
    <t>Employee Benefits Expenses</t>
  </si>
  <si>
    <t>Employee Benefit Expense</t>
  </si>
  <si>
    <t>Depreciation and Amortization Expenses</t>
  </si>
  <si>
    <t>Depreciation, Depletion and Amortisation Expense</t>
  </si>
  <si>
    <t>Power and Fuel</t>
  </si>
  <si>
    <t>Freight and Forwarding Expenses</t>
  </si>
  <si>
    <t>Other Expenses</t>
  </si>
  <si>
    <t>Total Expenses</t>
  </si>
  <si>
    <t>Earnings before Interest Taxes and Depreciation &amp; Amortisation (EBITDA)</t>
  </si>
  <si>
    <t>EBITDA</t>
  </si>
  <si>
    <t>Profit Before Tax</t>
  </si>
  <si>
    <t>Profit/(Loss) From Ordinary Activities before Tax</t>
  </si>
  <si>
    <t>Tax Expense</t>
  </si>
  <si>
    <t>Current Tax</t>
  </si>
  <si>
    <t>Deferred Tax Charge/(Credit)</t>
  </si>
  <si>
    <t>Deferred Tax</t>
  </si>
  <si>
    <t>Total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</si>
  <si>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</si>
  <si>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</si>
  <si>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</si>
  <si>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</si>
  <si>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</si>
  <si>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</si>
  <si>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</si>
  <si>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</si>
  <si>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</si>
  <si>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</si>
  <si>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</si>
  <si>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Income/(Loss ) for the Period</t>
  </si>
  <si>
    <t>Comprehensive Income Attributable To [Total]</t>
  </si>
  <si>
    <t>Total Comprehensive Income for the Period</t>
  </si>
  <si>
    <t>Total Comprehensive Gain (Loss) For the Year</t>
  </si>
  <si>
    <t>Paid - up Equity Share Capital ( Face value Rs 10 per share )</t>
  </si>
  <si>
    <t>Paid-Up Equity Share Capital</t>
  </si>
  <si>
    <t>Other Equity</t>
  </si>
  <si>
    <t>Reserve excluding Revaluation Reserves (as per Balance Sheet of Previous Accounting Year)</t>
  </si>
  <si>
    <t>Earnings Per Share ( EPS ) ( of Rs TO each ) - Not Annualized</t>
  </si>
  <si>
    <t>Cash ( in Rs . )</t>
  </si>
  <si>
    <t>Face Value</t>
  </si>
  <si>
    <t>Basic and Diluted ( in Rs . )</t>
  </si>
  <si>
    <t>Basic EPS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</si>
  <si>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</si>
  <si>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</si>
  <si>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</si>
  <si>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</si>
  <si>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</si>
  <si>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</si>
  <si>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Right of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</si>
  <si>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</si>
  <si>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</si>
  <si>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</si>
  <si>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</si>
  <si>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</si>
  <si>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</si>
  <si>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</si>
  <si>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</si>
  <si>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</si>
  <si>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</si>
  <si>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Non - Current Tax Assets ( Net )</t>
  </si>
  <si>
    <t>Income Tax assets (net)</t>
  </si>
  <si>
    <t>Other Non - Current Assets</t>
  </si>
  <si>
    <t>Other Non-Current Assets</t>
  </si>
  <si>
    <t>Sub - total</t>
  </si>
  <si>
    <t>Total Non-Current Assets</t>
  </si>
  <si>
    <t>Current Assets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</si>
  <si>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</si>
  <si>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</si>
  <si>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</si>
  <si>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</si>
  <si>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</si>
  <si>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</si>
  <si>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</si>
  <si>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</si>
  <si>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</si>
  <si>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</si>
  <si>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</si>
  <si>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</si>
  <si>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 xml:space="preserve">Sub - total 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</si>
  <si>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</si>
  <si>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</si>
  <si>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</si>
  <si>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</si>
  <si>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</si>
  <si>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</si>
  <si>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</si>
  <si>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</si>
  <si>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</si>
  <si>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</si>
  <si>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</si>
  <si>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</si>
  <si>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Current Liabilities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</si>
  <si>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</si>
  <si>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</si>
  <si>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</si>
  <si>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</si>
  <si>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</si>
  <si>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</si>
  <si>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</si>
  <si>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</si>
  <si>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</si>
  <si>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Changes in Inventories of Finished Goods Stock - in - Trade and Work - in­ - Progress</t>
  </si>
  <si>
    <t>Deferred Tax Charge/(Credit )</t>
  </si>
  <si>
    <t>Tax Expense Relating to Earlier Years ( Net )</t>
  </si>
  <si>
    <t>Profit/(Loss ) attributable to</t>
  </si>
  <si>
    <t>Profit (Loss) Attributable To [Total]</t>
  </si>
  <si>
    <t>Owners of the Company</t>
  </si>
  <si>
    <t>Owners of the company</t>
  </si>
  <si>
    <t>Non - Controlling Interest</t>
  </si>
  <si>
    <t>Other Comprehensive Income/(Loss ) attributable to</t>
  </si>
  <si>
    <t>Total Comprehensive Income/(Loss ) attributable to</t>
  </si>
  <si>
    <t>Total Comprehensive Income Attributable To</t>
  </si>
  <si>
    <t>Earnings Per Share ( EPS ) ( of Rs.10 each ) - Not Annualized</t>
  </si>
  <si>
    <t>Basic and Diluted ( In Rs . )</t>
  </si>
  <si>
    <t>Adjustments For :</t>
  </si>
  <si>
    <t>Foreign Exchange Rate Differences ( Net )</t>
  </si>
  <si>
    <t>Foreign Exchange Gain / Loss</t>
  </si>
  <si>
    <t>Gain on Fair value of Interest Free SGST Loan from Government</t>
  </si>
  <si>
    <t>Loss on Fair Value of Investments through Profit or Loss</t>
  </si>
  <si>
    <t>Loss/ ( Profit ) on Sale of Properly Plant and Equipment ( Net ) / Assets Written Off</t>
  </si>
  <si>
    <t>Increase / ( Decrease ) In Trade &amp; Other Payables and Provisions</t>
  </si>
  <si>
    <t>Purchases of Property Plant and Equipment ( Including Capital Work - in ­ Progress and Capital Advances )</t>
  </si>
  <si>
    <t>Purchase of Precious Metal</t>
  </si>
  <si>
    <t>Purchase of goodwill</t>
  </si>
  <si>
    <t>Investments In Bank Deposits</t>
  </si>
  <si>
    <t>Acquisition of Additional Stake in Subsidiary Company from Non Controlling Interest</t>
  </si>
  <si>
    <t>Others-From Operations</t>
  </si>
  <si>
    <t>Net Cash ( Used in ) /From Financing Activities</t>
  </si>
  <si>
    <t>Add Effect of exchange rate on consolidation of Foreign Subsidiaries</t>
  </si>
  <si>
    <t>Cash and Cash equivalents as at the end of the period #</t>
  </si>
  <si>
    <t>Total Equity attributable to Owners of the Company</t>
  </si>
  <si>
    <t>Total Share Holder's Funds</t>
  </si>
  <si>
    <t>Minority Interest</t>
  </si>
  <si>
    <t>Total Equity</t>
  </si>
  <si>
    <t>Deferred Tax Liabilities</t>
  </si>
  <si>
    <t>Deferred Tax Liability (Net)</t>
  </si>
  <si>
    <t>Status</t>
  </si>
  <si>
    <t>Revised Field Mapping</t>
  </si>
  <si>
    <t>Field ID</t>
  </si>
  <si>
    <t>Correct</t>
  </si>
  <si>
    <t>Incorrect</t>
  </si>
  <si>
    <t>Accuracy %</t>
  </si>
  <si>
    <t>Gross Sales/Income from Operations</t>
  </si>
  <si>
    <t>Miscellaneous Income</t>
  </si>
  <si>
    <t>Revenue from Operations</t>
  </si>
  <si>
    <t>Other Income</t>
  </si>
  <si>
    <t>Freight &amp; Handling Expenses</t>
  </si>
  <si>
    <t>Label</t>
  </si>
  <si>
    <t>Ignore this field</t>
  </si>
  <si>
    <t>Diluted EPS</t>
  </si>
  <si>
    <t>The ‘Revenue from Operations’ field is not captured and has been added manually.</t>
  </si>
  <si>
    <t>The ‘Other Income’ field is not captured and has been added manually.</t>
  </si>
  <si>
    <t>The ‘Diluted EPS’ field is not captured and has been added manually.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</si>
  <si>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</si>
  <si>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</si>
  <si>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</si>
  <si>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</si>
  <si>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</si>
  <si>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</si>
  <si>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Total Current Liabilities</t>
  </si>
  <si>
    <t>Total Non-Current Liabilities</t>
  </si>
  <si>
    <t>Same field additionally captured</t>
  </si>
  <si>
    <t>Total Current Assets</t>
  </si>
  <si>
    <t>Others-Before Working Capital Changes</t>
  </si>
  <si>
    <t>Others-Investing Activities</t>
  </si>
  <si>
    <t>Net Profit Before Tax And Exceptional Item</t>
  </si>
  <si>
    <t>The ‘Net Profit Before Tax And Exceptional Item’ field is not captured and has been added manually.</t>
  </si>
  <si>
    <t>Others-Financing Activities</t>
  </si>
  <si>
    <t>Effect of Exchange Fluctuation Translation Reserve</t>
  </si>
  <si>
    <t>Remark</t>
  </si>
  <si>
    <t>Profit/(Loss) from Ordinary Activities after Finance Costs but before Exceptional Items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</si>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</sst>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8" xfId="0" applyBorder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workbookViewId="0"/>
  </sheetViews>
  <sheetFormatPr defaultRowHeight="15" x14ac:dyDescent="0.25"/>
  <cols>
    <col min="1" max="1" width="38.5703125" customWidth="1"/>
    <col min="2" max="2" width="48.85546875" customWidth="1"/>
    <col min="3" max="3" width="8.85546875" bestFit="1" customWidth="1"/>
    <col min="4" max="4" width="34.140625" bestFit="1" customWidth="1"/>
    <col min="5" max="5" width="7.140625" bestFit="1" customWidth="1"/>
    <col min="6" max="6" width="76.42578125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14" t="s">
        <v>223</v>
      </c>
      <c r="F1" s="2" t="s">
        <v>254</v>
      </c>
      <c r="G1" s="16" t="s">
        <v>224</v>
      </c>
      <c r="H1" s="4">
        <f>COUNTIF(C:C,G1)</f>
        <v>26</v>
      </c>
    </row>
    <row r="2" spans="1:8" x14ac:dyDescent="0.25">
      <c r="A2" s="9" t="s">
        <v>229</v>
      </c>
      <c r="B2" s="9"/>
      <c r="C2" s="9" t="s">
        <v>225</v>
      </c>
      <c r="D2" s="9" t="s">
        <v>227</v>
      </c>
      <c r="E2" s="15">
        <v>256</v>
      </c>
      <c r="F2" s="2" t="s">
        <v>235</v>
      </c>
      <c r="G2" t="s">
        <v>225</v>
      </c>
      <c r="H2" s="6">
        <f>COUNTIF(C:C,G2)</f>
        <v>8</v>
      </c>
    </row>
    <row r="3" spans="1:8" ht="15.75" thickBot="1" x14ac:dyDescent="0.3">
      <c r="A3" s="9" t="s">
        <v>230</v>
      </c>
      <c r="B3" s="9"/>
      <c r="C3" s="9" t="s">
        <v>225</v>
      </c>
      <c r="D3" s="9" t="s">
        <v>228</v>
      </c>
      <c r="E3" s="15">
        <v>265</v>
      </c>
      <c r="F3" s="2" t="s">
        <v>236</v>
      </c>
      <c r="G3" s="17" t="s">
        <v>226</v>
      </c>
      <c r="H3" s="8">
        <f>H1/SUM(H1:H2)</f>
        <v>0.76470588235294112</v>
      </c>
    </row>
    <row r="4" spans="1:8" x14ac:dyDescent="0.25">
      <c r="A4" s="9" t="s">
        <v>79</v>
      </c>
      <c r="B4" s="9" t="s">
        <v>79</v>
      </c>
      <c r="C4" s="9" t="s">
        <v>224</v>
      </c>
      <c r="D4" s="9"/>
      <c r="E4" s="15"/>
      <c r="F4" s="9"/>
    </row>
    <row r="5" spans="1:8" x14ac:dyDescent="0.25">
      <c r="A5" s="9" t="s">
        <v>80</v>
      </c>
      <c r="B5" s="9" t="s">
        <v>3</v>
      </c>
      <c r="C5" s="9" t="s">
        <v>224</v>
      </c>
      <c r="D5" s="9"/>
      <c r="E5" s="15"/>
      <c r="F5" s="9"/>
    </row>
    <row r="6" spans="1:8" x14ac:dyDescent="0.25">
      <c r="A6" s="9" t="s">
        <v>81</v>
      </c>
      <c r="B6" s="9" t="s">
        <v>81</v>
      </c>
      <c r="C6" s="9" t="s">
        <v>224</v>
      </c>
      <c r="D6" s="9"/>
      <c r="E6" s="15"/>
      <c r="F6" s="9"/>
    </row>
    <row r="7" spans="1:8" x14ac:dyDescent="0.25">
      <c r="A7" s="9" t="s">
        <v>82</v>
      </c>
      <c r="B7" s="9" t="s">
        <v>83</v>
      </c>
      <c r="C7" s="9" t="s">
        <v>224</v>
      </c>
      <c r="D7" s="9"/>
      <c r="E7" s="15"/>
      <c r="F7" s="9"/>
    </row>
    <row r="8" spans="1:8" x14ac:dyDescent="0.25">
      <c r="A8" s="9" t="s">
        <v>84</v>
      </c>
      <c r="B8" s="9" t="s">
        <v>85</v>
      </c>
      <c r="C8" s="9" t="s">
        <v>224</v>
      </c>
      <c r="D8" s="9"/>
      <c r="E8" s="15"/>
      <c r="F8" s="9"/>
    </row>
    <row r="9" spans="1:8" x14ac:dyDescent="0.25">
      <c r="A9" s="9" t="s">
        <v>86</v>
      </c>
      <c r="B9" s="9" t="s">
        <v>87</v>
      </c>
      <c r="C9" s="9" t="s">
        <v>224</v>
      </c>
      <c r="D9" s="9"/>
      <c r="E9" s="15"/>
      <c r="F9" s="9"/>
    </row>
    <row r="10" spans="1:8" x14ac:dyDescent="0.25">
      <c r="A10" s="9" t="s">
        <v>21</v>
      </c>
      <c r="B10" s="9" t="s">
        <v>21</v>
      </c>
      <c r="C10" s="9" t="s">
        <v>224</v>
      </c>
      <c r="D10" s="9"/>
      <c r="E10" s="15"/>
      <c r="F10" s="9"/>
    </row>
    <row r="11" spans="1:8" x14ac:dyDescent="0.25">
      <c r="A11" s="9" t="s">
        <v>88</v>
      </c>
      <c r="B11" s="9" t="s">
        <v>89</v>
      </c>
      <c r="C11" s="9" t="s">
        <v>224</v>
      </c>
      <c r="D11" s="9"/>
      <c r="E11" s="15"/>
      <c r="F11" s="9"/>
    </row>
    <row r="12" spans="1:8" x14ac:dyDescent="0.25">
      <c r="A12" s="9" t="s">
        <v>90</v>
      </c>
      <c r="B12" s="9" t="s">
        <v>90</v>
      </c>
      <c r="C12" s="9" t="s">
        <v>224</v>
      </c>
      <c r="D12" s="9"/>
      <c r="E12" s="15"/>
      <c r="F12" s="9"/>
    </row>
    <row r="13" spans="1:8" x14ac:dyDescent="0.25">
      <c r="A13" s="9" t="s">
        <v>91</v>
      </c>
      <c r="B13" s="9" t="s">
        <v>92</v>
      </c>
      <c r="C13" s="9" t="s">
        <v>225</v>
      </c>
      <c r="D13" s="9" t="s">
        <v>231</v>
      </c>
      <c r="E13" s="15">
        <v>248</v>
      </c>
      <c r="F13" s="9"/>
    </row>
    <row r="14" spans="1:8" x14ac:dyDescent="0.25">
      <c r="A14" s="9" t="s">
        <v>92</v>
      </c>
      <c r="B14" s="9" t="s">
        <v>92</v>
      </c>
      <c r="C14" s="9" t="s">
        <v>224</v>
      </c>
      <c r="D14" s="9"/>
      <c r="E14" s="15"/>
      <c r="F14" s="9"/>
    </row>
    <row r="15" spans="1:8" x14ac:dyDescent="0.25">
      <c r="A15" s="9" t="s">
        <v>93</v>
      </c>
      <c r="B15" s="9" t="s">
        <v>93</v>
      </c>
      <c r="C15" s="9" t="s">
        <v>224</v>
      </c>
      <c r="D15" s="9"/>
      <c r="E15" s="15"/>
      <c r="F15" s="9"/>
    </row>
    <row r="16" spans="1:8" x14ac:dyDescent="0.25">
      <c r="A16" s="9" t="s">
        <v>94</v>
      </c>
      <c r="B16" s="9" t="s">
        <v>95</v>
      </c>
      <c r="C16" s="9" t="s">
        <v>225</v>
      </c>
      <c r="D16" s="9" t="s">
        <v>255</v>
      </c>
      <c r="E16" s="18">
        <v>294</v>
      </c>
      <c r="F16" s="9"/>
    </row>
    <row r="17" spans="1:6" x14ac:dyDescent="0.25">
      <c r="A17" s="9" t="s">
        <v>96</v>
      </c>
      <c r="B17" s="9" t="s">
        <v>97</v>
      </c>
      <c r="C17" s="9" t="s">
        <v>224</v>
      </c>
      <c r="D17" s="9"/>
      <c r="E17" s="15"/>
      <c r="F17" s="9"/>
    </row>
    <row r="18" spans="1:6" x14ac:dyDescent="0.25">
      <c r="A18" s="9" t="s">
        <v>98</v>
      </c>
      <c r="B18" s="9" t="s">
        <v>98</v>
      </c>
      <c r="C18" s="9" t="s">
        <v>225</v>
      </c>
      <c r="D18" s="9" t="s">
        <v>232</v>
      </c>
      <c r="E18" s="15"/>
      <c r="F18" s="9"/>
    </row>
    <row r="19" spans="1:6" x14ac:dyDescent="0.25">
      <c r="A19" s="9" t="s">
        <v>99</v>
      </c>
      <c r="B19" s="9" t="s">
        <v>98</v>
      </c>
      <c r="C19" s="9" t="s">
        <v>224</v>
      </c>
      <c r="D19" s="9"/>
      <c r="E19" s="15"/>
      <c r="F19" s="9"/>
    </row>
    <row r="20" spans="1:6" x14ac:dyDescent="0.25">
      <c r="A20" s="9" t="s">
        <v>100</v>
      </c>
      <c r="B20" s="9" t="s">
        <v>101</v>
      </c>
      <c r="C20" s="9" t="s">
        <v>224</v>
      </c>
      <c r="D20" s="9"/>
      <c r="E20" s="15"/>
      <c r="F20" s="9"/>
    </row>
    <row r="21" spans="1:6" x14ac:dyDescent="0.25">
      <c r="A21" s="9" t="s">
        <v>102</v>
      </c>
      <c r="B21" s="9" t="s">
        <v>3</v>
      </c>
      <c r="C21" s="9" t="s">
        <v>225</v>
      </c>
      <c r="D21" s="9" t="s">
        <v>256</v>
      </c>
      <c r="E21" s="15"/>
      <c r="F21" s="9"/>
    </row>
    <row r="22" spans="1:6" x14ac:dyDescent="0.25">
      <c r="A22" s="9" t="s">
        <v>103</v>
      </c>
      <c r="B22" s="9" t="s">
        <v>104</v>
      </c>
      <c r="C22" s="9" t="s">
        <v>224</v>
      </c>
      <c r="D22" s="9"/>
      <c r="E22" s="15"/>
      <c r="F22" s="9"/>
    </row>
    <row r="23" spans="1:6" x14ac:dyDescent="0.25">
      <c r="A23" s="9" t="s">
        <v>105</v>
      </c>
      <c r="B23" s="9" t="s">
        <v>3</v>
      </c>
      <c r="C23" s="9" t="s">
        <v>224</v>
      </c>
      <c r="D23" s="9"/>
      <c r="E23" s="15"/>
      <c r="F23" s="9"/>
    </row>
    <row r="24" spans="1:6" x14ac:dyDescent="0.25">
      <c r="A24" s="9" t="s">
        <v>106</v>
      </c>
      <c r="B24" s="9" t="s">
        <v>107</v>
      </c>
      <c r="C24" s="9" t="s">
        <v>224</v>
      </c>
      <c r="D24" s="9"/>
      <c r="E24" s="15"/>
      <c r="F24" s="9"/>
    </row>
    <row r="25" spans="1:6" x14ac:dyDescent="0.25">
      <c r="A25" s="9" t="s">
        <v>108</v>
      </c>
      <c r="B25" s="9" t="s">
        <v>109</v>
      </c>
      <c r="C25" s="9" t="s">
        <v>224</v>
      </c>
      <c r="D25" s="9"/>
      <c r="E25" s="15"/>
      <c r="F25" s="9"/>
    </row>
    <row r="26" spans="1:6" x14ac:dyDescent="0.25">
      <c r="A26" s="9" t="s">
        <v>110</v>
      </c>
      <c r="B26" s="9" t="s">
        <v>111</v>
      </c>
      <c r="C26" s="9" t="s">
        <v>224</v>
      </c>
      <c r="D26" s="9"/>
      <c r="E26" s="15"/>
      <c r="F26" s="9"/>
    </row>
    <row r="27" spans="1:6" x14ac:dyDescent="0.25">
      <c r="A27" s="9" t="s">
        <v>112</v>
      </c>
      <c r="B27" s="9" t="s">
        <v>113</v>
      </c>
      <c r="C27" s="9" t="s">
        <v>224</v>
      </c>
      <c r="D27" s="9"/>
      <c r="E27" s="15"/>
      <c r="F27" s="9"/>
    </row>
    <row r="28" spans="1:6" x14ac:dyDescent="0.25">
      <c r="A28" s="9" t="s">
        <v>114</v>
      </c>
      <c r="B28" s="9" t="s">
        <v>115</v>
      </c>
      <c r="C28" s="9" t="s">
        <v>225</v>
      </c>
      <c r="D28" s="9" t="s">
        <v>105</v>
      </c>
      <c r="E28" s="15">
        <v>16484</v>
      </c>
      <c r="F28" s="9"/>
    </row>
    <row r="29" spans="1:6" x14ac:dyDescent="0.25">
      <c r="A29" s="9" t="s">
        <v>116</v>
      </c>
      <c r="B29" s="9" t="s">
        <v>117</v>
      </c>
      <c r="C29" s="9" t="s">
        <v>224</v>
      </c>
      <c r="D29" s="9"/>
      <c r="E29" s="15"/>
      <c r="F29" s="9"/>
    </row>
    <row r="30" spans="1:6" x14ac:dyDescent="0.25">
      <c r="A30" s="9" t="s">
        <v>118</v>
      </c>
      <c r="B30" s="9" t="s">
        <v>119</v>
      </c>
      <c r="C30" s="9" t="s">
        <v>224</v>
      </c>
      <c r="D30" s="9"/>
      <c r="E30" s="15"/>
      <c r="F30" s="9"/>
    </row>
    <row r="31" spans="1:6" x14ac:dyDescent="0.25">
      <c r="A31" s="9" t="s">
        <v>120</v>
      </c>
      <c r="B31" s="9" t="s">
        <v>121</v>
      </c>
      <c r="C31" s="9" t="s">
        <v>224</v>
      </c>
      <c r="D31" s="9"/>
      <c r="E31" s="15"/>
      <c r="F31" s="9"/>
    </row>
    <row r="32" spans="1:6" x14ac:dyDescent="0.25">
      <c r="A32" s="9" t="s">
        <v>122</v>
      </c>
      <c r="B32" s="9" t="s">
        <v>3</v>
      </c>
      <c r="C32" s="9" t="s">
        <v>224</v>
      </c>
      <c r="D32" s="9"/>
      <c r="E32" s="15"/>
      <c r="F32" s="9"/>
    </row>
    <row r="33" spans="1:6" x14ac:dyDescent="0.25">
      <c r="A33" s="9" t="s">
        <v>123</v>
      </c>
      <c r="B33" s="9" t="s">
        <v>124</v>
      </c>
      <c r="C33" s="9" t="s">
        <v>225</v>
      </c>
      <c r="D33" s="9" t="s">
        <v>233</v>
      </c>
      <c r="E33" s="15"/>
      <c r="F33" s="9"/>
    </row>
    <row r="34" spans="1:6" x14ac:dyDescent="0.25">
      <c r="A34" s="9" t="s">
        <v>125</v>
      </c>
      <c r="B34" s="9" t="s">
        <v>126</v>
      </c>
      <c r="C34" s="9" t="s">
        <v>224</v>
      </c>
      <c r="D34" s="9"/>
      <c r="E34" s="15"/>
      <c r="F34" s="9"/>
    </row>
    <row r="35" spans="1:6" x14ac:dyDescent="0.25">
      <c r="A35" s="9" t="s">
        <v>125</v>
      </c>
      <c r="B35" t="s">
        <v>234</v>
      </c>
      <c r="C35" s="9" t="s">
        <v>224</v>
      </c>
      <c r="D35" s="2" t="s">
        <v>237</v>
      </c>
      <c r="E35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/>
  </sheetViews>
  <sheetFormatPr defaultRowHeight="15" x14ac:dyDescent="0.25"/>
  <cols>
    <col min="1" max="1" width="37.140625" customWidth="1"/>
    <col min="2" max="2" width="69.28515625" bestFit="1" customWidth="1"/>
    <col min="3" max="3" width="9" customWidth="1"/>
    <col min="4" max="4" width="43.28515625" bestFit="1" customWidth="1"/>
    <col min="5" max="5" width="7.140625" bestFit="1" customWidth="1"/>
    <col min="7" max="7" width="12.42578125" customWidth="1"/>
    <col min="8" max="8" width="6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14" t="s">
        <v>223</v>
      </c>
      <c r="F1" s="2" t="s">
        <v>254</v>
      </c>
      <c r="G1" s="16" t="s">
        <v>224</v>
      </c>
      <c r="H1" s="4">
        <f>COUNTIF(C:C,G1)</f>
        <v>32</v>
      </c>
    </row>
    <row r="2" spans="1:8" x14ac:dyDescent="0.25">
      <c r="A2" s="9" t="s">
        <v>229</v>
      </c>
      <c r="B2" s="9"/>
      <c r="C2" s="9" t="s">
        <v>225</v>
      </c>
      <c r="D2" s="9" t="s">
        <v>227</v>
      </c>
      <c r="E2" s="15">
        <v>256</v>
      </c>
      <c r="F2" s="11" t="s">
        <v>235</v>
      </c>
      <c r="G2" t="s">
        <v>225</v>
      </c>
      <c r="H2" s="6">
        <f>COUNTIF(C:C,G2)</f>
        <v>12</v>
      </c>
    </row>
    <row r="3" spans="1:8" ht="15.75" thickBot="1" x14ac:dyDescent="0.3">
      <c r="A3" s="9" t="s">
        <v>230</v>
      </c>
      <c r="B3" s="9"/>
      <c r="C3" s="9" t="s">
        <v>225</v>
      </c>
      <c r="D3" s="9" t="s">
        <v>228</v>
      </c>
      <c r="E3" s="15">
        <v>265</v>
      </c>
      <c r="F3" s="11" t="s">
        <v>236</v>
      </c>
      <c r="G3" s="17" t="s">
        <v>226</v>
      </c>
      <c r="H3" s="8">
        <f>H1/SUM(H1:H2)</f>
        <v>0.72727272727272729</v>
      </c>
    </row>
    <row r="4" spans="1:8" x14ac:dyDescent="0.25">
      <c r="A4" s="9" t="s">
        <v>79</v>
      </c>
      <c r="B4" s="9" t="s">
        <v>79</v>
      </c>
      <c r="C4" s="9" t="s">
        <v>224</v>
      </c>
      <c r="D4" s="9"/>
      <c r="E4" s="15"/>
      <c r="F4" s="9"/>
    </row>
    <row r="5" spans="1:8" x14ac:dyDescent="0.25">
      <c r="A5" s="9" t="s">
        <v>80</v>
      </c>
      <c r="B5" s="9" t="s">
        <v>3</v>
      </c>
      <c r="C5" s="9" t="s">
        <v>224</v>
      </c>
      <c r="D5" s="9"/>
      <c r="E5" s="15"/>
      <c r="F5" s="9"/>
    </row>
    <row r="6" spans="1:8" x14ac:dyDescent="0.25">
      <c r="A6" s="9" t="s">
        <v>81</v>
      </c>
      <c r="B6" s="9" t="s">
        <v>81</v>
      </c>
      <c r="C6" s="9" t="s">
        <v>224</v>
      </c>
      <c r="D6" s="9"/>
      <c r="E6" s="15"/>
      <c r="F6" s="9"/>
    </row>
    <row r="7" spans="1:8" x14ac:dyDescent="0.25">
      <c r="A7" s="9" t="s">
        <v>82</v>
      </c>
      <c r="B7" s="9" t="s">
        <v>83</v>
      </c>
      <c r="C7" s="9" t="s">
        <v>224</v>
      </c>
      <c r="D7" s="9"/>
      <c r="E7" s="15"/>
      <c r="F7" s="9"/>
    </row>
    <row r="8" spans="1:8" x14ac:dyDescent="0.25">
      <c r="A8" s="9" t="s">
        <v>186</v>
      </c>
      <c r="B8" s="9" t="s">
        <v>85</v>
      </c>
      <c r="C8" s="9" t="s">
        <v>224</v>
      </c>
      <c r="D8" s="9"/>
      <c r="E8" s="15"/>
      <c r="F8" s="9"/>
    </row>
    <row r="9" spans="1:8" x14ac:dyDescent="0.25">
      <c r="A9" s="9" t="s">
        <v>86</v>
      </c>
      <c r="B9" s="9" t="s">
        <v>87</v>
      </c>
      <c r="C9" s="9" t="s">
        <v>224</v>
      </c>
      <c r="D9" s="9"/>
      <c r="E9" s="15"/>
      <c r="F9" s="9"/>
    </row>
    <row r="10" spans="1:8" x14ac:dyDescent="0.25">
      <c r="A10" s="9" t="s">
        <v>21</v>
      </c>
      <c r="B10" s="9" t="s">
        <v>21</v>
      </c>
      <c r="C10" s="9" t="s">
        <v>224</v>
      </c>
      <c r="D10" s="9"/>
      <c r="E10" s="15"/>
      <c r="F10" s="9"/>
    </row>
    <row r="11" spans="1:8" x14ac:dyDescent="0.25">
      <c r="A11" s="9" t="s">
        <v>88</v>
      </c>
      <c r="B11" s="9" t="s">
        <v>89</v>
      </c>
      <c r="C11" s="9" t="s">
        <v>224</v>
      </c>
      <c r="D11" s="9"/>
      <c r="E11" s="15"/>
      <c r="F11" s="9"/>
    </row>
    <row r="12" spans="1:8" x14ac:dyDescent="0.25">
      <c r="A12" s="9" t="s">
        <v>90</v>
      </c>
      <c r="B12" s="9" t="s">
        <v>90</v>
      </c>
      <c r="C12" s="9" t="s">
        <v>224</v>
      </c>
      <c r="D12" s="9"/>
      <c r="E12" s="15"/>
      <c r="F12" s="9"/>
    </row>
    <row r="13" spans="1:8" x14ac:dyDescent="0.25">
      <c r="A13" s="9" t="s">
        <v>91</v>
      </c>
      <c r="B13" s="9" t="s">
        <v>92</v>
      </c>
      <c r="C13" s="9" t="s">
        <v>225</v>
      </c>
      <c r="D13" s="9" t="s">
        <v>231</v>
      </c>
      <c r="E13" s="15">
        <v>248</v>
      </c>
      <c r="F13" s="9"/>
    </row>
    <row r="14" spans="1:8" x14ac:dyDescent="0.25">
      <c r="A14" s="9" t="s">
        <v>92</v>
      </c>
      <c r="B14" s="9" t="s">
        <v>92</v>
      </c>
      <c r="C14" s="9" t="s">
        <v>224</v>
      </c>
      <c r="D14" s="9"/>
      <c r="E14" s="15"/>
      <c r="F14" s="9"/>
    </row>
    <row r="15" spans="1:8" x14ac:dyDescent="0.25">
      <c r="A15" s="9" t="s">
        <v>93</v>
      </c>
      <c r="B15" s="9" t="s">
        <v>93</v>
      </c>
      <c r="C15" s="9" t="s">
        <v>224</v>
      </c>
      <c r="D15" s="9"/>
      <c r="E15" s="15"/>
      <c r="F15" s="9"/>
    </row>
    <row r="16" spans="1:8" x14ac:dyDescent="0.25">
      <c r="A16" s="9" t="s">
        <v>94</v>
      </c>
      <c r="B16" s="9" t="s">
        <v>95</v>
      </c>
      <c r="C16" s="9" t="s">
        <v>225</v>
      </c>
      <c r="D16" s="9" t="s">
        <v>255</v>
      </c>
      <c r="E16" s="18">
        <v>294</v>
      </c>
      <c r="F16" s="9"/>
    </row>
    <row r="17" spans="1:6" x14ac:dyDescent="0.25">
      <c r="A17" s="9" t="s">
        <v>96</v>
      </c>
      <c r="B17" s="9" t="s">
        <v>97</v>
      </c>
      <c r="C17" s="9" t="s">
        <v>224</v>
      </c>
      <c r="D17" s="9"/>
      <c r="E17" s="15"/>
      <c r="F17" s="9"/>
    </row>
    <row r="18" spans="1:6" x14ac:dyDescent="0.25">
      <c r="A18" s="9" t="s">
        <v>98</v>
      </c>
      <c r="B18" s="9" t="s">
        <v>98</v>
      </c>
      <c r="C18" s="9" t="s">
        <v>225</v>
      </c>
      <c r="D18" s="9" t="s">
        <v>232</v>
      </c>
      <c r="E18" s="15"/>
      <c r="F18" s="9"/>
    </row>
    <row r="19" spans="1:6" x14ac:dyDescent="0.25">
      <c r="A19" s="9" t="s">
        <v>99</v>
      </c>
      <c r="B19" s="9" t="s">
        <v>98</v>
      </c>
      <c r="C19" s="9" t="s">
        <v>224</v>
      </c>
      <c r="D19" s="9"/>
      <c r="E19" s="15"/>
      <c r="F19" s="9"/>
    </row>
    <row r="20" spans="1:6" x14ac:dyDescent="0.25">
      <c r="A20" s="9" t="s">
        <v>187</v>
      </c>
      <c r="B20" s="9" t="s">
        <v>101</v>
      </c>
      <c r="C20" s="9" t="s">
        <v>224</v>
      </c>
      <c r="D20" s="9"/>
      <c r="E20" s="15"/>
      <c r="F20" s="9"/>
    </row>
    <row r="21" spans="1:6" x14ac:dyDescent="0.25">
      <c r="A21" s="9" t="s">
        <v>188</v>
      </c>
      <c r="B21" s="9" t="s">
        <v>98</v>
      </c>
      <c r="C21" s="9" t="s">
        <v>224</v>
      </c>
      <c r="D21" s="9"/>
      <c r="E21" s="15"/>
      <c r="F21" s="9"/>
    </row>
    <row r="22" spans="1:6" x14ac:dyDescent="0.25">
      <c r="A22" s="9" t="s">
        <v>102</v>
      </c>
      <c r="B22" s="9" t="s">
        <v>3</v>
      </c>
      <c r="C22" s="9" t="s">
        <v>225</v>
      </c>
      <c r="D22" s="9" t="s">
        <v>256</v>
      </c>
      <c r="E22" s="15"/>
      <c r="F22" s="9"/>
    </row>
    <row r="23" spans="1:6" x14ac:dyDescent="0.25">
      <c r="A23" s="9" t="s">
        <v>103</v>
      </c>
      <c r="B23" s="9" t="s">
        <v>104</v>
      </c>
      <c r="C23" s="9" t="s">
        <v>224</v>
      </c>
      <c r="D23" s="9"/>
      <c r="E23" s="15"/>
      <c r="F23" s="9"/>
    </row>
    <row r="24" spans="1:6" x14ac:dyDescent="0.25">
      <c r="A24" s="9" t="s">
        <v>189</v>
      </c>
      <c r="B24" s="9" t="s">
        <v>190</v>
      </c>
      <c r="C24" s="9" t="s">
        <v>224</v>
      </c>
      <c r="D24" s="9"/>
      <c r="E24" s="15"/>
      <c r="F24" s="9"/>
    </row>
    <row r="25" spans="1:6" x14ac:dyDescent="0.25">
      <c r="A25" s="9" t="s">
        <v>191</v>
      </c>
      <c r="B25" s="9" t="s">
        <v>192</v>
      </c>
      <c r="C25" s="9" t="s">
        <v>224</v>
      </c>
      <c r="D25" s="9"/>
      <c r="E25" s="15"/>
      <c r="F25" s="9"/>
    </row>
    <row r="26" spans="1:6" x14ac:dyDescent="0.25">
      <c r="A26" s="9" t="s">
        <v>193</v>
      </c>
      <c r="B26" s="9" t="s">
        <v>3</v>
      </c>
      <c r="C26" s="9" t="s">
        <v>225</v>
      </c>
      <c r="D26" s="9" t="s">
        <v>238</v>
      </c>
      <c r="E26" s="15">
        <v>22298</v>
      </c>
      <c r="F26" s="9"/>
    </row>
    <row r="27" spans="1:6" x14ac:dyDescent="0.25">
      <c r="A27" s="9" t="s">
        <v>105</v>
      </c>
      <c r="B27" s="9" t="s">
        <v>3</v>
      </c>
      <c r="C27" s="9" t="s">
        <v>224</v>
      </c>
      <c r="D27" s="9"/>
      <c r="E27" s="15"/>
      <c r="F27" s="9"/>
    </row>
    <row r="28" spans="1:6" x14ac:dyDescent="0.25">
      <c r="A28" s="9" t="s">
        <v>106</v>
      </c>
      <c r="B28" s="9" t="s">
        <v>107</v>
      </c>
      <c r="C28" s="9" t="s">
        <v>224</v>
      </c>
      <c r="D28" s="9"/>
      <c r="E28" s="15"/>
      <c r="F28" s="9"/>
    </row>
    <row r="29" spans="1:6" x14ac:dyDescent="0.25">
      <c r="A29" s="9" t="s">
        <v>108</v>
      </c>
      <c r="B29" s="9" t="s">
        <v>109</v>
      </c>
      <c r="C29" s="9" t="s">
        <v>224</v>
      </c>
      <c r="D29" s="9"/>
      <c r="E29" s="15"/>
      <c r="F29" s="9"/>
    </row>
    <row r="30" spans="1:6" x14ac:dyDescent="0.25">
      <c r="A30" s="9" t="s">
        <v>110</v>
      </c>
      <c r="B30" s="9" t="s">
        <v>111</v>
      </c>
      <c r="C30" s="10" t="s">
        <v>224</v>
      </c>
      <c r="D30" s="9"/>
      <c r="E30" s="15"/>
      <c r="F30" s="9"/>
    </row>
    <row r="31" spans="1:6" x14ac:dyDescent="0.25">
      <c r="A31" s="9" t="s">
        <v>112</v>
      </c>
      <c r="B31" s="9" t="s">
        <v>113</v>
      </c>
      <c r="C31" s="9" t="s">
        <v>224</v>
      </c>
      <c r="D31" s="9"/>
      <c r="E31" s="15"/>
      <c r="F31" s="9"/>
    </row>
    <row r="32" spans="1:6" x14ac:dyDescent="0.25">
      <c r="A32" s="9" t="s">
        <v>114</v>
      </c>
      <c r="B32" s="9" t="s">
        <v>115</v>
      </c>
      <c r="C32" s="9" t="s">
        <v>225</v>
      </c>
      <c r="D32" s="9" t="s">
        <v>105</v>
      </c>
      <c r="E32" s="15">
        <v>16484</v>
      </c>
      <c r="F32" s="9"/>
    </row>
    <row r="33" spans="1:6" x14ac:dyDescent="0.25">
      <c r="A33" s="9" t="s">
        <v>194</v>
      </c>
      <c r="B33" s="9" t="s">
        <v>3</v>
      </c>
      <c r="C33" s="9" t="s">
        <v>225</v>
      </c>
      <c r="D33" s="9" t="s">
        <v>115</v>
      </c>
      <c r="E33" s="15">
        <v>22292</v>
      </c>
      <c r="F33" s="9"/>
    </row>
    <row r="34" spans="1:6" x14ac:dyDescent="0.25">
      <c r="A34" s="9" t="s">
        <v>191</v>
      </c>
      <c r="B34" s="9" t="s">
        <v>192</v>
      </c>
      <c r="C34" s="9" t="s">
        <v>224</v>
      </c>
      <c r="D34" s="9"/>
      <c r="E34" s="15"/>
      <c r="F34" s="9"/>
    </row>
    <row r="35" spans="1:6" x14ac:dyDescent="0.25">
      <c r="A35" s="9" t="s">
        <v>193</v>
      </c>
      <c r="B35" s="9" t="s">
        <v>3</v>
      </c>
      <c r="C35" s="9" t="s">
        <v>225</v>
      </c>
      <c r="D35" s="9" t="s">
        <v>238</v>
      </c>
      <c r="E35" s="15">
        <v>22290</v>
      </c>
      <c r="F35" s="9"/>
    </row>
    <row r="36" spans="1:6" x14ac:dyDescent="0.25">
      <c r="A36" s="9" t="s">
        <v>116</v>
      </c>
      <c r="B36" s="9" t="s">
        <v>117</v>
      </c>
      <c r="C36" s="9" t="s">
        <v>224</v>
      </c>
      <c r="D36" s="9"/>
      <c r="E36" s="15"/>
      <c r="F36" s="9"/>
    </row>
    <row r="37" spans="1:6" x14ac:dyDescent="0.25">
      <c r="A37" s="9" t="s">
        <v>195</v>
      </c>
      <c r="B37" s="9" t="s">
        <v>196</v>
      </c>
      <c r="C37" s="9" t="s">
        <v>224</v>
      </c>
      <c r="D37" s="9"/>
      <c r="E37" s="15"/>
      <c r="F37" s="9"/>
    </row>
    <row r="38" spans="1:6" x14ac:dyDescent="0.25">
      <c r="A38" s="9" t="s">
        <v>191</v>
      </c>
      <c r="B38" s="9" t="s">
        <v>192</v>
      </c>
      <c r="C38" s="9" t="s">
        <v>224</v>
      </c>
      <c r="D38" s="9"/>
      <c r="E38" s="15"/>
      <c r="F38" s="9"/>
    </row>
    <row r="39" spans="1:6" x14ac:dyDescent="0.25">
      <c r="A39" s="9" t="s">
        <v>193</v>
      </c>
      <c r="B39" s="9" t="s">
        <v>3</v>
      </c>
      <c r="C39" s="9" t="s">
        <v>225</v>
      </c>
      <c r="D39" s="9" t="s">
        <v>238</v>
      </c>
      <c r="E39" s="15">
        <v>22302</v>
      </c>
      <c r="F39" s="9"/>
    </row>
    <row r="40" spans="1:6" x14ac:dyDescent="0.25">
      <c r="A40" s="9" t="s">
        <v>118</v>
      </c>
      <c r="B40" s="9" t="s">
        <v>119</v>
      </c>
      <c r="C40" s="9" t="s">
        <v>224</v>
      </c>
      <c r="D40" s="9"/>
      <c r="E40" s="15"/>
      <c r="F40" s="9"/>
    </row>
    <row r="41" spans="1:6" x14ac:dyDescent="0.25">
      <c r="A41" s="9" t="s">
        <v>120</v>
      </c>
      <c r="B41" s="9" t="s">
        <v>121</v>
      </c>
      <c r="C41" s="9" t="s">
        <v>224</v>
      </c>
      <c r="D41" s="9"/>
      <c r="E41" s="15"/>
      <c r="F41" s="9"/>
    </row>
    <row r="42" spans="1:6" x14ac:dyDescent="0.25">
      <c r="A42" s="9" t="s">
        <v>197</v>
      </c>
      <c r="B42" s="9" t="s">
        <v>3</v>
      </c>
      <c r="C42" s="9" t="s">
        <v>224</v>
      </c>
      <c r="D42" s="9"/>
      <c r="E42" s="15"/>
      <c r="F42" s="9"/>
    </row>
    <row r="43" spans="1:6" x14ac:dyDescent="0.25">
      <c r="A43" s="9" t="s">
        <v>123</v>
      </c>
      <c r="B43" s="9" t="s">
        <v>124</v>
      </c>
      <c r="C43" s="9" t="s">
        <v>225</v>
      </c>
      <c r="D43" s="9" t="s">
        <v>233</v>
      </c>
      <c r="E43" s="15"/>
      <c r="F43" s="9"/>
    </row>
    <row r="44" spans="1:6" x14ac:dyDescent="0.25">
      <c r="A44" s="9" t="s">
        <v>198</v>
      </c>
      <c r="B44" s="9" t="s">
        <v>126</v>
      </c>
      <c r="C44" s="9" t="s">
        <v>224</v>
      </c>
      <c r="D44" s="9"/>
      <c r="E44" s="15"/>
      <c r="F44" s="9"/>
    </row>
    <row r="45" spans="1:6" x14ac:dyDescent="0.25">
      <c r="A45" s="9" t="s">
        <v>198</v>
      </c>
      <c r="B45" t="s">
        <v>234</v>
      </c>
      <c r="C45" s="9" t="s">
        <v>224</v>
      </c>
      <c r="D45" s="2" t="s">
        <v>237</v>
      </c>
      <c r="E45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A24" workbookViewId="0">
      <selection activeCell="B48" sqref="B48"/>
    </sheetView>
  </sheetViews>
  <sheetFormatPr defaultRowHeight="15" x14ac:dyDescent="0.25"/>
  <cols>
    <col min="1" max="1" width="63.28515625" bestFit="1" customWidth="1"/>
    <col min="2" max="2" width="42.285156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2" t="s">
        <v>223</v>
      </c>
      <c r="F1" s="2" t="s">
        <v>254</v>
      </c>
      <c r="G1" s="16" t="s">
        <v>224</v>
      </c>
      <c r="H1" s="4">
        <f>COUNTIF(C:C,G1)</f>
        <v>41</v>
      </c>
    </row>
    <row r="2" spans="1:8" x14ac:dyDescent="0.25">
      <c r="A2" s="9" t="s">
        <v>127</v>
      </c>
      <c r="B2" s="9" t="s">
        <v>128</v>
      </c>
      <c r="C2" s="9" t="s">
        <v>224</v>
      </c>
      <c r="D2" s="9"/>
      <c r="E2" s="9"/>
      <c r="F2" s="9"/>
      <c r="G2" t="s">
        <v>225</v>
      </c>
      <c r="H2" s="6">
        <f>COUNTIF(C:C,G2)</f>
        <v>11</v>
      </c>
    </row>
    <row r="3" spans="1:8" ht="15.75" thickBot="1" x14ac:dyDescent="0.3">
      <c r="A3" s="9" t="s">
        <v>129</v>
      </c>
      <c r="B3" s="9" t="s">
        <v>130</v>
      </c>
      <c r="C3" s="9" t="s">
        <v>224</v>
      </c>
      <c r="D3" s="9"/>
      <c r="E3" s="9"/>
      <c r="F3" s="9"/>
      <c r="G3" s="17" t="s">
        <v>226</v>
      </c>
      <c r="H3" s="8">
        <f>H1/SUM(H1:H2)</f>
        <v>0.78846153846153844</v>
      </c>
    </row>
    <row r="4" spans="1:8" x14ac:dyDescent="0.25">
      <c r="A4" s="9" t="s">
        <v>131</v>
      </c>
      <c r="B4" s="9" t="s">
        <v>132</v>
      </c>
      <c r="C4" s="9" t="s">
        <v>224</v>
      </c>
      <c r="D4" s="9"/>
      <c r="E4" s="9"/>
      <c r="F4" s="9"/>
    </row>
    <row r="5" spans="1:8" x14ac:dyDescent="0.25">
      <c r="A5" s="9" t="s">
        <v>133</v>
      </c>
      <c r="B5" s="9" t="s">
        <v>134</v>
      </c>
      <c r="C5" s="9" t="s">
        <v>224</v>
      </c>
      <c r="D5" s="9"/>
      <c r="E5" s="9"/>
      <c r="F5" s="9"/>
    </row>
    <row r="6" spans="1:8" x14ac:dyDescent="0.25">
      <c r="A6" s="9" t="s">
        <v>135</v>
      </c>
      <c r="B6" s="9" t="s">
        <v>3</v>
      </c>
      <c r="C6" s="9" t="s">
        <v>224</v>
      </c>
      <c r="D6" s="9"/>
      <c r="E6" s="9"/>
      <c r="F6" s="9"/>
    </row>
    <row r="7" spans="1:8" x14ac:dyDescent="0.25">
      <c r="A7" s="9" t="s">
        <v>136</v>
      </c>
      <c r="B7" s="9" t="s">
        <v>137</v>
      </c>
      <c r="C7" s="9" t="s">
        <v>224</v>
      </c>
      <c r="D7" s="9"/>
      <c r="E7" s="9"/>
      <c r="F7" s="9"/>
    </row>
    <row r="8" spans="1:8" x14ac:dyDescent="0.25">
      <c r="A8" s="9" t="s">
        <v>138</v>
      </c>
      <c r="B8" s="9" t="s">
        <v>139</v>
      </c>
      <c r="C8" s="9" t="s">
        <v>225</v>
      </c>
      <c r="D8" s="9" t="s">
        <v>239</v>
      </c>
      <c r="E8" s="9">
        <v>20217</v>
      </c>
      <c r="F8" s="9"/>
    </row>
    <row r="9" spans="1:8" x14ac:dyDescent="0.25">
      <c r="A9" s="9" t="s">
        <v>138</v>
      </c>
      <c r="B9" s="9" t="s">
        <v>139</v>
      </c>
      <c r="C9" s="9" t="s">
        <v>225</v>
      </c>
      <c r="D9" s="2" t="s">
        <v>246</v>
      </c>
      <c r="E9" s="9"/>
    </row>
    <row r="10" spans="1:8" x14ac:dyDescent="0.25">
      <c r="A10" s="9" t="s">
        <v>140</v>
      </c>
      <c r="B10" s="9" t="s">
        <v>141</v>
      </c>
      <c r="C10" s="9" t="s">
        <v>224</v>
      </c>
      <c r="D10" s="9"/>
      <c r="E10" s="9"/>
      <c r="F10" s="9"/>
    </row>
    <row r="11" spans="1:8" x14ac:dyDescent="0.25">
      <c r="A11" s="9" t="s">
        <v>142</v>
      </c>
      <c r="B11" s="9" t="s">
        <v>143</v>
      </c>
      <c r="C11" s="9" t="s">
        <v>224</v>
      </c>
      <c r="D11" s="9"/>
      <c r="E11" s="9"/>
      <c r="F11" s="9"/>
    </row>
    <row r="12" spans="1:8" x14ac:dyDescent="0.25">
      <c r="A12" s="9" t="s">
        <v>144</v>
      </c>
      <c r="B12" s="9" t="s">
        <v>145</v>
      </c>
      <c r="C12" s="9" t="s">
        <v>224</v>
      </c>
      <c r="D12" s="9"/>
      <c r="E12" s="9"/>
      <c r="F12" s="9"/>
    </row>
    <row r="13" spans="1:8" x14ac:dyDescent="0.25">
      <c r="A13" s="9" t="s">
        <v>146</v>
      </c>
      <c r="B13" s="9" t="s">
        <v>147</v>
      </c>
      <c r="C13" s="9" t="s">
        <v>224</v>
      </c>
      <c r="D13" s="9"/>
      <c r="E13" s="9"/>
      <c r="F13" s="9"/>
    </row>
    <row r="14" spans="1:8" x14ac:dyDescent="0.25">
      <c r="A14" s="9" t="s">
        <v>148</v>
      </c>
      <c r="B14" s="9" t="s">
        <v>149</v>
      </c>
      <c r="C14" s="9" t="s">
        <v>224</v>
      </c>
      <c r="D14" s="9"/>
      <c r="E14" s="9"/>
      <c r="F14" s="9"/>
    </row>
    <row r="15" spans="1:8" x14ac:dyDescent="0.25">
      <c r="A15" s="9" t="s">
        <v>150</v>
      </c>
      <c r="B15" s="9" t="s">
        <v>3</v>
      </c>
      <c r="C15" s="9" t="s">
        <v>224</v>
      </c>
      <c r="D15" s="9"/>
      <c r="E15" s="9"/>
      <c r="F15" s="9"/>
    </row>
    <row r="16" spans="1:8" x14ac:dyDescent="0.25">
      <c r="A16" s="9" t="s">
        <v>27</v>
      </c>
      <c r="B16" s="9" t="s">
        <v>27</v>
      </c>
      <c r="C16" s="9" t="s">
        <v>224</v>
      </c>
      <c r="D16" s="9"/>
      <c r="E16" s="9"/>
      <c r="F16" s="9"/>
    </row>
    <row r="17" spans="1:6" x14ac:dyDescent="0.25">
      <c r="A17" s="9" t="s">
        <v>135</v>
      </c>
      <c r="B17" s="9" t="s">
        <v>3</v>
      </c>
      <c r="C17" s="9" t="s">
        <v>224</v>
      </c>
      <c r="D17" s="9"/>
      <c r="E17" s="9"/>
      <c r="F17" s="9"/>
    </row>
    <row r="18" spans="1:6" x14ac:dyDescent="0.25">
      <c r="A18" s="9" t="s">
        <v>136</v>
      </c>
      <c r="B18" s="9" t="s">
        <v>137</v>
      </c>
      <c r="C18" s="9" t="s">
        <v>225</v>
      </c>
      <c r="D18" s="9" t="s">
        <v>240</v>
      </c>
      <c r="E18" s="9">
        <v>13724</v>
      </c>
      <c r="F18" s="9"/>
    </row>
    <row r="19" spans="1:6" x14ac:dyDescent="0.25">
      <c r="A19" s="9" t="s">
        <v>151</v>
      </c>
      <c r="B19" s="9" t="s">
        <v>151</v>
      </c>
      <c r="C19" s="9" t="s">
        <v>224</v>
      </c>
      <c r="D19" s="9"/>
      <c r="E19" s="9"/>
      <c r="F19" s="9"/>
    </row>
    <row r="20" spans="1:6" x14ac:dyDescent="0.25">
      <c r="A20" s="9" t="s">
        <v>152</v>
      </c>
      <c r="B20" s="9" t="s">
        <v>153</v>
      </c>
      <c r="C20" s="9" t="s">
        <v>224</v>
      </c>
      <c r="D20" s="9"/>
      <c r="E20" s="9"/>
      <c r="F20" s="9"/>
    </row>
    <row r="21" spans="1:6" x14ac:dyDescent="0.25">
      <c r="A21" s="9" t="s">
        <v>154</v>
      </c>
      <c r="B21" s="9" t="s">
        <v>155</v>
      </c>
      <c r="C21" s="9" t="s">
        <v>224</v>
      </c>
      <c r="D21" s="9"/>
      <c r="E21" s="9"/>
      <c r="F21" s="9"/>
    </row>
    <row r="22" spans="1:6" x14ac:dyDescent="0.25">
      <c r="A22" s="9" t="s">
        <v>138</v>
      </c>
      <c r="B22" s="9" t="s">
        <v>139</v>
      </c>
      <c r="C22" s="9" t="s">
        <v>224</v>
      </c>
      <c r="D22" s="9"/>
      <c r="E22" s="9"/>
      <c r="F22" s="9"/>
    </row>
    <row r="23" spans="1:6" x14ac:dyDescent="0.25">
      <c r="A23" s="9" t="s">
        <v>140</v>
      </c>
      <c r="B23" s="9" t="s">
        <v>141</v>
      </c>
      <c r="C23" s="9" t="s">
        <v>225</v>
      </c>
      <c r="D23" s="9" t="s">
        <v>241</v>
      </c>
      <c r="E23" s="9">
        <v>20231</v>
      </c>
      <c r="F23" s="9"/>
    </row>
    <row r="24" spans="1:6" x14ac:dyDescent="0.25">
      <c r="A24" s="9" t="s">
        <v>156</v>
      </c>
      <c r="B24" s="9" t="s">
        <v>156</v>
      </c>
      <c r="C24" s="9" t="s">
        <v>224</v>
      </c>
      <c r="D24" s="9"/>
      <c r="E24" s="9"/>
      <c r="F24" s="9"/>
    </row>
    <row r="25" spans="1:6" x14ac:dyDescent="0.25">
      <c r="A25" s="9" t="s">
        <v>148</v>
      </c>
      <c r="B25" s="9" t="s">
        <v>149</v>
      </c>
      <c r="C25" s="9" t="s">
        <v>225</v>
      </c>
      <c r="D25" s="9" t="s">
        <v>247</v>
      </c>
      <c r="E25" s="9">
        <v>13774</v>
      </c>
      <c r="F25" s="9"/>
    </row>
    <row r="26" spans="1:6" x14ac:dyDescent="0.25">
      <c r="A26" s="9" t="s">
        <v>157</v>
      </c>
      <c r="B26" s="9" t="s">
        <v>157</v>
      </c>
      <c r="C26" s="9" t="s">
        <v>224</v>
      </c>
      <c r="D26" s="9"/>
      <c r="E26" s="9"/>
      <c r="F26" s="9"/>
    </row>
    <row r="27" spans="1:6" x14ac:dyDescent="0.25">
      <c r="A27" s="9" t="s">
        <v>158</v>
      </c>
      <c r="B27" s="9" t="s">
        <v>3</v>
      </c>
      <c r="C27" s="9" t="s">
        <v>224</v>
      </c>
      <c r="D27" s="9"/>
      <c r="E27" s="9"/>
      <c r="F27" s="9"/>
    </row>
    <row r="28" spans="1:6" x14ac:dyDescent="0.25">
      <c r="A28" s="9" t="s">
        <v>159</v>
      </c>
      <c r="B28" s="9" t="s">
        <v>3</v>
      </c>
      <c r="C28" s="9" t="s">
        <v>224</v>
      </c>
      <c r="D28" s="9"/>
      <c r="E28" s="9"/>
      <c r="F28" s="9"/>
    </row>
    <row r="29" spans="1:6" x14ac:dyDescent="0.25">
      <c r="A29" s="9" t="s">
        <v>160</v>
      </c>
      <c r="B29" s="9" t="s">
        <v>161</v>
      </c>
      <c r="C29" s="9" t="s">
        <v>224</v>
      </c>
      <c r="D29" s="9"/>
      <c r="E29" s="9"/>
      <c r="F29" s="9"/>
    </row>
    <row r="30" spans="1:6" x14ac:dyDescent="0.25">
      <c r="A30" s="9" t="s">
        <v>120</v>
      </c>
      <c r="B30" s="9" t="s">
        <v>162</v>
      </c>
      <c r="C30" s="9" t="s">
        <v>224</v>
      </c>
      <c r="D30" s="9"/>
      <c r="E30" s="9"/>
      <c r="F30" s="9"/>
    </row>
    <row r="31" spans="1:6" x14ac:dyDescent="0.25">
      <c r="A31" s="9" t="s">
        <v>163</v>
      </c>
      <c r="B31" s="9" t="s">
        <v>149</v>
      </c>
      <c r="C31" s="9" t="s">
        <v>225</v>
      </c>
      <c r="D31" s="9" t="s">
        <v>216</v>
      </c>
      <c r="E31" s="9">
        <v>13773</v>
      </c>
      <c r="F31" s="9"/>
    </row>
    <row r="32" spans="1:6" x14ac:dyDescent="0.25">
      <c r="A32" s="9" t="s">
        <v>164</v>
      </c>
      <c r="B32" s="9" t="s">
        <v>3</v>
      </c>
      <c r="C32" s="9" t="s">
        <v>224</v>
      </c>
      <c r="D32" s="9"/>
      <c r="E32" s="9"/>
      <c r="F32" s="9"/>
    </row>
    <row r="33" spans="1:6" x14ac:dyDescent="0.25">
      <c r="A33" s="9" t="s">
        <v>165</v>
      </c>
      <c r="B33" s="9" t="s">
        <v>3</v>
      </c>
      <c r="C33" s="9" t="s">
        <v>224</v>
      </c>
      <c r="D33" s="9"/>
      <c r="E33" s="9"/>
      <c r="F33" s="9"/>
    </row>
    <row r="34" spans="1:6" x14ac:dyDescent="0.25">
      <c r="A34" s="9" t="s">
        <v>166</v>
      </c>
      <c r="B34" s="9" t="s">
        <v>3</v>
      </c>
      <c r="C34" s="9" t="s">
        <v>224</v>
      </c>
      <c r="D34" s="9"/>
      <c r="E34" s="9"/>
      <c r="F34" s="9"/>
    </row>
    <row r="35" spans="1:6" x14ac:dyDescent="0.25">
      <c r="A35" s="9" t="s">
        <v>167</v>
      </c>
      <c r="B35" s="9" t="s">
        <v>167</v>
      </c>
      <c r="C35" s="9" t="s">
        <v>224</v>
      </c>
      <c r="D35" s="9"/>
      <c r="E35" s="9"/>
      <c r="F35" s="9"/>
    </row>
    <row r="36" spans="1:6" x14ac:dyDescent="0.25">
      <c r="A36" s="9" t="s">
        <v>168</v>
      </c>
      <c r="B36" s="9" t="s">
        <v>169</v>
      </c>
      <c r="C36" s="9" t="s">
        <v>224</v>
      </c>
      <c r="D36" s="9"/>
      <c r="E36" s="9"/>
      <c r="F36" s="9"/>
    </row>
    <row r="37" spans="1:6" x14ac:dyDescent="0.25">
      <c r="A37" s="9" t="s">
        <v>170</v>
      </c>
      <c r="B37" s="9" t="s">
        <v>171</v>
      </c>
      <c r="C37" s="9" t="s">
        <v>224</v>
      </c>
      <c r="D37" s="9"/>
      <c r="E37" s="9"/>
      <c r="F37" s="9"/>
    </row>
    <row r="38" spans="1:6" x14ac:dyDescent="0.25">
      <c r="A38" s="9" t="s">
        <v>172</v>
      </c>
      <c r="B38" s="9" t="s">
        <v>173</v>
      </c>
      <c r="C38" s="9" t="s">
        <v>224</v>
      </c>
      <c r="D38" s="9"/>
      <c r="E38" s="9"/>
      <c r="F38" s="9"/>
    </row>
    <row r="39" spans="1:6" x14ac:dyDescent="0.25">
      <c r="A39" s="9" t="s">
        <v>174</v>
      </c>
      <c r="B39" s="9" t="s">
        <v>175</v>
      </c>
      <c r="C39" s="9" t="s">
        <v>224</v>
      </c>
      <c r="D39" s="9"/>
      <c r="E39" s="9"/>
      <c r="F39" s="9"/>
    </row>
    <row r="40" spans="1:6" x14ac:dyDescent="0.25">
      <c r="A40" s="9" t="s">
        <v>163</v>
      </c>
      <c r="B40" s="9" t="s">
        <v>149</v>
      </c>
      <c r="C40" s="9" t="s">
        <v>225</v>
      </c>
      <c r="D40" s="9" t="s">
        <v>245</v>
      </c>
      <c r="E40" s="9">
        <v>13778</v>
      </c>
      <c r="F40" s="9"/>
    </row>
    <row r="41" spans="1:6" x14ac:dyDescent="0.25">
      <c r="A41" s="9" t="s">
        <v>176</v>
      </c>
      <c r="B41" s="9" t="s">
        <v>3</v>
      </c>
      <c r="C41" s="9" t="s">
        <v>224</v>
      </c>
      <c r="D41" s="9"/>
      <c r="E41" s="9"/>
      <c r="F41" s="9"/>
    </row>
    <row r="42" spans="1:6" x14ac:dyDescent="0.25">
      <c r="A42" s="9" t="s">
        <v>166</v>
      </c>
      <c r="B42" s="9" t="s">
        <v>3</v>
      </c>
      <c r="C42" s="9" t="s">
        <v>224</v>
      </c>
      <c r="D42" s="9"/>
      <c r="E42" s="9"/>
      <c r="F42" s="9"/>
    </row>
    <row r="43" spans="1:6" x14ac:dyDescent="0.25">
      <c r="A43" s="9" t="s">
        <v>167</v>
      </c>
      <c r="B43" s="9" t="s">
        <v>167</v>
      </c>
      <c r="C43" s="9" t="s">
        <v>224</v>
      </c>
      <c r="D43" s="9"/>
      <c r="E43" s="9"/>
      <c r="F43" s="9"/>
    </row>
    <row r="44" spans="1:6" x14ac:dyDescent="0.25">
      <c r="A44" s="9" t="s">
        <v>168</v>
      </c>
      <c r="B44" s="9" t="s">
        <v>169</v>
      </c>
      <c r="C44" s="9" t="s">
        <v>224</v>
      </c>
      <c r="D44" s="9"/>
      <c r="E44" s="9"/>
      <c r="F44" s="9"/>
    </row>
    <row r="45" spans="1:6" x14ac:dyDescent="0.25">
      <c r="A45" s="9" t="s">
        <v>177</v>
      </c>
      <c r="B45" s="9" t="s">
        <v>177</v>
      </c>
      <c r="C45" s="9" t="s">
        <v>225</v>
      </c>
      <c r="D45" s="9" t="s">
        <v>232</v>
      </c>
      <c r="E45" s="9"/>
      <c r="F45" s="9"/>
    </row>
    <row r="46" spans="1:6" x14ac:dyDescent="0.25">
      <c r="A46" s="9" t="s">
        <v>178</v>
      </c>
      <c r="B46" s="9" t="s">
        <v>177</v>
      </c>
      <c r="C46" s="9" t="s">
        <v>224</v>
      </c>
      <c r="D46" s="9"/>
      <c r="E46" s="9"/>
      <c r="F46" s="9"/>
    </row>
    <row r="47" spans="1:6" x14ac:dyDescent="0.25">
      <c r="A47" s="9" t="s">
        <v>179</v>
      </c>
      <c r="B47" s="9" t="s">
        <v>177</v>
      </c>
      <c r="C47" s="9" t="s">
        <v>224</v>
      </c>
      <c r="D47" s="9"/>
      <c r="E47" s="9"/>
      <c r="F47" s="9"/>
    </row>
    <row r="48" spans="1:6" x14ac:dyDescent="0.25">
      <c r="A48" s="9" t="s">
        <v>170</v>
      </c>
      <c r="B48" s="9" t="s">
        <v>171</v>
      </c>
      <c r="C48" s="9" t="s">
        <v>225</v>
      </c>
      <c r="D48" s="9" t="s">
        <v>242</v>
      </c>
      <c r="E48" s="9">
        <v>20214</v>
      </c>
      <c r="F48" s="9"/>
    </row>
    <row r="49" spans="1:6" x14ac:dyDescent="0.25">
      <c r="A49" s="9" t="s">
        <v>180</v>
      </c>
      <c r="B49" s="9" t="s">
        <v>181</v>
      </c>
      <c r="C49" s="9" t="s">
        <v>224</v>
      </c>
      <c r="D49" s="9"/>
      <c r="E49" s="9"/>
      <c r="F49" s="9"/>
    </row>
    <row r="50" spans="1:6" x14ac:dyDescent="0.25">
      <c r="A50" s="9" t="s">
        <v>172</v>
      </c>
      <c r="B50" s="9" t="s">
        <v>173</v>
      </c>
      <c r="C50" s="9" t="s">
        <v>225</v>
      </c>
      <c r="D50" s="9" t="s">
        <v>243</v>
      </c>
      <c r="E50" s="9">
        <v>13767</v>
      </c>
      <c r="F50" s="9"/>
    </row>
    <row r="51" spans="1:6" x14ac:dyDescent="0.25">
      <c r="A51" s="9" t="s">
        <v>182</v>
      </c>
      <c r="B51" s="9" t="s">
        <v>183</v>
      </c>
      <c r="C51" s="9" t="s">
        <v>224</v>
      </c>
      <c r="D51" s="9"/>
      <c r="E51" s="9"/>
      <c r="F51" s="9"/>
    </row>
    <row r="52" spans="1:6" x14ac:dyDescent="0.25">
      <c r="A52" s="9" t="s">
        <v>163</v>
      </c>
      <c r="B52" s="9" t="s">
        <v>149</v>
      </c>
      <c r="C52" s="9" t="s">
        <v>225</v>
      </c>
      <c r="D52" s="9" t="s">
        <v>244</v>
      </c>
      <c r="E52" s="9">
        <v>13775</v>
      </c>
      <c r="F52" s="9"/>
    </row>
    <row r="53" spans="1:6" x14ac:dyDescent="0.25">
      <c r="A53" s="9" t="s">
        <v>184</v>
      </c>
      <c r="B53" s="9" t="s">
        <v>185</v>
      </c>
      <c r="C53" s="9" t="s">
        <v>224</v>
      </c>
      <c r="D53" s="9"/>
      <c r="E53" s="9"/>
      <c r="F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63.28515625" bestFit="1" customWidth="1"/>
    <col min="2" max="2" width="41.85546875" customWidth="1"/>
    <col min="3" max="3" width="8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2" t="s">
        <v>223</v>
      </c>
      <c r="G1" s="3" t="s">
        <v>224</v>
      </c>
      <c r="H1" s="4">
        <f>COUNTIF(C:C,G1)</f>
        <v>44</v>
      </c>
    </row>
    <row r="2" spans="1:8" x14ac:dyDescent="0.25">
      <c r="A2" s="9" t="s">
        <v>127</v>
      </c>
      <c r="B2" s="9" t="s">
        <v>128</v>
      </c>
      <c r="C2" s="9" t="s">
        <v>224</v>
      </c>
      <c r="D2" s="9"/>
      <c r="E2" s="9"/>
      <c r="G2" s="5" t="s">
        <v>225</v>
      </c>
      <c r="H2" s="6">
        <f>COUNTIF(C:C,G2)</f>
        <v>10</v>
      </c>
    </row>
    <row r="3" spans="1:8" ht="15.75" thickBot="1" x14ac:dyDescent="0.3">
      <c r="A3" s="9" t="s">
        <v>129</v>
      </c>
      <c r="B3" s="9" t="s">
        <v>130</v>
      </c>
      <c r="C3" s="9" t="s">
        <v>224</v>
      </c>
      <c r="D3" s="9"/>
      <c r="E3" s="9"/>
      <c r="G3" s="7" t="s">
        <v>226</v>
      </c>
      <c r="H3" s="8">
        <f>H1/SUM(H1:H2)</f>
        <v>0.81481481481481477</v>
      </c>
    </row>
    <row r="4" spans="1:8" x14ac:dyDescent="0.25">
      <c r="A4" s="9" t="s">
        <v>131</v>
      </c>
      <c r="B4" s="9" t="s">
        <v>132</v>
      </c>
      <c r="C4" s="9" t="s">
        <v>224</v>
      </c>
      <c r="D4" s="9"/>
      <c r="E4" s="9"/>
    </row>
    <row r="5" spans="1:8" x14ac:dyDescent="0.25">
      <c r="A5" s="9" t="s">
        <v>133</v>
      </c>
      <c r="B5" s="9" t="s">
        <v>134</v>
      </c>
      <c r="C5" s="9" t="s">
        <v>224</v>
      </c>
      <c r="D5" s="9"/>
      <c r="E5" s="9"/>
    </row>
    <row r="6" spans="1:8" x14ac:dyDescent="0.25">
      <c r="A6" s="9" t="s">
        <v>135</v>
      </c>
      <c r="B6" s="9" t="s">
        <v>3</v>
      </c>
      <c r="C6" s="9" t="s">
        <v>224</v>
      </c>
      <c r="D6" s="9"/>
      <c r="E6" s="9"/>
    </row>
    <row r="7" spans="1:8" x14ac:dyDescent="0.25">
      <c r="A7" s="9" t="s">
        <v>136</v>
      </c>
      <c r="B7" s="9" t="s">
        <v>137</v>
      </c>
      <c r="C7" s="9" t="s">
        <v>224</v>
      </c>
      <c r="D7" s="9"/>
      <c r="E7" s="9"/>
    </row>
    <row r="8" spans="1:8" x14ac:dyDescent="0.25">
      <c r="A8" s="9" t="s">
        <v>138</v>
      </c>
      <c r="B8" s="9" t="s">
        <v>139</v>
      </c>
      <c r="C8" s="9" t="s">
        <v>225</v>
      </c>
      <c r="D8" s="9" t="s">
        <v>239</v>
      </c>
      <c r="E8" s="9">
        <v>20217</v>
      </c>
    </row>
    <row r="9" spans="1:8" x14ac:dyDescent="0.25">
      <c r="A9" s="9" t="s">
        <v>140</v>
      </c>
      <c r="B9" s="9" t="s">
        <v>141</v>
      </c>
      <c r="C9" s="9" t="s">
        <v>224</v>
      </c>
      <c r="D9" s="9"/>
      <c r="E9" s="9"/>
    </row>
    <row r="10" spans="1:8" x14ac:dyDescent="0.25">
      <c r="A10" s="9" t="s">
        <v>142</v>
      </c>
      <c r="B10" s="9" t="s">
        <v>143</v>
      </c>
      <c r="C10" s="9" t="s">
        <v>224</v>
      </c>
      <c r="D10" s="9"/>
      <c r="E10" s="9"/>
    </row>
    <row r="11" spans="1:8" x14ac:dyDescent="0.25">
      <c r="A11" s="9" t="s">
        <v>144</v>
      </c>
      <c r="B11" s="9" t="s">
        <v>145</v>
      </c>
      <c r="C11" s="9" t="s">
        <v>224</v>
      </c>
      <c r="D11" s="9"/>
      <c r="E11" s="9"/>
    </row>
    <row r="12" spans="1:8" x14ac:dyDescent="0.25">
      <c r="A12" s="9" t="s">
        <v>146</v>
      </c>
      <c r="B12" s="9" t="s">
        <v>147</v>
      </c>
      <c r="C12" s="9" t="s">
        <v>224</v>
      </c>
      <c r="D12" s="9"/>
      <c r="E12" s="9"/>
    </row>
    <row r="13" spans="1:8" x14ac:dyDescent="0.25">
      <c r="A13" s="9" t="s">
        <v>148</v>
      </c>
      <c r="B13" s="9" t="s">
        <v>149</v>
      </c>
      <c r="C13" s="9" t="s">
        <v>224</v>
      </c>
      <c r="D13" s="9"/>
      <c r="E13" s="9"/>
    </row>
    <row r="14" spans="1:8" x14ac:dyDescent="0.25">
      <c r="A14" s="9" t="s">
        <v>150</v>
      </c>
      <c r="B14" s="9" t="s">
        <v>3</v>
      </c>
      <c r="C14" s="9" t="s">
        <v>224</v>
      </c>
      <c r="D14" s="9"/>
      <c r="E14" s="9"/>
    </row>
    <row r="15" spans="1:8" x14ac:dyDescent="0.25">
      <c r="A15" s="9" t="s">
        <v>27</v>
      </c>
      <c r="B15" s="9" t="s">
        <v>27</v>
      </c>
      <c r="C15" s="9" t="s">
        <v>224</v>
      </c>
      <c r="D15" s="9"/>
      <c r="E15" s="9"/>
    </row>
    <row r="16" spans="1:8" x14ac:dyDescent="0.25">
      <c r="A16" s="9" t="s">
        <v>135</v>
      </c>
      <c r="B16" s="9" t="s">
        <v>3</v>
      </c>
      <c r="C16" s="9" t="s">
        <v>224</v>
      </c>
      <c r="D16" s="9"/>
      <c r="E16" s="9"/>
    </row>
    <row r="17" spans="1:5" x14ac:dyDescent="0.25">
      <c r="A17" s="9" t="s">
        <v>136</v>
      </c>
      <c r="B17" s="9" t="s">
        <v>137</v>
      </c>
      <c r="C17" s="9" t="s">
        <v>225</v>
      </c>
      <c r="D17" s="9" t="s">
        <v>240</v>
      </c>
      <c r="E17" s="9">
        <v>13724</v>
      </c>
    </row>
    <row r="18" spans="1:5" x14ac:dyDescent="0.25">
      <c r="A18" s="9" t="s">
        <v>151</v>
      </c>
      <c r="B18" s="9" t="s">
        <v>151</v>
      </c>
      <c r="C18" s="9" t="s">
        <v>224</v>
      </c>
      <c r="D18" s="9"/>
      <c r="E18" s="9"/>
    </row>
    <row r="19" spans="1:5" x14ac:dyDescent="0.25">
      <c r="A19" s="9" t="s">
        <v>152</v>
      </c>
      <c r="B19" s="9" t="s">
        <v>153</v>
      </c>
      <c r="C19" s="9" t="s">
        <v>224</v>
      </c>
      <c r="D19" s="9"/>
      <c r="E19" s="9"/>
    </row>
    <row r="20" spans="1:5" x14ac:dyDescent="0.25">
      <c r="A20" s="9" t="s">
        <v>154</v>
      </c>
      <c r="B20" s="9" t="s">
        <v>155</v>
      </c>
      <c r="C20" s="9" t="s">
        <v>224</v>
      </c>
      <c r="D20" s="9"/>
      <c r="E20" s="9"/>
    </row>
    <row r="21" spans="1:5" x14ac:dyDescent="0.25">
      <c r="A21" s="9" t="s">
        <v>138</v>
      </c>
      <c r="B21" s="9" t="s">
        <v>139</v>
      </c>
      <c r="C21" s="9" t="s">
        <v>224</v>
      </c>
      <c r="D21" s="9"/>
      <c r="E21" s="9"/>
    </row>
    <row r="22" spans="1:5" x14ac:dyDescent="0.25">
      <c r="A22" s="9" t="s">
        <v>140</v>
      </c>
      <c r="B22" s="9" t="s">
        <v>141</v>
      </c>
      <c r="C22" s="9" t="s">
        <v>225</v>
      </c>
      <c r="D22" s="9" t="s">
        <v>241</v>
      </c>
      <c r="E22" s="9">
        <v>20231</v>
      </c>
    </row>
    <row r="23" spans="1:5" x14ac:dyDescent="0.25">
      <c r="A23" s="9" t="s">
        <v>156</v>
      </c>
      <c r="B23" s="9" t="s">
        <v>156</v>
      </c>
      <c r="C23" s="9" t="s">
        <v>224</v>
      </c>
      <c r="D23" s="9"/>
      <c r="E23" s="9"/>
    </row>
    <row r="24" spans="1:5" x14ac:dyDescent="0.25">
      <c r="A24" s="9" t="s">
        <v>148</v>
      </c>
      <c r="B24" s="9" t="s">
        <v>149</v>
      </c>
      <c r="C24" s="9" t="s">
        <v>225</v>
      </c>
      <c r="D24" s="9" t="s">
        <v>247</v>
      </c>
      <c r="E24" s="9">
        <v>13774</v>
      </c>
    </row>
    <row r="25" spans="1:5" x14ac:dyDescent="0.25">
      <c r="A25" s="9" t="s">
        <v>157</v>
      </c>
      <c r="B25" s="9" t="s">
        <v>157</v>
      </c>
      <c r="C25" s="9" t="s">
        <v>224</v>
      </c>
      <c r="D25" s="9"/>
      <c r="E25" s="9"/>
    </row>
    <row r="26" spans="1:5" x14ac:dyDescent="0.25">
      <c r="A26" s="9" t="s">
        <v>158</v>
      </c>
      <c r="B26" s="9" t="s">
        <v>3</v>
      </c>
      <c r="C26" s="9" t="s">
        <v>224</v>
      </c>
      <c r="D26" s="9"/>
      <c r="E26" s="9"/>
    </row>
    <row r="27" spans="1:5" x14ac:dyDescent="0.25">
      <c r="A27" s="9" t="s">
        <v>159</v>
      </c>
      <c r="B27" s="9" t="s">
        <v>3</v>
      </c>
      <c r="C27" s="9" t="s">
        <v>224</v>
      </c>
      <c r="D27" s="9"/>
      <c r="E27" s="9"/>
    </row>
    <row r="28" spans="1:5" x14ac:dyDescent="0.25">
      <c r="A28" s="9" t="s">
        <v>160</v>
      </c>
      <c r="B28" s="9" t="s">
        <v>161</v>
      </c>
      <c r="C28" s="9" t="s">
        <v>224</v>
      </c>
      <c r="D28" s="9"/>
      <c r="E28" s="9"/>
    </row>
    <row r="29" spans="1:5" x14ac:dyDescent="0.25">
      <c r="A29" s="9" t="s">
        <v>120</v>
      </c>
      <c r="B29" s="9" t="s">
        <v>162</v>
      </c>
      <c r="C29" s="9" t="s">
        <v>224</v>
      </c>
      <c r="D29" s="9"/>
      <c r="E29" s="9"/>
    </row>
    <row r="30" spans="1:5" x14ac:dyDescent="0.25">
      <c r="A30" s="9" t="s">
        <v>215</v>
      </c>
      <c r="B30" s="9" t="s">
        <v>216</v>
      </c>
      <c r="C30" s="9" t="s">
        <v>224</v>
      </c>
      <c r="D30" s="9"/>
      <c r="E30" s="9"/>
    </row>
    <row r="31" spans="1:5" x14ac:dyDescent="0.25">
      <c r="A31" s="9" t="s">
        <v>193</v>
      </c>
      <c r="B31" s="9" t="s">
        <v>217</v>
      </c>
      <c r="C31" s="9" t="s">
        <v>224</v>
      </c>
      <c r="D31" s="9"/>
      <c r="E31" s="9"/>
    </row>
    <row r="32" spans="1:5" x14ac:dyDescent="0.25">
      <c r="A32" s="9" t="s">
        <v>218</v>
      </c>
      <c r="B32" s="9" t="s">
        <v>216</v>
      </c>
      <c r="C32" s="9" t="s">
        <v>225</v>
      </c>
      <c r="D32" s="9" t="s">
        <v>256</v>
      </c>
      <c r="E32" s="9"/>
    </row>
    <row r="33" spans="1:5" x14ac:dyDescent="0.25">
      <c r="A33" s="9" t="s">
        <v>164</v>
      </c>
      <c r="B33" s="9" t="s">
        <v>3</v>
      </c>
      <c r="C33" s="9" t="s">
        <v>224</v>
      </c>
      <c r="D33" s="9"/>
      <c r="E33" s="9"/>
    </row>
    <row r="34" spans="1:5" x14ac:dyDescent="0.25">
      <c r="A34" s="9" t="s">
        <v>165</v>
      </c>
      <c r="B34" s="9" t="s">
        <v>3</v>
      </c>
      <c r="C34" s="9" t="s">
        <v>224</v>
      </c>
      <c r="D34" s="9"/>
      <c r="E34" s="9"/>
    </row>
    <row r="35" spans="1:5" x14ac:dyDescent="0.25">
      <c r="A35" s="9" t="s">
        <v>166</v>
      </c>
      <c r="B35" s="9" t="s">
        <v>3</v>
      </c>
      <c r="C35" s="9" t="s">
        <v>224</v>
      </c>
      <c r="D35" s="9"/>
      <c r="E35" s="9"/>
    </row>
    <row r="36" spans="1:5" x14ac:dyDescent="0.25">
      <c r="A36" s="9" t="s">
        <v>167</v>
      </c>
      <c r="B36" s="9" t="s">
        <v>167</v>
      </c>
      <c r="C36" s="9" t="s">
        <v>224</v>
      </c>
      <c r="D36" s="9"/>
      <c r="E36" s="9"/>
    </row>
    <row r="37" spans="1:5" x14ac:dyDescent="0.25">
      <c r="A37" s="9" t="s">
        <v>168</v>
      </c>
      <c r="B37" s="9" t="s">
        <v>169</v>
      </c>
      <c r="C37" s="9" t="s">
        <v>224</v>
      </c>
      <c r="D37" s="9"/>
      <c r="E37" s="9"/>
    </row>
    <row r="38" spans="1:5" x14ac:dyDescent="0.25">
      <c r="A38" s="9" t="s">
        <v>170</v>
      </c>
      <c r="B38" s="9" t="s">
        <v>171</v>
      </c>
      <c r="C38" s="9" t="s">
        <v>224</v>
      </c>
      <c r="D38" s="9"/>
      <c r="E38" s="9"/>
    </row>
    <row r="39" spans="1:5" x14ac:dyDescent="0.25">
      <c r="A39" s="9" t="s">
        <v>172</v>
      </c>
      <c r="B39" s="9" t="s">
        <v>173</v>
      </c>
      <c r="C39" s="9" t="s">
        <v>224</v>
      </c>
      <c r="D39" s="9"/>
      <c r="E39" s="9"/>
    </row>
    <row r="40" spans="1:5" x14ac:dyDescent="0.25">
      <c r="A40" s="9" t="s">
        <v>219</v>
      </c>
      <c r="B40" s="9" t="s">
        <v>220</v>
      </c>
      <c r="C40" s="9" t="s">
        <v>224</v>
      </c>
      <c r="D40" s="9"/>
      <c r="E40" s="9"/>
    </row>
    <row r="41" spans="1:5" x14ac:dyDescent="0.25">
      <c r="A41" s="9" t="s">
        <v>174</v>
      </c>
      <c r="B41" s="9" t="s">
        <v>175</v>
      </c>
      <c r="C41" s="9" t="s">
        <v>224</v>
      </c>
      <c r="D41" s="9"/>
      <c r="E41" s="9"/>
    </row>
    <row r="42" spans="1:5" x14ac:dyDescent="0.25">
      <c r="A42" s="9" t="s">
        <v>148</v>
      </c>
      <c r="B42" s="9" t="s">
        <v>149</v>
      </c>
      <c r="C42" s="9" t="s">
        <v>225</v>
      </c>
      <c r="D42" s="9" t="s">
        <v>245</v>
      </c>
      <c r="E42" s="9">
        <v>13778</v>
      </c>
    </row>
    <row r="43" spans="1:5" x14ac:dyDescent="0.25">
      <c r="A43" s="9" t="s">
        <v>176</v>
      </c>
      <c r="B43" s="9" t="s">
        <v>3</v>
      </c>
      <c r="C43" s="9" t="s">
        <v>224</v>
      </c>
      <c r="D43" s="9"/>
      <c r="E43" s="9"/>
    </row>
    <row r="44" spans="1:5" x14ac:dyDescent="0.25">
      <c r="A44" s="9" t="s">
        <v>166</v>
      </c>
      <c r="B44" s="9" t="s">
        <v>3</v>
      </c>
      <c r="C44" s="9" t="s">
        <v>224</v>
      </c>
      <c r="D44" s="9"/>
      <c r="E44" s="9"/>
    </row>
    <row r="45" spans="1:5" x14ac:dyDescent="0.25">
      <c r="A45" s="9" t="s">
        <v>167</v>
      </c>
      <c r="B45" s="9" t="s">
        <v>167</v>
      </c>
      <c r="C45" s="9" t="s">
        <v>224</v>
      </c>
      <c r="D45" s="9"/>
      <c r="E45" s="9"/>
    </row>
    <row r="46" spans="1:5" x14ac:dyDescent="0.25">
      <c r="A46" s="9" t="s">
        <v>168</v>
      </c>
      <c r="B46" s="9" t="s">
        <v>169</v>
      </c>
      <c r="C46" s="9" t="s">
        <v>224</v>
      </c>
      <c r="D46" s="9"/>
      <c r="E46" s="9"/>
    </row>
    <row r="47" spans="1:5" x14ac:dyDescent="0.25">
      <c r="A47" s="9" t="s">
        <v>177</v>
      </c>
      <c r="B47" s="9" t="s">
        <v>177</v>
      </c>
      <c r="C47" s="9" t="s">
        <v>225</v>
      </c>
      <c r="D47" s="9" t="s">
        <v>232</v>
      </c>
      <c r="E47" s="9"/>
    </row>
    <row r="48" spans="1:5" x14ac:dyDescent="0.25">
      <c r="A48" s="9" t="s">
        <v>178</v>
      </c>
      <c r="B48" s="9" t="s">
        <v>177</v>
      </c>
      <c r="C48" s="9" t="s">
        <v>224</v>
      </c>
      <c r="D48" s="9"/>
      <c r="E48" s="9"/>
    </row>
    <row r="49" spans="1:5" x14ac:dyDescent="0.25">
      <c r="A49" s="9" t="s">
        <v>179</v>
      </c>
      <c r="B49" s="9" t="s">
        <v>177</v>
      </c>
      <c r="C49" s="9" t="s">
        <v>224</v>
      </c>
      <c r="D49" s="9"/>
      <c r="E49" s="9"/>
    </row>
    <row r="50" spans="1:5" x14ac:dyDescent="0.25">
      <c r="A50" s="9" t="s">
        <v>170</v>
      </c>
      <c r="B50" s="9" t="s">
        <v>171</v>
      </c>
      <c r="C50" s="9" t="s">
        <v>225</v>
      </c>
      <c r="D50" s="9" t="s">
        <v>242</v>
      </c>
      <c r="E50" s="9">
        <v>20214</v>
      </c>
    </row>
    <row r="51" spans="1:5" x14ac:dyDescent="0.25">
      <c r="A51" s="9" t="s">
        <v>180</v>
      </c>
      <c r="B51" s="9" t="s">
        <v>181</v>
      </c>
      <c r="C51" s="9" t="s">
        <v>224</v>
      </c>
      <c r="D51" s="9"/>
      <c r="E51" s="9"/>
    </row>
    <row r="52" spans="1:5" x14ac:dyDescent="0.25">
      <c r="A52" s="9" t="s">
        <v>172</v>
      </c>
      <c r="B52" s="9" t="s">
        <v>173</v>
      </c>
      <c r="C52" s="9" t="s">
        <v>225</v>
      </c>
      <c r="D52" s="9" t="s">
        <v>243</v>
      </c>
      <c r="E52" s="9">
        <v>13767</v>
      </c>
    </row>
    <row r="53" spans="1:5" x14ac:dyDescent="0.25">
      <c r="A53" s="9" t="s">
        <v>182</v>
      </c>
      <c r="B53" s="9" t="s">
        <v>183</v>
      </c>
      <c r="C53" s="9" t="s">
        <v>224</v>
      </c>
      <c r="D53" s="9"/>
      <c r="E53" s="9"/>
    </row>
    <row r="54" spans="1:5" x14ac:dyDescent="0.25">
      <c r="A54" s="9" t="s">
        <v>148</v>
      </c>
      <c r="B54" s="9" t="s">
        <v>149</v>
      </c>
      <c r="C54" s="9" t="s">
        <v>225</v>
      </c>
      <c r="D54" s="9" t="s">
        <v>244</v>
      </c>
      <c r="E54" s="9">
        <v>13775</v>
      </c>
    </row>
    <row r="55" spans="1:5" x14ac:dyDescent="0.25">
      <c r="A55" s="9" t="s">
        <v>184</v>
      </c>
      <c r="B55" s="9" t="s">
        <v>185</v>
      </c>
      <c r="C55" s="9" t="s">
        <v>224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/>
  </sheetViews>
  <sheetFormatPr defaultRowHeight="15" x14ac:dyDescent="0.25"/>
  <cols>
    <col min="1" max="1" width="44.7109375" customWidth="1"/>
    <col min="2" max="2" width="63.42578125" customWidth="1"/>
    <col min="3" max="3" width="8.42578125" customWidth="1"/>
    <col min="4" max="4" width="39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2" t="s">
        <v>223</v>
      </c>
      <c r="F1" s="2" t="s">
        <v>254</v>
      </c>
      <c r="G1" s="16" t="s">
        <v>224</v>
      </c>
      <c r="H1" s="4">
        <f>COUNTIF(C:C,G1)</f>
        <v>40</v>
      </c>
    </row>
    <row r="2" spans="1:8" x14ac:dyDescent="0.25">
      <c r="A2" t="s">
        <v>96</v>
      </c>
      <c r="B2" s="12"/>
      <c r="C2" s="13" t="s">
        <v>225</v>
      </c>
      <c r="D2" s="9" t="s">
        <v>250</v>
      </c>
      <c r="E2" s="9">
        <v>17539</v>
      </c>
      <c r="F2" s="2" t="s">
        <v>251</v>
      </c>
      <c r="G2" t="s">
        <v>225</v>
      </c>
      <c r="H2" s="6">
        <f>COUNTIF(C:C,G2)</f>
        <v>8</v>
      </c>
    </row>
    <row r="3" spans="1:8" ht="15.75" thickBot="1" x14ac:dyDescent="0.3">
      <c r="A3" s="9" t="s">
        <v>2</v>
      </c>
      <c r="B3" s="9" t="s">
        <v>3</v>
      </c>
      <c r="C3" s="9" t="s">
        <v>224</v>
      </c>
      <c r="D3" s="9"/>
      <c r="E3" s="9"/>
      <c r="F3" s="9"/>
      <c r="G3" s="17" t="s">
        <v>226</v>
      </c>
      <c r="H3" s="8">
        <f>H1/SUM(H1:H2)</f>
        <v>0.83333333333333337</v>
      </c>
    </row>
    <row r="4" spans="1:8" x14ac:dyDescent="0.25">
      <c r="A4" s="9" t="s">
        <v>4</v>
      </c>
      <c r="B4" s="9" t="s">
        <v>5</v>
      </c>
      <c r="C4" s="9" t="s">
        <v>224</v>
      </c>
      <c r="D4" s="9"/>
      <c r="E4" s="9"/>
      <c r="F4" s="9"/>
    </row>
    <row r="5" spans="1:8" x14ac:dyDescent="0.25">
      <c r="A5" s="9" t="s">
        <v>4</v>
      </c>
      <c r="B5" s="9" t="s">
        <v>5</v>
      </c>
      <c r="C5" s="9" t="s">
        <v>225</v>
      </c>
      <c r="D5" s="2" t="s">
        <v>246</v>
      </c>
      <c r="E5" s="9"/>
    </row>
    <row r="6" spans="1:8" x14ac:dyDescent="0.25">
      <c r="A6" s="9" t="s">
        <v>6</v>
      </c>
      <c r="B6" s="9" t="s">
        <v>7</v>
      </c>
      <c r="C6" s="9" t="s">
        <v>224</v>
      </c>
      <c r="D6" s="9"/>
      <c r="E6" s="9"/>
      <c r="F6" s="9"/>
    </row>
    <row r="7" spans="1:8" x14ac:dyDescent="0.25">
      <c r="A7" s="9" t="s">
        <v>8</v>
      </c>
      <c r="B7" s="9" t="s">
        <v>9</v>
      </c>
      <c r="C7" s="9" t="s">
        <v>224</v>
      </c>
      <c r="D7" s="9"/>
      <c r="E7" s="9"/>
      <c r="F7" s="9"/>
    </row>
    <row r="8" spans="1:8" x14ac:dyDescent="0.25">
      <c r="A8" s="9" t="s">
        <v>10</v>
      </c>
      <c r="B8" s="9" t="s">
        <v>11</v>
      </c>
      <c r="C8" s="9" t="s">
        <v>225</v>
      </c>
      <c r="D8" s="9" t="s">
        <v>248</v>
      </c>
      <c r="E8" s="9">
        <v>17542</v>
      </c>
      <c r="F8" s="9"/>
    </row>
    <row r="9" spans="1:8" x14ac:dyDescent="0.25">
      <c r="A9" s="9" t="s">
        <v>12</v>
      </c>
      <c r="B9" s="9" t="s">
        <v>13</v>
      </c>
      <c r="C9" s="9" t="s">
        <v>224</v>
      </c>
      <c r="D9" s="9"/>
      <c r="E9" s="9"/>
      <c r="F9" s="9"/>
    </row>
    <row r="10" spans="1:8" x14ac:dyDescent="0.25">
      <c r="A10" s="9" t="s">
        <v>14</v>
      </c>
      <c r="B10" s="9" t="s">
        <v>15</v>
      </c>
      <c r="C10" s="9" t="s">
        <v>225</v>
      </c>
      <c r="D10" s="9" t="s">
        <v>248</v>
      </c>
      <c r="E10" s="9">
        <v>17542</v>
      </c>
      <c r="F10" s="9"/>
    </row>
    <row r="11" spans="1:8" x14ac:dyDescent="0.25">
      <c r="A11" s="9" t="s">
        <v>11</v>
      </c>
      <c r="B11" s="9" t="s">
        <v>16</v>
      </c>
      <c r="C11" s="9" t="s">
        <v>225</v>
      </c>
      <c r="D11" s="9" t="s">
        <v>11</v>
      </c>
      <c r="E11" s="9">
        <v>30481</v>
      </c>
      <c r="F11" s="9"/>
    </row>
    <row r="12" spans="1:8" x14ac:dyDescent="0.25">
      <c r="A12" s="9" t="s">
        <v>17</v>
      </c>
      <c r="B12" s="9" t="s">
        <v>18</v>
      </c>
      <c r="C12" s="9" t="s">
        <v>224</v>
      </c>
      <c r="D12" s="9"/>
      <c r="E12" s="9"/>
      <c r="F12" s="9"/>
    </row>
    <row r="13" spans="1:8" x14ac:dyDescent="0.25">
      <c r="A13" s="9" t="s">
        <v>19</v>
      </c>
      <c r="B13" s="9" t="s">
        <v>20</v>
      </c>
      <c r="C13" s="9" t="s">
        <v>224</v>
      </c>
      <c r="D13" s="9"/>
      <c r="E13" s="9"/>
      <c r="F13" s="9"/>
    </row>
    <row r="14" spans="1:8" x14ac:dyDescent="0.25">
      <c r="A14" s="9" t="s">
        <v>21</v>
      </c>
      <c r="B14" s="9" t="s">
        <v>22</v>
      </c>
      <c r="C14" s="9" t="s">
        <v>224</v>
      </c>
      <c r="D14" s="9"/>
      <c r="E14" s="9"/>
      <c r="F14" s="9"/>
    </row>
    <row r="15" spans="1:8" x14ac:dyDescent="0.25">
      <c r="A15" s="9" t="s">
        <v>23</v>
      </c>
      <c r="B15" s="9" t="s">
        <v>23</v>
      </c>
      <c r="C15" s="9" t="s">
        <v>224</v>
      </c>
      <c r="D15" s="9"/>
      <c r="E15" s="9"/>
      <c r="F15" s="9"/>
    </row>
    <row r="16" spans="1:8" x14ac:dyDescent="0.25">
      <c r="A16" s="9" t="s">
        <v>2</v>
      </c>
      <c r="B16" s="9" t="s">
        <v>3</v>
      </c>
      <c r="C16" s="9" t="s">
        <v>224</v>
      </c>
      <c r="D16" s="9"/>
      <c r="E16" s="9"/>
      <c r="F16" s="9"/>
    </row>
    <row r="17" spans="1:6" x14ac:dyDescent="0.25">
      <c r="A17" s="9" t="s">
        <v>24</v>
      </c>
      <c r="B17" s="9" t="s">
        <v>25</v>
      </c>
      <c r="C17" s="9" t="s">
        <v>224</v>
      </c>
      <c r="D17" s="9"/>
      <c r="E17" s="9"/>
      <c r="F17" s="9"/>
    </row>
    <row r="18" spans="1:6" x14ac:dyDescent="0.25">
      <c r="A18" s="9" t="s">
        <v>26</v>
      </c>
      <c r="B18" s="9" t="s">
        <v>27</v>
      </c>
      <c r="C18" s="9" t="s">
        <v>224</v>
      </c>
      <c r="D18" s="9"/>
      <c r="E18" s="9"/>
      <c r="F18" s="9"/>
    </row>
    <row r="19" spans="1:6" x14ac:dyDescent="0.25">
      <c r="A19" s="9" t="s">
        <v>28</v>
      </c>
      <c r="B19" s="9" t="s">
        <v>29</v>
      </c>
      <c r="C19" s="9" t="s">
        <v>224</v>
      </c>
      <c r="D19" s="9"/>
      <c r="E19" s="9"/>
      <c r="F19" s="9"/>
    </row>
    <row r="20" spans="1:6" x14ac:dyDescent="0.25">
      <c r="A20" s="9" t="s">
        <v>30</v>
      </c>
      <c r="B20" s="9" t="s">
        <v>30</v>
      </c>
      <c r="C20" s="9" t="s">
        <v>224</v>
      </c>
      <c r="D20" s="9"/>
      <c r="E20" s="9"/>
      <c r="F20" s="9"/>
    </row>
    <row r="21" spans="1:6" x14ac:dyDescent="0.25">
      <c r="A21" s="9" t="s">
        <v>31</v>
      </c>
      <c r="B21" s="9" t="s">
        <v>32</v>
      </c>
      <c r="C21" s="9" t="s">
        <v>224</v>
      </c>
      <c r="D21" s="9"/>
      <c r="E21" s="9"/>
      <c r="F21" s="9"/>
    </row>
    <row r="22" spans="1:6" x14ac:dyDescent="0.25">
      <c r="A22" s="9" t="s">
        <v>33</v>
      </c>
      <c r="B22" s="9" t="s">
        <v>34</v>
      </c>
      <c r="C22" s="9" t="s">
        <v>224</v>
      </c>
      <c r="D22" s="9"/>
      <c r="E22" s="9"/>
      <c r="F22" s="9"/>
    </row>
    <row r="23" spans="1:6" x14ac:dyDescent="0.25">
      <c r="A23" s="9" t="s">
        <v>35</v>
      </c>
      <c r="B23" s="9" t="s">
        <v>36</v>
      </c>
      <c r="C23" s="9" t="s">
        <v>225</v>
      </c>
      <c r="D23" s="9" t="s">
        <v>232</v>
      </c>
      <c r="E23" s="9"/>
      <c r="F23" s="9"/>
    </row>
    <row r="24" spans="1:6" x14ac:dyDescent="0.25">
      <c r="A24" s="9" t="s">
        <v>37</v>
      </c>
      <c r="B24" s="9" t="s">
        <v>38</v>
      </c>
      <c r="C24" s="9" t="s">
        <v>224</v>
      </c>
      <c r="D24" s="9"/>
      <c r="E24" s="9"/>
      <c r="F24" s="9"/>
    </row>
    <row r="25" spans="1:6" x14ac:dyDescent="0.25">
      <c r="A25" s="9" t="s">
        <v>39</v>
      </c>
      <c r="B25" s="9" t="s">
        <v>40</v>
      </c>
      <c r="C25" s="9" t="s">
        <v>224</v>
      </c>
      <c r="D25" s="9"/>
      <c r="E25" s="9"/>
      <c r="F25" s="9"/>
    </row>
    <row r="26" spans="1:6" x14ac:dyDescent="0.25">
      <c r="A26" s="9" t="s">
        <v>41</v>
      </c>
      <c r="B26" s="9" t="s">
        <v>38</v>
      </c>
      <c r="C26" s="9" t="s">
        <v>224</v>
      </c>
      <c r="D26" s="9"/>
      <c r="E26" s="9"/>
      <c r="F26" s="9"/>
    </row>
    <row r="27" spans="1:6" x14ac:dyDescent="0.25">
      <c r="A27" s="9" t="s">
        <v>42</v>
      </c>
      <c r="B27" s="9" t="s">
        <v>43</v>
      </c>
      <c r="C27" s="9" t="s">
        <v>224</v>
      </c>
      <c r="D27" s="9"/>
      <c r="E27" s="9"/>
      <c r="F27" s="9"/>
    </row>
    <row r="28" spans="1:6" x14ac:dyDescent="0.25">
      <c r="A28" s="9" t="s">
        <v>44</v>
      </c>
      <c r="B28" s="9" t="s">
        <v>45</v>
      </c>
      <c r="C28" s="9" t="s">
        <v>224</v>
      </c>
      <c r="D28" s="9"/>
      <c r="E28" s="9"/>
      <c r="F28" s="9"/>
    </row>
    <row r="29" spans="1:6" x14ac:dyDescent="0.25">
      <c r="A29" s="9" t="s">
        <v>46</v>
      </c>
      <c r="B29" s="9" t="s">
        <v>47</v>
      </c>
      <c r="C29" s="9" t="s">
        <v>224</v>
      </c>
      <c r="D29" s="9"/>
      <c r="E29" s="9"/>
      <c r="F29" s="9"/>
    </row>
    <row r="30" spans="1:6" x14ac:dyDescent="0.25">
      <c r="A30" s="9" t="s">
        <v>48</v>
      </c>
      <c r="B30" s="9" t="s">
        <v>49</v>
      </c>
      <c r="C30" s="9" t="s">
        <v>224</v>
      </c>
      <c r="D30" s="9"/>
      <c r="E30" s="9"/>
      <c r="F30" s="9"/>
    </row>
    <row r="31" spans="1:6" x14ac:dyDescent="0.25">
      <c r="A31" s="9" t="s">
        <v>50</v>
      </c>
      <c r="B31" s="9" t="s">
        <v>51</v>
      </c>
      <c r="C31" s="9" t="s">
        <v>224</v>
      </c>
      <c r="D31" s="9"/>
      <c r="E31" s="9"/>
      <c r="F31" s="9"/>
    </row>
    <row r="32" spans="1:6" x14ac:dyDescent="0.25">
      <c r="A32" s="9" t="s">
        <v>52</v>
      </c>
      <c r="B32" s="9" t="s">
        <v>53</v>
      </c>
      <c r="C32" s="9" t="s">
        <v>224</v>
      </c>
      <c r="D32" s="9"/>
      <c r="E32" s="9"/>
      <c r="F32" s="9"/>
    </row>
    <row r="33" spans="1:6" x14ac:dyDescent="0.25">
      <c r="A33" s="9" t="s">
        <v>54</v>
      </c>
      <c r="B33" s="9" t="s">
        <v>55</v>
      </c>
      <c r="C33" s="9" t="s">
        <v>224</v>
      </c>
      <c r="D33" s="9"/>
      <c r="E33" s="9"/>
      <c r="F33" s="9"/>
    </row>
    <row r="34" spans="1:6" x14ac:dyDescent="0.25">
      <c r="A34" s="9" t="s">
        <v>56</v>
      </c>
      <c r="B34" s="9" t="s">
        <v>55</v>
      </c>
      <c r="C34" s="9" t="s">
        <v>224</v>
      </c>
      <c r="D34" s="9"/>
      <c r="E34" s="9"/>
      <c r="F34" s="9"/>
    </row>
    <row r="35" spans="1:6" x14ac:dyDescent="0.25">
      <c r="A35" s="9" t="s">
        <v>57</v>
      </c>
      <c r="B35" s="9" t="s">
        <v>55</v>
      </c>
      <c r="C35" s="9" t="s">
        <v>225</v>
      </c>
      <c r="D35" s="9" t="s">
        <v>249</v>
      </c>
      <c r="E35" s="9">
        <v>17545</v>
      </c>
      <c r="F35" s="9"/>
    </row>
    <row r="36" spans="1:6" x14ac:dyDescent="0.25">
      <c r="A36" s="9" t="s">
        <v>18</v>
      </c>
      <c r="B36" s="9" t="s">
        <v>18</v>
      </c>
      <c r="C36" s="9" t="s">
        <v>224</v>
      </c>
      <c r="D36" s="9"/>
      <c r="E36" s="9"/>
      <c r="F36" s="9"/>
    </row>
    <row r="37" spans="1:6" x14ac:dyDescent="0.25">
      <c r="A37" s="9" t="s">
        <v>16</v>
      </c>
      <c r="B37" s="9" t="s">
        <v>11</v>
      </c>
      <c r="C37" s="9" t="s">
        <v>225</v>
      </c>
      <c r="D37" s="9" t="s">
        <v>16</v>
      </c>
      <c r="E37" s="9">
        <v>30485</v>
      </c>
      <c r="F37" s="9"/>
    </row>
    <row r="38" spans="1:6" x14ac:dyDescent="0.25">
      <c r="A38" s="9" t="s">
        <v>58</v>
      </c>
      <c r="B38" s="9" t="s">
        <v>36</v>
      </c>
      <c r="C38" s="9" t="s">
        <v>224</v>
      </c>
      <c r="D38" s="9"/>
      <c r="E38" s="9"/>
      <c r="F38" s="9"/>
    </row>
    <row r="39" spans="1:6" x14ac:dyDescent="0.25">
      <c r="A39" s="9" t="s">
        <v>59</v>
      </c>
      <c r="B39" s="9" t="s">
        <v>3</v>
      </c>
      <c r="C39" s="9" t="s">
        <v>224</v>
      </c>
      <c r="D39" s="9"/>
      <c r="E39" s="9"/>
      <c r="F39" s="9"/>
    </row>
    <row r="40" spans="1:6" x14ac:dyDescent="0.25">
      <c r="A40" s="9" t="s">
        <v>60</v>
      </c>
      <c r="B40" s="9" t="s">
        <v>61</v>
      </c>
      <c r="C40" s="9" t="s">
        <v>224</v>
      </c>
      <c r="D40" s="9"/>
      <c r="E40" s="9"/>
      <c r="F40" s="9"/>
    </row>
    <row r="41" spans="1:6" x14ac:dyDescent="0.25">
      <c r="A41" s="9" t="s">
        <v>62</v>
      </c>
      <c r="B41" s="9" t="s">
        <v>63</v>
      </c>
      <c r="C41" s="9" t="s">
        <v>224</v>
      </c>
      <c r="D41" s="9"/>
      <c r="E41" s="9"/>
      <c r="F41" s="9"/>
    </row>
    <row r="42" spans="1:6" x14ac:dyDescent="0.25">
      <c r="A42" s="9" t="s">
        <v>64</v>
      </c>
      <c r="B42" s="9" t="s">
        <v>65</v>
      </c>
      <c r="C42" s="9" t="s">
        <v>224</v>
      </c>
      <c r="D42" s="9"/>
      <c r="E42" s="9"/>
      <c r="F42" s="9"/>
    </row>
    <row r="43" spans="1:6" x14ac:dyDescent="0.25">
      <c r="A43" s="9" t="s">
        <v>66</v>
      </c>
      <c r="B43" s="9" t="s">
        <v>67</v>
      </c>
      <c r="C43" s="9" t="s">
        <v>224</v>
      </c>
      <c r="D43" s="9"/>
      <c r="E43" s="9"/>
      <c r="F43" s="9"/>
    </row>
    <row r="44" spans="1:6" x14ac:dyDescent="0.25">
      <c r="A44" s="9" t="s">
        <v>68</v>
      </c>
      <c r="B44" s="9" t="s">
        <v>69</v>
      </c>
      <c r="C44" s="9" t="s">
        <v>224</v>
      </c>
      <c r="D44" s="9"/>
      <c r="E44" s="9"/>
      <c r="F44" s="9"/>
    </row>
    <row r="45" spans="1:6" x14ac:dyDescent="0.25">
      <c r="A45" s="9" t="s">
        <v>70</v>
      </c>
      <c r="B45" s="9" t="s">
        <v>70</v>
      </c>
      <c r="C45" s="9" t="s">
        <v>224</v>
      </c>
      <c r="D45" s="9"/>
      <c r="E45" s="9"/>
      <c r="F45" s="9"/>
    </row>
    <row r="46" spans="1:6" x14ac:dyDescent="0.25">
      <c r="A46" s="9" t="s">
        <v>71</v>
      </c>
      <c r="B46" s="9" t="s">
        <v>72</v>
      </c>
      <c r="C46" s="9" t="s">
        <v>224</v>
      </c>
      <c r="D46" s="9"/>
      <c r="E46" s="9"/>
      <c r="F46" s="9"/>
    </row>
    <row r="47" spans="1:6" x14ac:dyDescent="0.25">
      <c r="A47" s="9" t="s">
        <v>73</v>
      </c>
      <c r="B47" s="9" t="s">
        <v>74</v>
      </c>
      <c r="C47" s="9" t="s">
        <v>224</v>
      </c>
      <c r="D47" s="9"/>
      <c r="E47" s="9"/>
      <c r="F47" s="9"/>
    </row>
    <row r="48" spans="1:6" x14ac:dyDescent="0.25">
      <c r="A48" s="9" t="s">
        <v>75</v>
      </c>
      <c r="B48" s="9" t="s">
        <v>76</v>
      </c>
      <c r="C48" s="9" t="s">
        <v>224</v>
      </c>
      <c r="D48" s="9"/>
      <c r="E48" s="9"/>
      <c r="F48" s="9"/>
    </row>
    <row r="49" spans="1:6" x14ac:dyDescent="0.25">
      <c r="A49" s="9" t="s">
        <v>77</v>
      </c>
      <c r="B49" s="9" t="s">
        <v>78</v>
      </c>
      <c r="C49" s="9" t="s">
        <v>224</v>
      </c>
      <c r="D49" s="9"/>
      <c r="E49" s="9"/>
      <c r="F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/>
  </sheetViews>
  <sheetFormatPr defaultRowHeight="15" x14ac:dyDescent="0.25"/>
  <cols>
    <col min="1" max="1" width="56.28515625" customWidth="1"/>
    <col min="2" max="2" width="42.140625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221</v>
      </c>
      <c r="D1" s="2" t="s">
        <v>222</v>
      </c>
      <c r="E1" s="2" t="s">
        <v>223</v>
      </c>
      <c r="F1" s="2" t="s">
        <v>254</v>
      </c>
      <c r="G1" s="16" t="s">
        <v>224</v>
      </c>
      <c r="H1" s="4">
        <f>COUNTIF(C:C,G1)</f>
        <v>38</v>
      </c>
    </row>
    <row r="2" spans="1:8" x14ac:dyDescent="0.25">
      <c r="A2" t="s">
        <v>96</v>
      </c>
      <c r="B2" s="12"/>
      <c r="C2" s="9" t="s">
        <v>225</v>
      </c>
      <c r="D2" s="9" t="s">
        <v>250</v>
      </c>
      <c r="E2" s="9">
        <v>17539</v>
      </c>
      <c r="F2" s="9" t="s">
        <v>251</v>
      </c>
      <c r="G2" t="s">
        <v>225</v>
      </c>
      <c r="H2" s="6">
        <f>COUNTIF(C:C,G2)</f>
        <v>10</v>
      </c>
    </row>
    <row r="3" spans="1:8" ht="15.75" thickBot="1" x14ac:dyDescent="0.3">
      <c r="A3" s="9" t="s">
        <v>199</v>
      </c>
      <c r="B3" s="9" t="s">
        <v>3</v>
      </c>
      <c r="C3" s="9" t="s">
        <v>224</v>
      </c>
      <c r="D3" s="9"/>
      <c r="E3" s="9"/>
      <c r="F3" s="9"/>
      <c r="G3" s="17" t="s">
        <v>226</v>
      </c>
      <c r="H3" s="8">
        <f>H1/SUM(H1:H2)</f>
        <v>0.79166666666666663</v>
      </c>
    </row>
    <row r="4" spans="1:8" x14ac:dyDescent="0.25">
      <c r="A4" s="9" t="s">
        <v>4</v>
      </c>
      <c r="B4" s="9" t="s">
        <v>5</v>
      </c>
      <c r="C4" s="9" t="s">
        <v>224</v>
      </c>
      <c r="D4" s="9"/>
      <c r="E4" s="9"/>
      <c r="F4" s="9"/>
    </row>
    <row r="5" spans="1:8" x14ac:dyDescent="0.25">
      <c r="A5" s="9" t="s">
        <v>200</v>
      </c>
      <c r="B5" s="9" t="s">
        <v>201</v>
      </c>
      <c r="C5" s="9" t="s">
        <v>224</v>
      </c>
      <c r="D5" s="9"/>
      <c r="E5" s="9"/>
      <c r="F5" s="9"/>
    </row>
    <row r="6" spans="1:8" x14ac:dyDescent="0.25">
      <c r="A6" s="9" t="s">
        <v>6</v>
      </c>
      <c r="B6" s="9" t="s">
        <v>7</v>
      </c>
      <c r="C6" s="9" t="s">
        <v>224</v>
      </c>
      <c r="D6" s="9"/>
      <c r="E6" s="9"/>
      <c r="F6" s="9"/>
    </row>
    <row r="7" spans="1:8" x14ac:dyDescent="0.25">
      <c r="A7" s="9" t="s">
        <v>8</v>
      </c>
      <c r="B7" s="9" t="s">
        <v>9</v>
      </c>
      <c r="C7" s="9" t="s">
        <v>224</v>
      </c>
      <c r="D7" s="9"/>
      <c r="E7" s="9"/>
      <c r="F7" s="9"/>
    </row>
    <row r="8" spans="1:8" x14ac:dyDescent="0.25">
      <c r="A8" s="9" t="s">
        <v>202</v>
      </c>
      <c r="B8" s="9" t="s">
        <v>11</v>
      </c>
      <c r="C8" s="9" t="s">
        <v>225</v>
      </c>
      <c r="D8" s="9" t="s">
        <v>248</v>
      </c>
      <c r="E8" s="9">
        <v>17542</v>
      </c>
      <c r="F8" s="9"/>
    </row>
    <row r="9" spans="1:8" x14ac:dyDescent="0.25">
      <c r="A9" s="9" t="s">
        <v>12</v>
      </c>
      <c r="B9" s="9" t="s">
        <v>13</v>
      </c>
      <c r="C9" s="9" t="s">
        <v>224</v>
      </c>
      <c r="D9" s="9"/>
      <c r="E9" s="9"/>
      <c r="F9" s="9"/>
    </row>
    <row r="10" spans="1:8" x14ac:dyDescent="0.25">
      <c r="A10" s="9" t="s">
        <v>203</v>
      </c>
      <c r="B10" s="9" t="s">
        <v>13</v>
      </c>
      <c r="C10" s="9" t="s">
        <v>225</v>
      </c>
      <c r="D10" s="9" t="s">
        <v>248</v>
      </c>
      <c r="E10" s="9">
        <v>17542</v>
      </c>
      <c r="F10" s="9"/>
    </row>
    <row r="11" spans="1:8" x14ac:dyDescent="0.25">
      <c r="A11" s="9" t="s">
        <v>11</v>
      </c>
      <c r="B11" s="9" t="s">
        <v>16</v>
      </c>
      <c r="C11" s="9" t="s">
        <v>225</v>
      </c>
      <c r="D11" s="9" t="s">
        <v>11</v>
      </c>
      <c r="E11" s="9">
        <v>30481</v>
      </c>
      <c r="F11" s="9"/>
    </row>
    <row r="12" spans="1:8" x14ac:dyDescent="0.25">
      <c r="A12" s="9" t="s">
        <v>17</v>
      </c>
      <c r="B12" s="9" t="s">
        <v>18</v>
      </c>
      <c r="C12" s="9" t="s">
        <v>224</v>
      </c>
      <c r="D12" s="9"/>
      <c r="E12" s="9"/>
      <c r="F12" s="9"/>
    </row>
    <row r="13" spans="1:8" x14ac:dyDescent="0.25">
      <c r="A13" s="9" t="s">
        <v>204</v>
      </c>
      <c r="B13" s="9" t="s">
        <v>20</v>
      </c>
      <c r="C13" s="9" t="s">
        <v>224</v>
      </c>
      <c r="D13" s="9"/>
      <c r="E13" s="9"/>
      <c r="F13" s="9"/>
    </row>
    <row r="14" spans="1:8" x14ac:dyDescent="0.25">
      <c r="A14" s="9" t="s">
        <v>21</v>
      </c>
      <c r="B14" s="9" t="s">
        <v>22</v>
      </c>
      <c r="C14" s="9" t="s">
        <v>224</v>
      </c>
      <c r="D14" s="9"/>
      <c r="E14" s="9"/>
      <c r="F14" s="9"/>
    </row>
    <row r="15" spans="1:8" x14ac:dyDescent="0.25">
      <c r="A15" s="9" t="s">
        <v>23</v>
      </c>
      <c r="B15" s="9" t="s">
        <v>23</v>
      </c>
      <c r="C15" s="9" t="s">
        <v>224</v>
      </c>
      <c r="D15" s="9"/>
      <c r="E15" s="9"/>
      <c r="F15" s="9"/>
    </row>
    <row r="16" spans="1:8" x14ac:dyDescent="0.25">
      <c r="A16" s="9" t="s">
        <v>2</v>
      </c>
      <c r="B16" s="9" t="s">
        <v>3</v>
      </c>
      <c r="C16" s="9" t="s">
        <v>224</v>
      </c>
      <c r="D16" s="9"/>
      <c r="E16" s="9"/>
      <c r="F16" s="9"/>
    </row>
    <row r="17" spans="1:6" x14ac:dyDescent="0.25">
      <c r="A17" s="9" t="s">
        <v>24</v>
      </c>
      <c r="B17" s="9" t="s">
        <v>25</v>
      </c>
      <c r="C17" s="9" t="s">
        <v>224</v>
      </c>
      <c r="D17" s="9"/>
      <c r="E17" s="9"/>
      <c r="F17" s="9"/>
    </row>
    <row r="18" spans="1:6" x14ac:dyDescent="0.25">
      <c r="A18" s="9" t="s">
        <v>26</v>
      </c>
      <c r="B18" s="9" t="s">
        <v>27</v>
      </c>
      <c r="C18" s="9" t="s">
        <v>224</v>
      </c>
      <c r="D18" s="9"/>
      <c r="E18" s="9"/>
      <c r="F18" s="9"/>
    </row>
    <row r="19" spans="1:6" x14ac:dyDescent="0.25">
      <c r="A19" s="9" t="s">
        <v>205</v>
      </c>
      <c r="B19" s="9" t="s">
        <v>29</v>
      </c>
      <c r="C19" s="9" t="s">
        <v>224</v>
      </c>
      <c r="D19" s="9"/>
      <c r="E19" s="9"/>
      <c r="F19" s="9"/>
    </row>
    <row r="20" spans="1:6" x14ac:dyDescent="0.25">
      <c r="A20" s="9" t="s">
        <v>30</v>
      </c>
      <c r="B20" s="9" t="s">
        <v>30</v>
      </c>
      <c r="C20" s="9" t="s">
        <v>224</v>
      </c>
      <c r="D20" s="9"/>
      <c r="E20" s="9"/>
      <c r="F20" s="9"/>
    </row>
    <row r="21" spans="1:6" x14ac:dyDescent="0.25">
      <c r="A21" s="9" t="s">
        <v>31</v>
      </c>
      <c r="B21" s="9" t="s">
        <v>32</v>
      </c>
      <c r="C21" s="9" t="s">
        <v>224</v>
      </c>
      <c r="D21" s="9"/>
      <c r="E21" s="9"/>
      <c r="F21" s="9"/>
    </row>
    <row r="22" spans="1:6" x14ac:dyDescent="0.25">
      <c r="A22" s="9" t="s">
        <v>33</v>
      </c>
      <c r="B22" s="9" t="s">
        <v>34</v>
      </c>
      <c r="C22" s="9" t="s">
        <v>224</v>
      </c>
      <c r="D22" s="9"/>
      <c r="E22" s="9"/>
      <c r="F22" s="9"/>
    </row>
    <row r="23" spans="1:6" x14ac:dyDescent="0.25">
      <c r="A23" s="9" t="s">
        <v>35</v>
      </c>
      <c r="B23" s="9" t="s">
        <v>36</v>
      </c>
      <c r="C23" s="9" t="s">
        <v>225</v>
      </c>
      <c r="D23" s="9" t="s">
        <v>232</v>
      </c>
      <c r="E23" s="9"/>
      <c r="F23" s="9"/>
    </row>
    <row r="24" spans="1:6" x14ac:dyDescent="0.25">
      <c r="A24" s="9" t="s">
        <v>206</v>
      </c>
      <c r="B24" s="9" t="s">
        <v>38</v>
      </c>
      <c r="C24" s="9" t="s">
        <v>224</v>
      </c>
      <c r="D24" s="9"/>
      <c r="E24" s="9"/>
      <c r="F24" s="9"/>
    </row>
    <row r="25" spans="1:6" x14ac:dyDescent="0.25">
      <c r="A25" s="9" t="s">
        <v>39</v>
      </c>
      <c r="B25" s="9" t="s">
        <v>40</v>
      </c>
      <c r="C25" s="9" t="s">
        <v>224</v>
      </c>
      <c r="D25" s="9"/>
      <c r="E25" s="9"/>
      <c r="F25" s="9"/>
    </row>
    <row r="26" spans="1:6" x14ac:dyDescent="0.25">
      <c r="A26" s="9" t="s">
        <v>41</v>
      </c>
      <c r="B26" s="9" t="s">
        <v>38</v>
      </c>
      <c r="C26" s="9" t="s">
        <v>224</v>
      </c>
      <c r="D26" s="9"/>
      <c r="E26" s="9"/>
      <c r="F26" s="9"/>
    </row>
    <row r="27" spans="1:6" x14ac:dyDescent="0.25">
      <c r="A27" s="9" t="s">
        <v>42</v>
      </c>
      <c r="B27" s="9" t="s">
        <v>43</v>
      </c>
      <c r="C27" s="9" t="s">
        <v>224</v>
      </c>
      <c r="D27" s="9"/>
      <c r="E27" s="9"/>
      <c r="F27" s="9"/>
    </row>
    <row r="28" spans="1:6" x14ac:dyDescent="0.25">
      <c r="A28" s="9" t="s">
        <v>207</v>
      </c>
      <c r="B28" s="9" t="s">
        <v>208</v>
      </c>
      <c r="C28" s="9" t="s">
        <v>225</v>
      </c>
      <c r="D28" s="9" t="s">
        <v>47</v>
      </c>
      <c r="E28" s="9">
        <v>17557</v>
      </c>
      <c r="F28" s="9"/>
    </row>
    <row r="29" spans="1:6" x14ac:dyDescent="0.25">
      <c r="A29" s="9" t="s">
        <v>46</v>
      </c>
      <c r="B29" s="9" t="s">
        <v>47</v>
      </c>
      <c r="C29" s="9" t="s">
        <v>224</v>
      </c>
      <c r="D29" s="9"/>
      <c r="E29" s="9"/>
      <c r="F29" s="9"/>
    </row>
    <row r="30" spans="1:6" x14ac:dyDescent="0.25">
      <c r="A30" s="9" t="s">
        <v>48</v>
      </c>
      <c r="B30" s="9" t="s">
        <v>49</v>
      </c>
      <c r="C30" s="9" t="s">
        <v>224</v>
      </c>
      <c r="D30" s="9"/>
      <c r="E30" s="9"/>
      <c r="F30" s="9"/>
    </row>
    <row r="31" spans="1:6" x14ac:dyDescent="0.25">
      <c r="A31" s="9" t="s">
        <v>209</v>
      </c>
      <c r="B31" s="9" t="s">
        <v>55</v>
      </c>
      <c r="C31" s="9" t="s">
        <v>224</v>
      </c>
      <c r="D31" s="9"/>
      <c r="E31" s="9"/>
      <c r="F31" s="9"/>
    </row>
    <row r="32" spans="1:6" x14ac:dyDescent="0.25">
      <c r="A32" s="9" t="s">
        <v>56</v>
      </c>
      <c r="B32" s="9" t="s">
        <v>55</v>
      </c>
      <c r="C32" s="9" t="s">
        <v>224</v>
      </c>
      <c r="D32" s="9"/>
      <c r="E32" s="9"/>
      <c r="F32" s="9"/>
    </row>
    <row r="33" spans="1:6" x14ac:dyDescent="0.25">
      <c r="A33" s="9" t="s">
        <v>57</v>
      </c>
      <c r="B33" s="9" t="s">
        <v>55</v>
      </c>
      <c r="C33" s="9" t="s">
        <v>225</v>
      </c>
      <c r="D33" s="9" t="s">
        <v>249</v>
      </c>
      <c r="E33" s="9">
        <v>17545</v>
      </c>
      <c r="F33" s="9"/>
    </row>
    <row r="34" spans="1:6" x14ac:dyDescent="0.25">
      <c r="A34" s="9" t="s">
        <v>18</v>
      </c>
      <c r="B34" s="9" t="s">
        <v>18</v>
      </c>
      <c r="C34" s="9" t="s">
        <v>224</v>
      </c>
      <c r="D34" s="9"/>
      <c r="E34" s="9"/>
      <c r="F34" s="9"/>
    </row>
    <row r="35" spans="1:6" x14ac:dyDescent="0.25">
      <c r="A35" s="9" t="s">
        <v>16</v>
      </c>
      <c r="B35" s="9" t="s">
        <v>11</v>
      </c>
      <c r="C35" s="9" t="s">
        <v>225</v>
      </c>
      <c r="D35" s="9" t="s">
        <v>16</v>
      </c>
      <c r="E35" s="9">
        <v>30485</v>
      </c>
      <c r="F35" s="9"/>
    </row>
    <row r="36" spans="1:6" x14ac:dyDescent="0.25">
      <c r="A36" s="9" t="s">
        <v>58</v>
      </c>
      <c r="B36" s="9" t="s">
        <v>36</v>
      </c>
      <c r="C36" s="9" t="s">
        <v>224</v>
      </c>
      <c r="D36" s="9"/>
      <c r="E36" s="9"/>
      <c r="F36" s="9"/>
    </row>
    <row r="37" spans="1:6" x14ac:dyDescent="0.25">
      <c r="A37" s="9" t="s">
        <v>59</v>
      </c>
      <c r="B37" s="9" t="s">
        <v>3</v>
      </c>
      <c r="C37" s="9" t="s">
        <v>224</v>
      </c>
      <c r="D37" s="9"/>
      <c r="E37" s="9"/>
      <c r="F37" s="9"/>
    </row>
    <row r="38" spans="1:6" x14ac:dyDescent="0.25">
      <c r="A38" s="9" t="s">
        <v>210</v>
      </c>
      <c r="B38" s="9" t="s">
        <v>211</v>
      </c>
      <c r="C38" s="9" t="s">
        <v>225</v>
      </c>
      <c r="D38" s="9" t="s">
        <v>252</v>
      </c>
      <c r="E38" s="9">
        <v>17543</v>
      </c>
      <c r="F38" s="9"/>
    </row>
    <row r="39" spans="1:6" x14ac:dyDescent="0.25">
      <c r="A39" s="9" t="s">
        <v>60</v>
      </c>
      <c r="B39" s="9" t="s">
        <v>61</v>
      </c>
      <c r="C39" s="9" t="s">
        <v>224</v>
      </c>
      <c r="D39" s="9"/>
      <c r="E39" s="9"/>
      <c r="F39" s="9"/>
    </row>
    <row r="40" spans="1:6" x14ac:dyDescent="0.25">
      <c r="A40" s="9" t="s">
        <v>62</v>
      </c>
      <c r="B40" s="9" t="s">
        <v>63</v>
      </c>
      <c r="C40" s="9" t="s">
        <v>224</v>
      </c>
      <c r="D40" s="9"/>
      <c r="E40" s="9"/>
      <c r="F40" s="9"/>
    </row>
    <row r="41" spans="1:6" x14ac:dyDescent="0.25">
      <c r="A41" s="9" t="s">
        <v>64</v>
      </c>
      <c r="B41" s="9" t="s">
        <v>65</v>
      </c>
      <c r="C41" s="9" t="s">
        <v>224</v>
      </c>
      <c r="D41" s="9"/>
      <c r="E41" s="9"/>
      <c r="F41" s="9"/>
    </row>
    <row r="42" spans="1:6" x14ac:dyDescent="0.25">
      <c r="A42" s="9" t="s">
        <v>66</v>
      </c>
      <c r="B42" s="9" t="s">
        <v>67</v>
      </c>
      <c r="C42" s="9" t="s">
        <v>224</v>
      </c>
      <c r="D42" s="9"/>
      <c r="E42" s="9"/>
      <c r="F42" s="9"/>
    </row>
    <row r="43" spans="1:6" x14ac:dyDescent="0.25">
      <c r="A43" s="9" t="s">
        <v>68</v>
      </c>
      <c r="B43" s="9" t="s">
        <v>69</v>
      </c>
      <c r="C43" s="9" t="s">
        <v>224</v>
      </c>
      <c r="D43" s="9"/>
      <c r="E43" s="9"/>
      <c r="F43" s="9"/>
    </row>
    <row r="44" spans="1:6" x14ac:dyDescent="0.25">
      <c r="A44" s="9" t="s">
        <v>70</v>
      </c>
      <c r="B44" s="9" t="s">
        <v>70</v>
      </c>
      <c r="C44" s="9" t="s">
        <v>224</v>
      </c>
      <c r="D44" s="9"/>
      <c r="E44" s="9"/>
      <c r="F44" s="9"/>
    </row>
    <row r="45" spans="1:6" x14ac:dyDescent="0.25">
      <c r="A45" s="9" t="s">
        <v>212</v>
      </c>
      <c r="B45" s="9" t="s">
        <v>72</v>
      </c>
      <c r="C45" s="9" t="s">
        <v>224</v>
      </c>
      <c r="D45" s="9"/>
      <c r="E45" s="9"/>
      <c r="F45" s="9"/>
    </row>
    <row r="46" spans="1:6" x14ac:dyDescent="0.25">
      <c r="A46" s="9" t="s">
        <v>73</v>
      </c>
      <c r="B46" s="9" t="s">
        <v>74</v>
      </c>
      <c r="C46" s="9" t="s">
        <v>224</v>
      </c>
      <c r="D46" s="9"/>
      <c r="E46" s="9"/>
      <c r="F46" s="9"/>
    </row>
    <row r="47" spans="1:6" x14ac:dyDescent="0.25">
      <c r="A47" s="9" t="s">
        <v>75</v>
      </c>
      <c r="B47" s="9" t="s">
        <v>76</v>
      </c>
      <c r="C47" s="9" t="s">
        <v>224</v>
      </c>
      <c r="D47" s="9"/>
      <c r="E47" s="9"/>
      <c r="F47" s="9"/>
    </row>
    <row r="48" spans="1:6" x14ac:dyDescent="0.25">
      <c r="A48" s="9" t="s">
        <v>213</v>
      </c>
      <c r="B48" s="9" t="s">
        <v>45</v>
      </c>
      <c r="C48" s="9" t="s">
        <v>225</v>
      </c>
      <c r="D48" s="9" t="s">
        <v>253</v>
      </c>
      <c r="E48" s="9">
        <v>17529</v>
      </c>
      <c r="F48" s="9"/>
    </row>
    <row r="49" spans="1:6" x14ac:dyDescent="0.25">
      <c r="A49" s="9" t="s">
        <v>214</v>
      </c>
      <c r="B49" s="9" t="s">
        <v>78</v>
      </c>
      <c r="C49" s="9" t="s">
        <v>224</v>
      </c>
      <c r="D49" s="9"/>
      <c r="E49" s="9"/>
      <c r="F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and Loss</vt:lpstr>
      <vt:lpstr>Consolidated Profit and Loss</vt:lpstr>
      <vt:lpstr>Standalone Balance Sheet</vt:lpstr>
      <vt:lpstr>Consolidated Balance Sheet</vt:lpstr>
      <vt:lpstr>Standalone Cash Flows</vt:lpstr>
      <vt:lpstr>Consolidated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2026-03-16T06:54:22Z</dcterms:created>
  <dcterms:modified xsi:type="dcterms:W3CDTF">2026-03-25T10:27:38Z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2026-03-23T03:10:09Z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7b8eed82-d2ca-4673-a10c-c2062f27f807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