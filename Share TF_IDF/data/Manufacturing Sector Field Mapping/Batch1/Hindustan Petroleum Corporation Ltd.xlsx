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F3BB3DD7-2CE4-4ABD-96BE-F316F7F22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5" r:id="rId2"/>
    <sheet name="Standalone Balance Sheet" sheetId="1" r:id="rId3"/>
    <sheet name="Consolidated Balance Sheet" sheetId="6" r:id="rId4"/>
    <sheet name="Standalone Cash Flow" sheetId="3" r:id="rId5"/>
    <sheet name="Consolidated Cash Flow" sheetId="4" r:id="rId6"/>
  </sheets>
  <definedNames>
    <definedName name="_xlnm._FilterDatabase" localSheetId="3" hidden="1">'Consolidated Balance Sheet'!$A$1:$E$50</definedName>
    <definedName name="_xlnm._FilterDatabase" localSheetId="1" hidden="1">'Consolidated Profit &amp; Loss'!$A$1:$E$35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6"/>
  <c r="H2" i="1"/>
  <c r="H1" i="1"/>
  <c r="H2" i="5"/>
  <c r="H1" i="5"/>
  <c r="H2" i="2"/>
  <c r="H1" i="2"/>
  <c r="H3" i="4" l="1"/>
  <c r="H3" i="3"/>
  <c r="H1" i="6"/>
  <c r="H3" i="6" s="1"/>
  <c r="H3" i="1"/>
  <c r="H3" i="5"/>
  <c r="H3" i="2"/>
</calcChain>
</file>

<file path=xl/sharedStrings.xml><?xml version="1.0" encoding="utf-8"?>
<sst xmlns="http://schemas.openxmlformats.org/spreadsheetml/2006/main" count="937" uniqueCount="259">
  <si>
    <t>Particulars</t>
  </si>
  <si>
    <t>Cogencis Field</t>
  </si>
  <si>
    <t>Status</t>
  </si>
  <si>
    <t>Correct Field Mapping</t>
  </si>
  <si>
    <t>Field id</t>
  </si>
  <si>
    <t>Correct</t>
  </si>
  <si>
    <t>Income</t>
  </si>
  <si>
    <t>Lable</t>
  </si>
  <si>
    <t>Incorrect</t>
  </si>
  <si>
    <t>Sale of Products ( including Excise Duty )</t>
  </si>
  <si>
    <t>Gross Sales/Income from Operations</t>
  </si>
  <si>
    <t>Accuracy %</t>
  </si>
  <si>
    <t>Other Operating Revenue</t>
  </si>
  <si>
    <t>Other Operating Income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</si>
  <si>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</si>
  <si>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</si>
  <si>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</si>
  <si>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</si>
  <si>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</si>
  <si>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</si>
  <si>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</si>
  <si>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</si>
  <si>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  stock - in - trade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</si>
  <si>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</si>
  <si>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</si>
  <si>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</si>
  <si>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</si>
  <si>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</si>
  <si>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</si>
  <si>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Depreciation amortisation and impairment expense</t>
  </si>
  <si>
    <t>Depreciation, Depletion and Amortisation Expense</t>
  </si>
  <si>
    <t>Other expenses</t>
  </si>
  <si>
    <t>Other Expenses</t>
  </si>
  <si>
    <t>Total Expenses</t>
  </si>
  <si>
    <t>Profit/(Loss) before exceptional items and tax</t>
  </si>
  <si>
    <t>Profit/(Loss) from Ordinary Activities after Finance Costs but before Exceptional Items</t>
  </si>
  <si>
    <t>Exceptional Items - Income/(Expenses)</t>
  </si>
  <si>
    <t>Other Exceptional Items</t>
  </si>
  <si>
    <t>Profit/(Loss) before tax</t>
  </si>
  <si>
    <t>Profit/(Loss) From Ordinary Activities before Tax</t>
  </si>
  <si>
    <t>Tax Expense</t>
  </si>
  <si>
    <t>Current Tax</t>
  </si>
  <si>
    <t>Deferred Tax</t>
  </si>
  <si>
    <t>Short/ ( Excess ) provision of tax of earlier years</t>
  </si>
  <si>
    <t>Total Tax Expense</t>
  </si>
  <si>
    <t>Total Field</t>
  </si>
  <si>
    <t>Net Profit/(Loss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</si>
  <si>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</si>
  <si>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</si>
  <si>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</si>
  <si>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</si>
  <si>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</si>
  <si>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</si>
  <si>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</si>
  <si>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</si>
  <si>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</si>
  <si>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</si>
  <si>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</t>
  </si>
  <si>
    <t>Total Comprehensive Income/(Loss) for the period</t>
  </si>
  <si>
    <t>Total Comprehensive Gain (Loss) For the Year</t>
  </si>
  <si>
    <t>Paid up Equity Share Capital (Face value 10/- each)</t>
  </si>
  <si>
    <t>Paid-Up Equity Share Capital</t>
  </si>
  <si>
    <t>Other Equity excluding Revaluation Reserves</t>
  </si>
  <si>
    <t>Reserve excluding Revaluation Reserves (as per Balance Sheet of Previous Accounting Year)</t>
  </si>
  <si>
    <t>Basic and Diluted Earnings Per Share(~) (of 10/- each) (not annualised)</t>
  </si>
  <si>
    <t>Basic EPS / Diluted EPS</t>
  </si>
  <si>
    <t>222 / 234</t>
  </si>
  <si>
    <t>PHYSICAL PERFORMANCE (in MMT)</t>
  </si>
  <si>
    <t>Basic EPS</t>
  </si>
  <si>
    <t>Ignore this field</t>
  </si>
  <si>
    <t>Crude Thruput</t>
  </si>
  <si>
    <t>Market Sales</t>
  </si>
  <si>
    <t>Domestic Sales</t>
  </si>
  <si>
    <t>Exports</t>
  </si>
  <si>
    <t>Pipeline Thruput</t>
  </si>
  <si>
    <t>Depreciation and amortisation expense</t>
  </si>
  <si>
    <t>Profit/(Loss) before share in profit/ (loss) of Joint Ventures /Associates, exceptional items and tax</t>
  </si>
  <si>
    <t>Profit/(Loss) from ordinary activities before finance costs and exceptional items</t>
  </si>
  <si>
    <t>Share in profit I (loss) of Joint Ventures /Associates (net of tax)</t>
  </si>
  <si>
    <t>Share of Profit/(Loss) of Associates/Joint Ventures</t>
  </si>
  <si>
    <t>Share of Profit/(loss) of associates and Joint Ventures before ebt</t>
  </si>
  <si>
    <t>Items that will not be reclassified to profit or loss (net of tax)</t>
  </si>
  <si>
    <t>Items that will be reclassified to profit or loss (net of tax)</t>
  </si>
  <si>
    <t>Non-Current Assets</t>
  </si>
  <si>
    <t>Property Plant and Equipment</t>
  </si>
  <si>
    <t>Property, Plant &amp; Equipment</t>
  </si>
  <si>
    <t>Capital Work-in-Progress</t>
  </si>
  <si>
    <t>Capital Work-In-Progress</t>
  </si>
  <si>
    <t>Intangible Assets</t>
  </si>
  <si>
    <t>Other Intangible Assets</t>
  </si>
  <si>
    <t>Intangible Assets Under Development</t>
  </si>
  <si>
    <t>Intangible assets under development</t>
  </si>
  <si>
    <t>Financial Assets</t>
  </si>
  <si>
    <t>Investment in Subsidiaries Joint Ventures and Associates</t>
  </si>
  <si>
    <t>Non-Current Investments</t>
  </si>
  <si>
    <t>Other Investments</t>
  </si>
  <si>
    <t>Loans</t>
  </si>
  <si>
    <t>Loans, Current</t>
  </si>
  <si>
    <t>Loans Non-Current</t>
  </si>
  <si>
    <t>Other Financial Assets</t>
  </si>
  <si>
    <t>Other Non-Current Financial Assets</t>
  </si>
  <si>
    <t>Other Non - Current Assets</t>
  </si>
  <si>
    <t>Other Non-Current Assets</t>
  </si>
  <si>
    <t>Current assets</t>
  </si>
  <si>
    <t>Inventories</t>
  </si>
  <si>
    <t>Investments</t>
  </si>
  <si>
    <t>Current Investments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</si>
  <si>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</si>
  <si>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</si>
  <si>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</si>
  <si>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</si>
  <si>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</si>
  <si>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Financial Assets</t>
  </si>
  <si>
    <t>Other Current Assets</t>
  </si>
  <si>
    <t>Assets classified as held for Sale/ Disposal</t>
  </si>
  <si>
    <t>Assets classified as held for sale</t>
  </si>
  <si>
    <t>Total Assets</t>
  </si>
  <si>
    <t>EQUITY AND LIABILITIES</t>
  </si>
  <si>
    <t>Equity</t>
  </si>
  <si>
    <t>Equity Share   Capital</t>
  </si>
  <si>
    <t>Share Capital</t>
  </si>
  <si>
    <t>Other Equity</t>
  </si>
  <si>
    <t>Reserves And Surplus/Other Equity</t>
  </si>
  <si>
    <t>Liabilities</t>
  </si>
  <si>
    <t>Non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</si>
  <si>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</si>
  <si>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</si>
  <si>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</si>
  <si>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</si>
  <si>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</si>
  <si>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</si>
  <si>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</si>
  <si>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</si>
  <si>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</si>
  <si>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</si>
  <si>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</si>
  <si>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</si>
  <si>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</si>
  <si>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Financial   Liabilities</t>
  </si>
  <si>
    <t>Lease   Liabilities</t>
  </si>
  <si>
    <t>Trade   Payables :</t>
  </si>
  <si>
    <t>Total outstanding dues of micro enterprises and small enterprises</t>
  </si>
  <si>
    <t>Trade Payables</t>
  </si>
  <si>
    <t>Total outstanding dues of creditors other than micro enterprises and small enterprises</t>
  </si>
  <si>
    <t>Other Current Financial Liabilities</t>
  </si>
  <si>
    <t>Other Current Liabilities</t>
  </si>
  <si>
    <t>Other liabilities</t>
  </si>
  <si>
    <t>Short-Term Provisions</t>
  </si>
  <si>
    <t>Current Tax   Liabilities ( Net )</t>
  </si>
  <si>
    <t>Current Tax Liabilities (Net)</t>
  </si>
  <si>
    <t>Total Equity and Liabilities</t>
  </si>
  <si>
    <t>Total Equity And Liabilities</t>
  </si>
  <si>
    <t>Goodwill on Consolidation</t>
  </si>
  <si>
    <t>Consolidated Field. Please Ignore</t>
  </si>
  <si>
    <t>Goodwill On Consolidation</t>
  </si>
  <si>
    <t>Investment in Joint Ventures and Associates</t>
  </si>
  <si>
    <t>Equity Share Capital</t>
  </si>
  <si>
    <t>outstanding dues of micro enterprises and small enterprises</t>
  </si>
  <si>
    <t>outstanding dues of creditors other than micro enterprises and small enterprises</t>
  </si>
  <si>
    <t>Profit/(Loss ) Before Tax</t>
  </si>
  <si>
    <t>Net Profit Before Tax And Exceptional Item</t>
  </si>
  <si>
    <t>Adjustments for :</t>
  </si>
  <si>
    <t>Depreciation, Amortization and Impairment Expense</t>
  </si>
  <si>
    <t>Depreciation and Amortisation Expense</t>
  </si>
  <si>
    <t>(Profit)/Loss on sale/write off of property, plant and equipment, Capital work-in-progress, Assets classified held for sale/disposal</t>
  </si>
  <si>
    <t>Profit On Sale Of Fixed Assets</t>
  </si>
  <si>
    <t>Loss On Sale Of Fixed Assets</t>
  </si>
  <si>
    <t>Impairment of Non-current Investments</t>
  </si>
  <si>
    <t>Impairment loss / (Reversal of Impairment Loss)</t>
  </si>
  <si>
    <t>Fair value (Gains)/Loss on Investments carried at FVTPL</t>
  </si>
  <si>
    <t>Profit On Sale Of Investments</t>
  </si>
  <si>
    <t>Others-Before Working Capital Changes</t>
  </si>
  <si>
    <t>Interest Expense</t>
  </si>
  <si>
    <t>Foreign Currency Transaction and Translation (net)</t>
  </si>
  <si>
    <t>Foreign Exchange Gain / Loss</t>
  </si>
  <si>
    <t>Net Provision/(Reversal) for Doubtful Debts, Loans &amp; Receivables</t>
  </si>
  <si>
    <t>Bad Debts Written Off</t>
  </si>
  <si>
    <t>Bad Debts/Loans/Receivables written off</t>
  </si>
  <si>
    <t>Interest Income on current Investments</t>
  </si>
  <si>
    <t>Interest Received</t>
  </si>
  <si>
    <t>Interest Income</t>
  </si>
  <si>
    <t>Dividend Income</t>
  </si>
  <si>
    <t>Dividend Received</t>
  </si>
  <si>
    <t>Other Non-Cash items (includes PMUY Remeasurment etc.)</t>
  </si>
  <si>
    <t>Operating Profit before Changes in Assets &amp; Liabilities</t>
  </si>
  <si>
    <t>Operating Profit Before Working Capital Changes</t>
  </si>
  <si>
    <t>Change in Assets and Liabilities:</t>
  </si>
  <si>
    <t>Decrease/ (Increase) in Trade Receivables</t>
  </si>
  <si>
    <t>Trade And Other Receivables</t>
  </si>
  <si>
    <t>Decrease/ (Increase) in Loans and Other Assets</t>
  </si>
  <si>
    <t>Loans And Advances</t>
  </si>
  <si>
    <t>Decrease/ (Increase) in Inventories</t>
  </si>
  <si>
    <t>(Decrease)/ Increase in Trade and Other Payables</t>
  </si>
  <si>
    <t>Trade Payables And Others</t>
  </si>
  <si>
    <t>Sub Total</t>
  </si>
  <si>
    <t>Cash Generated From Operations</t>
  </si>
  <si>
    <t>Ignore this fields</t>
  </si>
  <si>
    <t>Cash Generated from Operations</t>
  </si>
  <si>
    <t>Less : Direct Taxes paid (Net)</t>
  </si>
  <si>
    <t>Income Tax Paid</t>
  </si>
  <si>
    <t>Net Cash Flow generated from/ (used in)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</si>
  <si>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</si>
  <si>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</si>
  <si>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</si>
  <si>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(including Capital Work in Progress/ excluding interest capitalised)</t>
  </si>
  <si>
    <t>Purchase Of Fixed Assets (Tangible / Intangible)</t>
  </si>
  <si>
    <t>Capital Grants Received</t>
  </si>
  <si>
    <t>Others-Financing Activities</t>
  </si>
  <si>
    <t>Proceeds from Government Grants</t>
  </si>
  <si>
    <t>Sale of Property, Plant and Equipment</t>
  </si>
  <si>
    <t>Sale Of Fixed Assets (Tangible / Intangible)</t>
  </si>
  <si>
    <t>Purchase of Investments in Subsidiaries, Asscosiates and Joint Ventures (Including share application money pending allotment/Advance towards Equity/Preference Shares)</t>
  </si>
  <si>
    <t>Proceeds From Issue Of Equity Shares (Inclu Share Premium)</t>
  </si>
  <si>
    <t>Investments in Subsidiaries and/or Joint Ventures</t>
  </si>
  <si>
    <t>Purchase of Other Long Term Investments (Including share application money pending allotment/Advance towards Equity/Preference Shares)</t>
  </si>
  <si>
    <t>Adjustments for other financial assets, non-current</t>
  </si>
  <si>
    <t>Purchase Of Investments</t>
  </si>
  <si>
    <t>Purchase of current investments (Government Securities)</t>
  </si>
  <si>
    <t>Proceeds from Sale of current investments (Government Securities)</t>
  </si>
  <si>
    <t>Sale Of Investments</t>
  </si>
  <si>
    <t>Proceeds from Sale of Mutual Funds (Net)</t>
  </si>
  <si>
    <t>Loans to related parties</t>
  </si>
  <si>
    <t>Repayment Of Long Term Borrowings</t>
  </si>
  <si>
    <t>Loans To Subsidiaries</t>
  </si>
  <si>
    <t>Net Cash Flow generated from/ (used in) Investing Activities</t>
  </si>
  <si>
    <t>Cash Flow From Financing Activities</t>
  </si>
  <si>
    <t>Proceeds from Long term borrowings</t>
  </si>
  <si>
    <t>Proceeds From Long Term Borrowings</t>
  </si>
  <si>
    <t>Repayment of Long term borrowings and leasing liabilities</t>
  </si>
  <si>
    <t>Proceeds/ (repayment) of Short term borrowings</t>
  </si>
  <si>
    <t>Proceeds From Short Term Borrowings</t>
  </si>
  <si>
    <t>Finance Cost paid</t>
  </si>
  <si>
    <t>Interest Paid</t>
  </si>
  <si>
    <t>Dividend paid</t>
  </si>
  <si>
    <t>Dividend Paid</t>
  </si>
  <si>
    <t>Net Cash Flow generated from/ (used in) Financing Activities</t>
  </si>
  <si>
    <t>Net Cash Flow From Financing Activities</t>
  </si>
  <si>
    <t>Net Increase/ (Decrease)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</si>
  <si>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</si>
  <si>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</si>
  <si>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</si>
  <si>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</si>
  <si>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</si>
  <si>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Details of cash and cash equivalents at the end of the period</t>
  </si>
  <si>
    <t>Cash and cash equivalents as on</t>
  </si>
  <si>
    <t>Balances with Banks:</t>
  </si>
  <si>
    <t>on current accounts</t>
  </si>
  <si>
    <t>Cash on hand</t>
  </si>
  <si>
    <t>Less : Cash Credits</t>
  </si>
  <si>
    <t>(Gain)/Loss on sale/write-off of property, plant and equipment, Capital work-in-progress, Assets classified held for sale/disposal</t>
  </si>
  <si>
    <t>Net Provision/(Reversal) for Doubtful Debts, Loans &amp; Receivables/ Bad debts/Loans/Receivables written off</t>
  </si>
  <si>
    <t>Share of (Profit)/Loss from Associate and Joint Venture companies (net of tax)</t>
  </si>
  <si>
    <t>Share Of Profit &amp; Loss from Partnership Firm or Association of Persons Etc</t>
  </si>
  <si>
    <t>Other Non-Cash items (includes PMUY Remeasurement etc.)</t>
  </si>
  <si>
    <t>Purchase of Investments (Including share application money pending allotment/Advance towards Equity)</t>
  </si>
  <si>
    <t>Loan to related parties</t>
  </si>
  <si>
    <t>Dividend received from Associate and Joint Venture companies</t>
  </si>
  <si>
    <t>Other Bank Balances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</si>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</sst>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selection activeCell="B3" sqref="B3"/>
    </sheetView>
  </sheetViews>
  <sheetFormatPr defaultRowHeight="15"/>
  <cols>
    <col min="1" max="1" width="50.42578125" customWidth="1"/>
    <col min="2" max="2" width="51" customWidth="1"/>
    <col min="4" max="4" width="20.570312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30</v>
      </c>
    </row>
    <row r="2" spans="1:8">
      <c r="A2" t="s">
        <v>6</v>
      </c>
      <c r="B2" t="s">
        <v>7</v>
      </c>
      <c r="C2" t="s">
        <v>5</v>
      </c>
      <c r="G2" s="6" t="s">
        <v>8</v>
      </c>
      <c r="H2" s="7">
        <f>COUNTIF(C:C,G2)</f>
        <v>9</v>
      </c>
    </row>
    <row r="3" spans="1:8" ht="15.75" thickBot="1">
      <c r="A3" t="s">
        <v>9</v>
      </c>
      <c r="B3" t="s">
        <v>10</v>
      </c>
      <c r="C3" t="s">
        <v>5</v>
      </c>
      <c r="G3" s="8" t="s">
        <v>11</v>
      </c>
      <c r="H3" s="9">
        <f>H1/SUM(H1:H2)</f>
        <v>0.76923076923076927</v>
      </c>
    </row>
    <row r="4" spans="1:8">
      <c r="A4" t="s">
        <v>12</v>
      </c>
      <c r="B4" t="s">
        <v>13</v>
      </c>
      <c r="C4" t="s">
        <v>5</v>
      </c>
    </row>
    <row r="5" spans="1:8">
      <c r="A5" t="s">
        <v>14</v>
      </c>
      <c r="B5" t="s">
        <v>15</v>
      </c>
      <c r="C5" t="s">
        <v>5</v>
      </c>
    </row>
    <row r="6" spans="1:8">
      <c r="A6" t="s">
        <v>16</v>
      </c>
      <c r="B6" t="s">
        <v>16</v>
      </c>
      <c r="C6" t="s">
        <v>5</v>
      </c>
    </row>
    <row r="7" spans="1:8">
      <c r="A7" t="s">
        <v>17</v>
      </c>
      <c r="B7" t="s">
        <v>7</v>
      </c>
      <c r="C7" t="s">
        <v>5</v>
      </c>
    </row>
    <row r="8" spans="1:8">
      <c r="A8" t="s">
        <v>18</v>
      </c>
      <c r="B8" t="s">
        <v>19</v>
      </c>
      <c r="C8" t="s">
        <v>5</v>
      </c>
    </row>
    <row r="9" spans="1:8">
      <c r="A9" t="s">
        <v>20</v>
      </c>
      <c r="B9" t="s">
        <v>21</v>
      </c>
      <c r="C9" t="s">
        <v>5</v>
      </c>
    </row>
    <row r="10" spans="1:8">
      <c r="A10" t="s">
        <v>22</v>
      </c>
      <c r="B10" t="s">
        <v>23</v>
      </c>
      <c r="C10" t="s">
        <v>5</v>
      </c>
    </row>
    <row r="11" spans="1:8">
      <c r="A11" t="s">
        <v>24</v>
      </c>
      <c r="B11" t="s">
        <v>25</v>
      </c>
      <c r="C11" t="s">
        <v>8</v>
      </c>
      <c r="D11" t="s">
        <v>24</v>
      </c>
      <c r="E11">
        <v>242</v>
      </c>
    </row>
    <row r="12" spans="1:8">
      <c r="A12" t="s">
        <v>26</v>
      </c>
      <c r="B12" t="s">
        <v>27</v>
      </c>
      <c r="C12" t="s">
        <v>5</v>
      </c>
    </row>
    <row r="13" spans="1:8">
      <c r="A13" t="s">
        <v>28</v>
      </c>
      <c r="B13" t="s">
        <v>28</v>
      </c>
      <c r="C13" t="s">
        <v>5</v>
      </c>
    </row>
    <row r="14" spans="1:8">
      <c r="A14" t="s">
        <v>29</v>
      </c>
      <c r="B14" t="s">
        <v>30</v>
      </c>
      <c r="C14" t="s">
        <v>5</v>
      </c>
    </row>
    <row r="15" spans="1:8">
      <c r="A15" t="s">
        <v>31</v>
      </c>
      <c r="B15" t="s">
        <v>32</v>
      </c>
      <c r="C15" t="s">
        <v>5</v>
      </c>
    </row>
    <row r="16" spans="1:8">
      <c r="A16" t="s">
        <v>33</v>
      </c>
      <c r="B16" t="s">
        <v>33</v>
      </c>
      <c r="C16" t="s">
        <v>5</v>
      </c>
    </row>
    <row r="17" spans="1:5">
      <c r="A17" t="s">
        <v>34</v>
      </c>
      <c r="B17" t="s">
        <v>35</v>
      </c>
      <c r="C17" t="s">
        <v>5</v>
      </c>
    </row>
    <row r="18" spans="1:5">
      <c r="A18" t="s">
        <v>36</v>
      </c>
      <c r="B18" t="s">
        <v>37</v>
      </c>
      <c r="C18" t="s">
        <v>5</v>
      </c>
    </row>
    <row r="19" spans="1:5">
      <c r="A19" t="s">
        <v>38</v>
      </c>
      <c r="B19" t="s">
        <v>7</v>
      </c>
      <c r="C19" t="s">
        <v>8</v>
      </c>
      <c r="D19" t="s">
        <v>39</v>
      </c>
      <c r="E19">
        <v>296</v>
      </c>
    </row>
    <row r="20" spans="1:5">
      <c r="A20" t="s">
        <v>40</v>
      </c>
      <c r="B20" t="s">
        <v>7</v>
      </c>
      <c r="C20" t="s">
        <v>5</v>
      </c>
    </row>
    <row r="21" spans="1:5">
      <c r="A21" t="s">
        <v>41</v>
      </c>
      <c r="B21" t="s">
        <v>40</v>
      </c>
      <c r="C21" t="s">
        <v>5</v>
      </c>
    </row>
    <row r="22" spans="1:5">
      <c r="A22" t="s">
        <v>42</v>
      </c>
      <c r="B22" t="s">
        <v>42</v>
      </c>
      <c r="C22" t="s">
        <v>5</v>
      </c>
    </row>
    <row r="23" spans="1:5">
      <c r="A23" t="s">
        <v>43</v>
      </c>
      <c r="B23" t="s">
        <v>40</v>
      </c>
      <c r="C23" t="s">
        <v>5</v>
      </c>
    </row>
    <row r="24" spans="1:5">
      <c r="A24" t="s">
        <v>44</v>
      </c>
      <c r="B24" t="s">
        <v>45</v>
      </c>
    </row>
    <row r="25" spans="1:5">
      <c r="A25" t="s">
        <v>46</v>
      </c>
      <c r="B25" t="s">
        <v>47</v>
      </c>
      <c r="C25" t="s">
        <v>5</v>
      </c>
    </row>
    <row r="26" spans="1:5">
      <c r="A26" t="s">
        <v>48</v>
      </c>
      <c r="B26" t="s">
        <v>7</v>
      </c>
      <c r="C26" t="s">
        <v>5</v>
      </c>
    </row>
    <row r="27" spans="1:5">
      <c r="A27" t="s">
        <v>49</v>
      </c>
      <c r="B27" t="s">
        <v>50</v>
      </c>
      <c r="C27" t="s">
        <v>5</v>
      </c>
    </row>
    <row r="28" spans="1:5">
      <c r="A28" t="s">
        <v>51</v>
      </c>
      <c r="B28" t="s">
        <v>52</v>
      </c>
      <c r="C28" t="s">
        <v>5</v>
      </c>
    </row>
    <row r="29" spans="1:5">
      <c r="A29" t="s">
        <v>53</v>
      </c>
      <c r="B29" t="s">
        <v>54</v>
      </c>
      <c r="C29" t="s">
        <v>5</v>
      </c>
    </row>
    <row r="30" spans="1:5">
      <c r="A30" t="s">
        <v>55</v>
      </c>
      <c r="B30" t="s">
        <v>56</v>
      </c>
      <c r="C30" t="s">
        <v>5</v>
      </c>
    </row>
    <row r="31" spans="1:5">
      <c r="A31" t="s">
        <v>57</v>
      </c>
      <c r="B31" t="s">
        <v>48</v>
      </c>
      <c r="C31" t="s">
        <v>5</v>
      </c>
    </row>
    <row r="32" spans="1:5">
      <c r="A32" t="s">
        <v>58</v>
      </c>
      <c r="B32" t="s">
        <v>59</v>
      </c>
      <c r="C32" t="s">
        <v>5</v>
      </c>
    </row>
    <row r="33" spans="1:5">
      <c r="A33" t="s">
        <v>60</v>
      </c>
      <c r="B33" t="s">
        <v>61</v>
      </c>
      <c r="C33" t="s">
        <v>5</v>
      </c>
    </row>
    <row r="34" spans="1:5">
      <c r="A34" t="s">
        <v>62</v>
      </c>
      <c r="B34" t="s">
        <v>63</v>
      </c>
      <c r="C34" t="s">
        <v>5</v>
      </c>
    </row>
    <row r="35" spans="1:5">
      <c r="A35" t="s">
        <v>64</v>
      </c>
      <c r="B35" t="s">
        <v>7</v>
      </c>
      <c r="C35" t="s">
        <v>8</v>
      </c>
      <c r="D35" t="s">
        <v>65</v>
      </c>
      <c r="E35" t="s">
        <v>66</v>
      </c>
    </row>
    <row r="36" spans="1:5">
      <c r="A36" t="s">
        <v>67</v>
      </c>
      <c r="B36" t="s">
        <v>68</v>
      </c>
      <c r="C36" t="s">
        <v>8</v>
      </c>
      <c r="D36" t="s">
        <v>69</v>
      </c>
    </row>
    <row r="37" spans="1:5">
      <c r="A37" t="s">
        <v>70</v>
      </c>
      <c r="B37" t="s">
        <v>10</v>
      </c>
      <c r="C37" t="s">
        <v>8</v>
      </c>
      <c r="D37" t="s">
        <v>69</v>
      </c>
    </row>
    <row r="38" spans="1:5">
      <c r="A38" t="s">
        <v>71</v>
      </c>
      <c r="B38" t="s">
        <v>7</v>
      </c>
      <c r="C38" t="s">
        <v>8</v>
      </c>
      <c r="D38" t="s">
        <v>69</v>
      </c>
    </row>
    <row r="39" spans="1:5">
      <c r="A39" t="s">
        <v>72</v>
      </c>
      <c r="B39" t="s">
        <v>7</v>
      </c>
      <c r="C39" t="s">
        <v>8</v>
      </c>
      <c r="D39" t="s">
        <v>69</v>
      </c>
    </row>
    <row r="40" spans="1:5">
      <c r="A40" t="s">
        <v>73</v>
      </c>
      <c r="B40" t="s">
        <v>7</v>
      </c>
      <c r="C40" t="s">
        <v>8</v>
      </c>
      <c r="D40" t="s">
        <v>69</v>
      </c>
    </row>
    <row r="41" spans="1:5">
      <c r="A41" t="s">
        <v>74</v>
      </c>
      <c r="B41" t="s">
        <v>19</v>
      </c>
      <c r="C41" t="s">
        <v>8</v>
      </c>
      <c r="D41" t="s">
        <v>69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/>
  </sheetViews>
  <sheetFormatPr defaultRowHeight="15"/>
  <cols>
    <col min="1" max="1" width="58.28515625" customWidth="1"/>
    <col min="2" max="2" width="47.28515625" customWidth="1"/>
    <col min="3" max="3" width="9.5703125" customWidth="1"/>
    <col min="4" max="4" width="26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28</v>
      </c>
    </row>
    <row r="2" spans="1:8">
      <c r="A2" t="s">
        <v>6</v>
      </c>
      <c r="B2" t="s">
        <v>7</v>
      </c>
      <c r="C2" t="s">
        <v>5</v>
      </c>
      <c r="G2" s="6" t="s">
        <v>8</v>
      </c>
      <c r="H2" s="7">
        <f>COUNTIF(C:C,G2)</f>
        <v>5</v>
      </c>
    </row>
    <row r="3" spans="1:8" ht="15.75" thickBot="1">
      <c r="A3" t="s">
        <v>9</v>
      </c>
      <c r="B3" t="s">
        <v>10</v>
      </c>
      <c r="C3" t="s">
        <v>5</v>
      </c>
      <c r="G3" s="8" t="s">
        <v>11</v>
      </c>
      <c r="H3" s="9">
        <f>H1/SUM(H1:H2)</f>
        <v>0.84848484848484851</v>
      </c>
    </row>
    <row r="4" spans="1:8">
      <c r="A4" t="s">
        <v>12</v>
      </c>
      <c r="B4" t="s">
        <v>13</v>
      </c>
      <c r="C4" t="s">
        <v>5</v>
      </c>
    </row>
    <row r="5" spans="1:8">
      <c r="A5" t="s">
        <v>14</v>
      </c>
      <c r="B5" t="s">
        <v>15</v>
      </c>
      <c r="C5" t="s">
        <v>5</v>
      </c>
    </row>
    <row r="6" spans="1:8">
      <c r="A6" t="s">
        <v>16</v>
      </c>
      <c r="B6" t="s">
        <v>16</v>
      </c>
      <c r="C6" t="s">
        <v>5</v>
      </c>
    </row>
    <row r="7" spans="1:8">
      <c r="A7" t="s">
        <v>17</v>
      </c>
      <c r="B7" t="s">
        <v>7</v>
      </c>
      <c r="C7" t="s">
        <v>5</v>
      </c>
    </row>
    <row r="8" spans="1:8">
      <c r="A8" t="s">
        <v>18</v>
      </c>
      <c r="B8" t="s">
        <v>19</v>
      </c>
      <c r="C8" t="s">
        <v>5</v>
      </c>
    </row>
    <row r="9" spans="1:8">
      <c r="A9" t="s">
        <v>20</v>
      </c>
      <c r="B9" t="s">
        <v>21</v>
      </c>
      <c r="C9" t="s">
        <v>5</v>
      </c>
    </row>
    <row r="10" spans="1:8">
      <c r="A10" t="s">
        <v>22</v>
      </c>
      <c r="B10" t="s">
        <v>23</v>
      </c>
      <c r="C10" t="s">
        <v>5</v>
      </c>
    </row>
    <row r="11" spans="1:8">
      <c r="A11" t="s">
        <v>24</v>
      </c>
      <c r="B11" t="s">
        <v>25</v>
      </c>
      <c r="C11" t="s">
        <v>8</v>
      </c>
      <c r="D11" t="s">
        <v>24</v>
      </c>
      <c r="E11">
        <v>242</v>
      </c>
    </row>
    <row r="12" spans="1:8">
      <c r="A12" t="s">
        <v>26</v>
      </c>
      <c r="B12" t="s">
        <v>27</v>
      </c>
      <c r="C12" t="s">
        <v>5</v>
      </c>
    </row>
    <row r="13" spans="1:8">
      <c r="A13" t="s">
        <v>28</v>
      </c>
      <c r="B13" t="s">
        <v>28</v>
      </c>
      <c r="C13" t="s">
        <v>5</v>
      </c>
    </row>
    <row r="14" spans="1:8">
      <c r="A14" t="s">
        <v>75</v>
      </c>
      <c r="B14" t="s">
        <v>30</v>
      </c>
      <c r="C14" t="s">
        <v>5</v>
      </c>
    </row>
    <row r="15" spans="1:8">
      <c r="A15" t="s">
        <v>31</v>
      </c>
      <c r="B15" t="s">
        <v>32</v>
      </c>
      <c r="C15" t="s">
        <v>5</v>
      </c>
    </row>
    <row r="16" spans="1:8">
      <c r="A16" t="s">
        <v>33</v>
      </c>
      <c r="B16" t="s">
        <v>33</v>
      </c>
      <c r="C16" t="s">
        <v>5</v>
      </c>
    </row>
    <row r="17" spans="1:5">
      <c r="A17" t="s">
        <v>76</v>
      </c>
      <c r="B17" t="s">
        <v>77</v>
      </c>
      <c r="C17" t="s">
        <v>8</v>
      </c>
      <c r="D17" t="s">
        <v>77</v>
      </c>
      <c r="E17">
        <v>295</v>
      </c>
    </row>
    <row r="18" spans="1:5">
      <c r="A18" t="s">
        <v>78</v>
      </c>
      <c r="B18" t="s">
        <v>79</v>
      </c>
      <c r="C18" t="s">
        <v>8</v>
      </c>
      <c r="D18" t="s">
        <v>80</v>
      </c>
      <c r="E18">
        <v>25236</v>
      </c>
    </row>
    <row r="19" spans="1:5">
      <c r="A19" t="s">
        <v>34</v>
      </c>
      <c r="B19" t="s">
        <v>35</v>
      </c>
      <c r="C19" t="s">
        <v>5</v>
      </c>
    </row>
    <row r="20" spans="1:5">
      <c r="A20" t="s">
        <v>36</v>
      </c>
      <c r="B20" t="s">
        <v>37</v>
      </c>
      <c r="C20" t="s">
        <v>5</v>
      </c>
    </row>
    <row r="21" spans="1:5">
      <c r="A21" t="s">
        <v>38</v>
      </c>
      <c r="B21" t="s">
        <v>7</v>
      </c>
      <c r="C21" t="s">
        <v>8</v>
      </c>
      <c r="D21" t="s">
        <v>39</v>
      </c>
      <c r="E21">
        <v>296</v>
      </c>
    </row>
    <row r="22" spans="1:5">
      <c r="A22" t="s">
        <v>40</v>
      </c>
      <c r="B22" t="s">
        <v>7</v>
      </c>
      <c r="C22" t="s">
        <v>5</v>
      </c>
    </row>
    <row r="23" spans="1:5">
      <c r="A23" t="s">
        <v>41</v>
      </c>
      <c r="B23" t="s">
        <v>40</v>
      </c>
      <c r="C23" t="s">
        <v>5</v>
      </c>
    </row>
    <row r="24" spans="1:5">
      <c r="A24" t="s">
        <v>42</v>
      </c>
      <c r="B24" t="s">
        <v>42</v>
      </c>
      <c r="C24" t="s">
        <v>5</v>
      </c>
    </row>
    <row r="25" spans="1:5">
      <c r="A25" t="s">
        <v>43</v>
      </c>
      <c r="B25" t="s">
        <v>40</v>
      </c>
      <c r="C25" t="s">
        <v>5</v>
      </c>
    </row>
    <row r="26" spans="1:5">
      <c r="A26" t="s">
        <v>44</v>
      </c>
      <c r="B26" t="s">
        <v>45</v>
      </c>
    </row>
    <row r="27" spans="1:5">
      <c r="A27" t="s">
        <v>46</v>
      </c>
      <c r="B27" t="s">
        <v>47</v>
      </c>
      <c r="C27" t="s">
        <v>5</v>
      </c>
    </row>
    <row r="28" spans="1:5">
      <c r="A28" t="s">
        <v>48</v>
      </c>
      <c r="B28" t="s">
        <v>7</v>
      </c>
      <c r="C28" t="s">
        <v>5</v>
      </c>
    </row>
    <row r="29" spans="1:5">
      <c r="A29" t="s">
        <v>81</v>
      </c>
      <c r="B29" t="s">
        <v>50</v>
      </c>
      <c r="C29" t="s">
        <v>5</v>
      </c>
    </row>
    <row r="30" spans="1:5">
      <c r="A30" t="s">
        <v>82</v>
      </c>
      <c r="B30" t="s">
        <v>54</v>
      </c>
      <c r="C30" t="s">
        <v>5</v>
      </c>
    </row>
    <row r="31" spans="1:5">
      <c r="A31" t="s">
        <v>57</v>
      </c>
      <c r="B31" t="s">
        <v>48</v>
      </c>
      <c r="C31" t="s">
        <v>5</v>
      </c>
    </row>
    <row r="32" spans="1:5">
      <c r="A32" t="s">
        <v>58</v>
      </c>
      <c r="B32" t="s">
        <v>59</v>
      </c>
      <c r="C32" t="s">
        <v>5</v>
      </c>
    </row>
    <row r="33" spans="1:5">
      <c r="A33" t="s">
        <v>60</v>
      </c>
      <c r="B33" t="s">
        <v>61</v>
      </c>
      <c r="C33" t="s">
        <v>5</v>
      </c>
    </row>
    <row r="34" spans="1:5">
      <c r="A34" t="s">
        <v>62</v>
      </c>
      <c r="B34" t="s">
        <v>63</v>
      </c>
      <c r="C34" t="s">
        <v>5</v>
      </c>
    </row>
    <row r="35" spans="1:5">
      <c r="A35" t="s">
        <v>64</v>
      </c>
      <c r="B35" t="s">
        <v>7</v>
      </c>
      <c r="C35" t="s">
        <v>8</v>
      </c>
      <c r="D35" t="s">
        <v>65</v>
      </c>
      <c r="E35" t="s">
        <v>66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/>
  </sheetViews>
  <sheetFormatPr defaultRowHeight="15"/>
  <cols>
    <col min="1" max="1" width="49.140625" customWidth="1"/>
    <col min="2" max="2" width="46.7109375" bestFit="1" customWidth="1"/>
    <col min="4" max="4" width="20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43</v>
      </c>
    </row>
    <row r="2" spans="1:8">
      <c r="A2" t="s">
        <v>83</v>
      </c>
      <c r="B2" t="s">
        <v>7</v>
      </c>
      <c r="C2" t="s">
        <v>5</v>
      </c>
      <c r="G2" s="6" t="s">
        <v>8</v>
      </c>
      <c r="H2" s="7">
        <f>COUNTIF(C:C,G2)</f>
        <v>5</v>
      </c>
    </row>
    <row r="3" spans="1:8" ht="15.75" thickBot="1">
      <c r="A3" t="s">
        <v>84</v>
      </c>
      <c r="B3" t="s">
        <v>85</v>
      </c>
      <c r="C3" t="s">
        <v>5</v>
      </c>
      <c r="G3" s="8" t="s">
        <v>11</v>
      </c>
      <c r="H3" s="9">
        <f>H1/SUM(H1:H2)</f>
        <v>0.89583333333333337</v>
      </c>
    </row>
    <row r="4" spans="1:8">
      <c r="A4" t="s">
        <v>86</v>
      </c>
      <c r="B4" t="s">
        <v>87</v>
      </c>
      <c r="C4" t="s">
        <v>5</v>
      </c>
    </row>
    <row r="5" spans="1:8">
      <c r="A5" t="s">
        <v>88</v>
      </c>
      <c r="B5" t="s">
        <v>89</v>
      </c>
      <c r="C5" t="s">
        <v>5</v>
      </c>
    </row>
    <row r="6" spans="1:8">
      <c r="A6" t="s">
        <v>90</v>
      </c>
      <c r="B6" t="s">
        <v>91</v>
      </c>
      <c r="C6" t="s">
        <v>5</v>
      </c>
    </row>
    <row r="7" spans="1:8">
      <c r="A7" t="s">
        <v>92</v>
      </c>
      <c r="B7" t="s">
        <v>7</v>
      </c>
      <c r="C7" t="s">
        <v>5</v>
      </c>
    </row>
    <row r="8" spans="1:8">
      <c r="A8" t="s">
        <v>93</v>
      </c>
      <c r="B8" t="s">
        <v>94</v>
      </c>
      <c r="C8" t="s">
        <v>5</v>
      </c>
    </row>
    <row r="9" spans="1:8">
      <c r="A9" t="s">
        <v>95</v>
      </c>
      <c r="B9" t="s">
        <v>94</v>
      </c>
      <c r="C9" t="s">
        <v>5</v>
      </c>
    </row>
    <row r="10" spans="1:8">
      <c r="A10" t="s">
        <v>96</v>
      </c>
      <c r="B10" t="s">
        <v>97</v>
      </c>
      <c r="C10" t="s">
        <v>8</v>
      </c>
      <c r="D10" t="s">
        <v>98</v>
      </c>
      <c r="E10">
        <v>20217</v>
      </c>
    </row>
    <row r="11" spans="1:8">
      <c r="A11" t="s">
        <v>99</v>
      </c>
      <c r="B11" t="s">
        <v>100</v>
      </c>
      <c r="C11" t="s">
        <v>5</v>
      </c>
    </row>
    <row r="12" spans="1:8">
      <c r="A12" t="s">
        <v>101</v>
      </c>
      <c r="B12" t="s">
        <v>102</v>
      </c>
      <c r="C12" t="s">
        <v>5</v>
      </c>
    </row>
    <row r="13" spans="1:8">
      <c r="A13" t="s">
        <v>103</v>
      </c>
      <c r="B13" t="s">
        <v>7</v>
      </c>
      <c r="C13" t="s">
        <v>5</v>
      </c>
    </row>
    <row r="14" spans="1:8">
      <c r="A14" t="s">
        <v>104</v>
      </c>
      <c r="B14" t="s">
        <v>104</v>
      </c>
      <c r="C14" t="s">
        <v>5</v>
      </c>
    </row>
    <row r="15" spans="1:8">
      <c r="A15" t="s">
        <v>92</v>
      </c>
      <c r="B15" t="s">
        <v>7</v>
      </c>
      <c r="C15" t="s">
        <v>5</v>
      </c>
    </row>
    <row r="16" spans="1:8">
      <c r="A16" t="s">
        <v>105</v>
      </c>
      <c r="B16" t="s">
        <v>94</v>
      </c>
      <c r="C16" t="s">
        <v>8</v>
      </c>
      <c r="D16" t="s">
        <v>106</v>
      </c>
      <c r="E16">
        <v>13724</v>
      </c>
    </row>
    <row r="17" spans="1:5">
      <c r="A17" t="s">
        <v>107</v>
      </c>
      <c r="B17" t="s">
        <v>107</v>
      </c>
      <c r="C17" t="s">
        <v>5</v>
      </c>
    </row>
    <row r="18" spans="1:5">
      <c r="A18" t="s">
        <v>108</v>
      </c>
      <c r="B18" t="s">
        <v>109</v>
      </c>
      <c r="C18" t="s">
        <v>5</v>
      </c>
    </row>
    <row r="19" spans="1:5">
      <c r="A19" t="s">
        <v>110</v>
      </c>
      <c r="B19" t="s">
        <v>111</v>
      </c>
      <c r="C19" t="s">
        <v>5</v>
      </c>
    </row>
    <row r="20" spans="1:5">
      <c r="A20" t="s">
        <v>96</v>
      </c>
      <c r="B20" t="s">
        <v>97</v>
      </c>
      <c r="C20" t="s">
        <v>5</v>
      </c>
    </row>
    <row r="21" spans="1:5">
      <c r="A21" t="s">
        <v>99</v>
      </c>
      <c r="B21" t="s">
        <v>100</v>
      </c>
      <c r="C21" t="s">
        <v>8</v>
      </c>
      <c r="D21" t="s">
        <v>112</v>
      </c>
      <c r="E21">
        <v>20231</v>
      </c>
    </row>
    <row r="22" spans="1:5">
      <c r="A22" t="s">
        <v>113</v>
      </c>
      <c r="B22" t="s">
        <v>113</v>
      </c>
      <c r="C22" t="s">
        <v>5</v>
      </c>
    </row>
    <row r="23" spans="1:5">
      <c r="A23" t="s">
        <v>114</v>
      </c>
      <c r="B23" t="s">
        <v>115</v>
      </c>
      <c r="C23" t="s">
        <v>5</v>
      </c>
    </row>
    <row r="24" spans="1:5">
      <c r="A24" t="s">
        <v>116</v>
      </c>
      <c r="B24" t="s">
        <v>116</v>
      </c>
      <c r="C24" t="s">
        <v>5</v>
      </c>
    </row>
    <row r="25" spans="1:5">
      <c r="A25" t="s">
        <v>117</v>
      </c>
      <c r="B25" t="s">
        <v>7</v>
      </c>
      <c r="C25" t="s">
        <v>5</v>
      </c>
    </row>
    <row r="26" spans="1:5">
      <c r="A26" t="s">
        <v>118</v>
      </c>
      <c r="B26" t="s">
        <v>7</v>
      </c>
      <c r="C26" t="s">
        <v>5</v>
      </c>
    </row>
    <row r="27" spans="1:5">
      <c r="A27" t="s">
        <v>119</v>
      </c>
      <c r="B27" t="s">
        <v>120</v>
      </c>
      <c r="C27" t="s">
        <v>5</v>
      </c>
    </row>
    <row r="28" spans="1:5">
      <c r="A28" t="s">
        <v>121</v>
      </c>
      <c r="B28" t="s">
        <v>122</v>
      </c>
      <c r="C28" t="s">
        <v>5</v>
      </c>
    </row>
    <row r="29" spans="1:5">
      <c r="A29" t="s">
        <v>123</v>
      </c>
      <c r="B29" t="s">
        <v>7</v>
      </c>
      <c r="C29" t="s">
        <v>5</v>
      </c>
    </row>
    <row r="30" spans="1:5">
      <c r="A30" t="s">
        <v>124</v>
      </c>
      <c r="B30" t="s">
        <v>7</v>
      </c>
      <c r="C30" t="s">
        <v>5</v>
      </c>
    </row>
    <row r="31" spans="1:5">
      <c r="A31" t="s">
        <v>125</v>
      </c>
      <c r="B31" t="s">
        <v>7</v>
      </c>
      <c r="C31" t="s">
        <v>5</v>
      </c>
    </row>
    <row r="32" spans="1:5">
      <c r="A32" t="s">
        <v>126</v>
      </c>
      <c r="B32" t="s">
        <v>126</v>
      </c>
      <c r="C32" t="s">
        <v>5</v>
      </c>
      <c r="D32" t="s">
        <v>126</v>
      </c>
      <c r="E32">
        <v>20223</v>
      </c>
    </row>
    <row r="33" spans="1:5">
      <c r="A33" t="s">
        <v>127</v>
      </c>
      <c r="B33" t="s">
        <v>128</v>
      </c>
      <c r="C33" t="s">
        <v>5</v>
      </c>
      <c r="D33" t="s">
        <v>128</v>
      </c>
      <c r="E33">
        <v>30340</v>
      </c>
    </row>
    <row r="34" spans="1:5">
      <c r="A34" t="s">
        <v>129</v>
      </c>
      <c r="B34" t="s">
        <v>130</v>
      </c>
      <c r="C34" t="s">
        <v>5</v>
      </c>
    </row>
    <row r="35" spans="1:5">
      <c r="A35" t="s">
        <v>131</v>
      </c>
      <c r="B35" t="s">
        <v>132</v>
      </c>
      <c r="C35" t="s">
        <v>5</v>
      </c>
    </row>
    <row r="36" spans="1:5">
      <c r="A36" t="s">
        <v>133</v>
      </c>
      <c r="B36" t="s">
        <v>134</v>
      </c>
      <c r="C36" t="s">
        <v>5</v>
      </c>
    </row>
    <row r="37" spans="1:5">
      <c r="A37" t="s">
        <v>135</v>
      </c>
      <c r="B37" t="s">
        <v>136</v>
      </c>
      <c r="C37" t="s">
        <v>5</v>
      </c>
    </row>
    <row r="38" spans="1:5">
      <c r="A38" t="s">
        <v>137</v>
      </c>
      <c r="B38" t="s">
        <v>7</v>
      </c>
      <c r="C38" t="s">
        <v>5</v>
      </c>
    </row>
    <row r="39" spans="1:5">
      <c r="A39" t="s">
        <v>138</v>
      </c>
      <c r="B39" t="s">
        <v>7</v>
      </c>
      <c r="C39" t="s">
        <v>5</v>
      </c>
    </row>
    <row r="40" spans="1:5">
      <c r="A40" t="s">
        <v>126</v>
      </c>
      <c r="B40" t="s">
        <v>126</v>
      </c>
      <c r="C40" t="s">
        <v>5</v>
      </c>
      <c r="D40" t="s">
        <v>126</v>
      </c>
      <c r="E40">
        <v>20209</v>
      </c>
    </row>
    <row r="41" spans="1:5">
      <c r="A41" t="s">
        <v>139</v>
      </c>
      <c r="B41" t="s">
        <v>128</v>
      </c>
      <c r="C41" t="s">
        <v>5</v>
      </c>
      <c r="D41" t="s">
        <v>128</v>
      </c>
      <c r="E41">
        <v>25716</v>
      </c>
    </row>
    <row r="42" spans="1:5">
      <c r="A42" t="s">
        <v>140</v>
      </c>
      <c r="B42" t="s">
        <v>7</v>
      </c>
      <c r="C42" t="s">
        <v>5</v>
      </c>
    </row>
    <row r="43" spans="1:5">
      <c r="A43" t="s">
        <v>141</v>
      </c>
      <c r="B43" t="s">
        <v>142</v>
      </c>
      <c r="C43" t="s">
        <v>5</v>
      </c>
    </row>
    <row r="44" spans="1:5">
      <c r="A44" t="s">
        <v>143</v>
      </c>
      <c r="B44" t="s">
        <v>142</v>
      </c>
      <c r="C44" t="s">
        <v>5</v>
      </c>
    </row>
    <row r="45" spans="1:5">
      <c r="A45" t="s">
        <v>129</v>
      </c>
      <c r="B45" t="s">
        <v>130</v>
      </c>
      <c r="C45" t="s">
        <v>8</v>
      </c>
      <c r="D45" t="s">
        <v>144</v>
      </c>
      <c r="E45">
        <v>20214</v>
      </c>
    </row>
    <row r="46" spans="1:5">
      <c r="A46" t="s">
        <v>145</v>
      </c>
      <c r="B46" t="s">
        <v>146</v>
      </c>
      <c r="C46" t="s">
        <v>5</v>
      </c>
    </row>
    <row r="47" spans="1:5">
      <c r="A47" t="s">
        <v>131</v>
      </c>
      <c r="B47" t="s">
        <v>132</v>
      </c>
      <c r="C47" t="s">
        <v>8</v>
      </c>
      <c r="D47" t="s">
        <v>147</v>
      </c>
      <c r="E47">
        <v>13767</v>
      </c>
    </row>
    <row r="48" spans="1:5">
      <c r="A48" t="s">
        <v>148</v>
      </c>
      <c r="B48" t="s">
        <v>149</v>
      </c>
      <c r="C48" t="s">
        <v>5</v>
      </c>
    </row>
    <row r="49" spans="1:3">
      <c r="A49" t="s">
        <v>150</v>
      </c>
      <c r="B49" t="s">
        <v>151</v>
      </c>
      <c r="C49" t="s">
        <v>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RowHeight="15"/>
  <cols>
    <col min="1" max="1" width="48.42578125" customWidth="1"/>
    <col min="2" max="2" width="46.7109375" bestFit="1" customWidth="1"/>
    <col min="3" max="3" width="9.85546875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43</v>
      </c>
    </row>
    <row r="2" spans="1:8">
      <c r="A2" t="s">
        <v>83</v>
      </c>
      <c r="B2" t="s">
        <v>7</v>
      </c>
      <c r="C2" t="s">
        <v>5</v>
      </c>
      <c r="G2" s="6" t="s">
        <v>8</v>
      </c>
      <c r="H2" s="7">
        <f>COUNTIF(C:C,G2)</f>
        <v>6</v>
      </c>
    </row>
    <row r="3" spans="1:8" ht="15.75" thickBot="1">
      <c r="A3" t="s">
        <v>84</v>
      </c>
      <c r="B3" t="s">
        <v>85</v>
      </c>
      <c r="C3" t="s">
        <v>5</v>
      </c>
      <c r="G3" s="8" t="s">
        <v>11</v>
      </c>
      <c r="H3" s="9">
        <f>H1/SUM(H1:H2)</f>
        <v>0.87755102040816324</v>
      </c>
    </row>
    <row r="4" spans="1:8">
      <c r="A4" t="s">
        <v>86</v>
      </c>
      <c r="B4" t="s">
        <v>87</v>
      </c>
      <c r="C4" t="s">
        <v>5</v>
      </c>
    </row>
    <row r="5" spans="1:8">
      <c r="A5" t="s">
        <v>152</v>
      </c>
      <c r="B5" t="s">
        <v>153</v>
      </c>
      <c r="C5" t="s">
        <v>8</v>
      </c>
      <c r="D5" t="s">
        <v>154</v>
      </c>
      <c r="E5">
        <v>13734</v>
      </c>
    </row>
    <row r="6" spans="1:8">
      <c r="A6" t="s">
        <v>89</v>
      </c>
      <c r="B6" t="s">
        <v>89</v>
      </c>
      <c r="C6" t="s">
        <v>5</v>
      </c>
    </row>
    <row r="7" spans="1:8">
      <c r="A7" t="s">
        <v>90</v>
      </c>
      <c r="B7" t="s">
        <v>91</v>
      </c>
      <c r="C7" t="s">
        <v>5</v>
      </c>
    </row>
    <row r="8" spans="1:8">
      <c r="A8" t="s">
        <v>155</v>
      </c>
      <c r="B8" t="s">
        <v>94</v>
      </c>
      <c r="C8" t="s">
        <v>5</v>
      </c>
    </row>
    <row r="9" spans="1:8">
      <c r="A9" t="s">
        <v>92</v>
      </c>
      <c r="B9" t="s">
        <v>7</v>
      </c>
      <c r="C9" t="s">
        <v>5</v>
      </c>
    </row>
    <row r="10" spans="1:8">
      <c r="A10" t="s">
        <v>95</v>
      </c>
      <c r="B10" t="s">
        <v>94</v>
      </c>
      <c r="C10" t="s">
        <v>5</v>
      </c>
    </row>
    <row r="11" spans="1:8">
      <c r="A11" t="s">
        <v>96</v>
      </c>
      <c r="B11" t="s">
        <v>97</v>
      </c>
      <c r="C11" t="s">
        <v>8</v>
      </c>
      <c r="D11" t="s">
        <v>98</v>
      </c>
      <c r="E11">
        <v>20217</v>
      </c>
    </row>
    <row r="12" spans="1:8">
      <c r="A12" t="s">
        <v>99</v>
      </c>
      <c r="B12" t="s">
        <v>100</v>
      </c>
      <c r="C12" t="s">
        <v>5</v>
      </c>
    </row>
    <row r="13" spans="1:8">
      <c r="A13" t="s">
        <v>101</v>
      </c>
      <c r="B13" t="s">
        <v>102</v>
      </c>
      <c r="C13" t="s">
        <v>5</v>
      </c>
    </row>
    <row r="14" spans="1:8">
      <c r="A14" t="s">
        <v>103</v>
      </c>
      <c r="B14" t="s">
        <v>7</v>
      </c>
      <c r="C14" t="s">
        <v>5</v>
      </c>
    </row>
    <row r="15" spans="1:8">
      <c r="A15" t="s">
        <v>104</v>
      </c>
      <c r="B15" t="s">
        <v>104</v>
      </c>
      <c r="C15" t="s">
        <v>5</v>
      </c>
    </row>
    <row r="16" spans="1:8">
      <c r="A16" t="s">
        <v>92</v>
      </c>
      <c r="B16" t="s">
        <v>7</v>
      </c>
      <c r="C16" t="s">
        <v>5</v>
      </c>
    </row>
    <row r="17" spans="1:5">
      <c r="A17" t="s">
        <v>105</v>
      </c>
      <c r="B17" t="s">
        <v>94</v>
      </c>
      <c r="C17" t="s">
        <v>8</v>
      </c>
      <c r="D17" t="s">
        <v>106</v>
      </c>
      <c r="E17">
        <v>13724</v>
      </c>
    </row>
    <row r="18" spans="1:5">
      <c r="A18" t="s">
        <v>107</v>
      </c>
      <c r="B18" t="s">
        <v>107</v>
      </c>
      <c r="C18" t="s">
        <v>5</v>
      </c>
    </row>
    <row r="19" spans="1:5">
      <c r="A19" t="s">
        <v>108</v>
      </c>
      <c r="B19" t="s">
        <v>109</v>
      </c>
      <c r="C19" t="s">
        <v>5</v>
      </c>
    </row>
    <row r="20" spans="1:5">
      <c r="A20" t="s">
        <v>110</v>
      </c>
      <c r="B20" t="s">
        <v>111</v>
      </c>
      <c r="C20" t="s">
        <v>5</v>
      </c>
    </row>
    <row r="21" spans="1:5">
      <c r="A21" t="s">
        <v>96</v>
      </c>
      <c r="B21" t="s">
        <v>97</v>
      </c>
      <c r="C21" t="s">
        <v>5</v>
      </c>
    </row>
    <row r="22" spans="1:5">
      <c r="A22" t="s">
        <v>99</v>
      </c>
      <c r="B22" t="s">
        <v>100</v>
      </c>
      <c r="C22" t="s">
        <v>8</v>
      </c>
      <c r="D22" t="s">
        <v>112</v>
      </c>
      <c r="E22">
        <v>20231</v>
      </c>
    </row>
    <row r="23" spans="1:5">
      <c r="A23" t="s">
        <v>113</v>
      </c>
      <c r="B23" t="s">
        <v>113</v>
      </c>
      <c r="C23" t="s">
        <v>5</v>
      </c>
    </row>
    <row r="24" spans="1:5">
      <c r="A24" t="s">
        <v>114</v>
      </c>
      <c r="B24" t="s">
        <v>115</v>
      </c>
      <c r="C24" t="s">
        <v>5</v>
      </c>
    </row>
    <row r="25" spans="1:5">
      <c r="A25" t="s">
        <v>116</v>
      </c>
      <c r="B25" t="s">
        <v>116</v>
      </c>
      <c r="C25" t="s">
        <v>5</v>
      </c>
    </row>
    <row r="26" spans="1:5">
      <c r="A26" t="s">
        <v>117</v>
      </c>
      <c r="B26" t="s">
        <v>7</v>
      </c>
      <c r="C26" t="s">
        <v>5</v>
      </c>
    </row>
    <row r="27" spans="1:5">
      <c r="A27" t="s">
        <v>118</v>
      </c>
      <c r="B27" t="s">
        <v>7</v>
      </c>
      <c r="C27" t="s">
        <v>5</v>
      </c>
    </row>
    <row r="28" spans="1:5">
      <c r="A28" t="s">
        <v>156</v>
      </c>
      <c r="B28" t="s">
        <v>120</v>
      </c>
      <c r="C28" t="s">
        <v>5</v>
      </c>
    </row>
    <row r="29" spans="1:5">
      <c r="A29" t="s">
        <v>121</v>
      </c>
      <c r="B29" t="s">
        <v>122</v>
      </c>
      <c r="C29" t="s">
        <v>5</v>
      </c>
    </row>
    <row r="30" spans="1:5">
      <c r="A30" t="s">
        <v>123</v>
      </c>
      <c r="B30" t="s">
        <v>7</v>
      </c>
      <c r="C30" t="s">
        <v>5</v>
      </c>
    </row>
    <row r="31" spans="1:5">
      <c r="A31" t="s">
        <v>124</v>
      </c>
      <c r="B31" t="s">
        <v>7</v>
      </c>
      <c r="C31" t="s">
        <v>5</v>
      </c>
    </row>
    <row r="32" spans="1:5">
      <c r="A32" t="s">
        <v>125</v>
      </c>
      <c r="B32" t="s">
        <v>7</v>
      </c>
      <c r="C32" t="s">
        <v>5</v>
      </c>
    </row>
    <row r="33" spans="1:5">
      <c r="A33" t="s">
        <v>126</v>
      </c>
      <c r="B33" t="s">
        <v>126</v>
      </c>
      <c r="C33" t="s">
        <v>5</v>
      </c>
      <c r="D33" t="s">
        <v>126</v>
      </c>
      <c r="E33">
        <v>20223</v>
      </c>
    </row>
    <row r="34" spans="1:5">
      <c r="A34" t="s">
        <v>127</v>
      </c>
      <c r="B34" t="s">
        <v>128</v>
      </c>
      <c r="C34" t="s">
        <v>5</v>
      </c>
      <c r="D34" t="s">
        <v>128</v>
      </c>
      <c r="E34">
        <v>30340</v>
      </c>
    </row>
    <row r="35" spans="1:5">
      <c r="A35" t="s">
        <v>129</v>
      </c>
      <c r="B35" t="s">
        <v>130</v>
      </c>
      <c r="C35" t="s">
        <v>5</v>
      </c>
    </row>
    <row r="36" spans="1:5">
      <c r="A36" t="s">
        <v>131</v>
      </c>
      <c r="B36" t="s">
        <v>132</v>
      </c>
      <c r="C36" t="s">
        <v>5</v>
      </c>
    </row>
    <row r="37" spans="1:5">
      <c r="A37" t="s">
        <v>133</v>
      </c>
      <c r="B37" t="s">
        <v>134</v>
      </c>
      <c r="C37" t="s">
        <v>5</v>
      </c>
    </row>
    <row r="38" spans="1:5">
      <c r="A38" t="s">
        <v>135</v>
      </c>
      <c r="B38" t="s">
        <v>136</v>
      </c>
      <c r="C38" t="s">
        <v>5</v>
      </c>
    </row>
    <row r="39" spans="1:5">
      <c r="A39" t="s">
        <v>137</v>
      </c>
      <c r="B39" t="s">
        <v>7</v>
      </c>
      <c r="C39" t="s">
        <v>5</v>
      </c>
    </row>
    <row r="40" spans="1:5">
      <c r="A40" t="s">
        <v>138</v>
      </c>
      <c r="B40" t="s">
        <v>7</v>
      </c>
      <c r="C40" t="s">
        <v>5</v>
      </c>
    </row>
    <row r="41" spans="1:5">
      <c r="A41" t="s">
        <v>126</v>
      </c>
      <c r="B41" t="s">
        <v>126</v>
      </c>
      <c r="C41" t="s">
        <v>5</v>
      </c>
      <c r="D41" t="s">
        <v>126</v>
      </c>
      <c r="E41">
        <v>20209</v>
      </c>
    </row>
    <row r="42" spans="1:5">
      <c r="A42" t="s">
        <v>139</v>
      </c>
      <c r="B42" t="s">
        <v>128</v>
      </c>
      <c r="C42" t="s">
        <v>5</v>
      </c>
      <c r="D42" t="s">
        <v>128</v>
      </c>
      <c r="E42">
        <v>25716</v>
      </c>
    </row>
    <row r="43" spans="1:5">
      <c r="A43" t="s">
        <v>140</v>
      </c>
      <c r="B43" t="s">
        <v>7</v>
      </c>
      <c r="C43" t="s">
        <v>5</v>
      </c>
    </row>
    <row r="44" spans="1:5">
      <c r="A44" t="s">
        <v>157</v>
      </c>
      <c r="B44" t="s">
        <v>142</v>
      </c>
      <c r="C44" t="s">
        <v>5</v>
      </c>
    </row>
    <row r="45" spans="1:5">
      <c r="A45" t="s">
        <v>158</v>
      </c>
      <c r="B45" t="s">
        <v>142</v>
      </c>
      <c r="C45" t="s">
        <v>5</v>
      </c>
    </row>
    <row r="46" spans="1:5">
      <c r="A46" t="s">
        <v>129</v>
      </c>
      <c r="B46" t="s">
        <v>130</v>
      </c>
      <c r="C46" t="s">
        <v>8</v>
      </c>
      <c r="D46" t="s">
        <v>144</v>
      </c>
      <c r="E46">
        <v>20214</v>
      </c>
    </row>
    <row r="47" spans="1:5">
      <c r="A47" t="s">
        <v>145</v>
      </c>
      <c r="B47" t="s">
        <v>146</v>
      </c>
      <c r="C47" t="s">
        <v>5</v>
      </c>
    </row>
    <row r="48" spans="1:5">
      <c r="A48" t="s">
        <v>131</v>
      </c>
      <c r="B48" t="s">
        <v>132</v>
      </c>
      <c r="C48" t="s">
        <v>8</v>
      </c>
      <c r="D48" t="s">
        <v>147</v>
      </c>
      <c r="E48">
        <v>13767</v>
      </c>
    </row>
    <row r="49" spans="1:3">
      <c r="A49" t="s">
        <v>148</v>
      </c>
      <c r="B49" t="s">
        <v>149</v>
      </c>
      <c r="C49" t="s">
        <v>5</v>
      </c>
    </row>
    <row r="50" spans="1:3">
      <c r="A50" t="s">
        <v>150</v>
      </c>
      <c r="B50" t="s">
        <v>151</v>
      </c>
      <c r="C50" t="s">
        <v>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5"/>
  <cols>
    <col min="1" max="1" width="55.85546875" customWidth="1"/>
    <col min="2" max="2" width="55.7109375" bestFit="1" customWidth="1"/>
    <col min="4" max="4" width="20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36</v>
      </c>
    </row>
    <row r="2" spans="1:8">
      <c r="A2" t="s">
        <v>159</v>
      </c>
      <c r="B2" t="s">
        <v>160</v>
      </c>
      <c r="C2" t="s">
        <v>5</v>
      </c>
      <c r="G2" s="6" t="s">
        <v>8</v>
      </c>
      <c r="H2" s="7">
        <f>COUNTIF(C:C,G2)</f>
        <v>16</v>
      </c>
    </row>
    <row r="3" spans="1:8" ht="15.75" thickBot="1">
      <c r="A3" t="s">
        <v>161</v>
      </c>
      <c r="B3" t="s">
        <v>7</v>
      </c>
      <c r="C3" t="s">
        <v>5</v>
      </c>
      <c r="G3" s="8" t="s">
        <v>11</v>
      </c>
      <c r="H3" s="9">
        <f>H1/SUM(H1:H2)</f>
        <v>0.69230769230769229</v>
      </c>
    </row>
    <row r="4" spans="1:8">
      <c r="A4" t="s">
        <v>162</v>
      </c>
      <c r="B4" t="s">
        <v>163</v>
      </c>
      <c r="C4" t="s">
        <v>5</v>
      </c>
    </row>
    <row r="5" spans="1:8">
      <c r="A5" t="s">
        <v>164</v>
      </c>
      <c r="B5" t="s">
        <v>165</v>
      </c>
      <c r="C5" t="s">
        <v>8</v>
      </c>
      <c r="D5" t="s">
        <v>166</v>
      </c>
      <c r="E5">
        <v>30502</v>
      </c>
    </row>
    <row r="6" spans="1:8">
      <c r="A6" t="s">
        <v>167</v>
      </c>
      <c r="B6" t="s">
        <v>168</v>
      </c>
      <c r="C6" t="s">
        <v>5</v>
      </c>
    </row>
    <row r="7" spans="1:8">
      <c r="A7" t="s">
        <v>169</v>
      </c>
      <c r="B7" t="s">
        <v>170</v>
      </c>
      <c r="C7" t="s">
        <v>8</v>
      </c>
      <c r="D7" t="s">
        <v>171</v>
      </c>
      <c r="E7">
        <v>17542</v>
      </c>
    </row>
    <row r="8" spans="1:8">
      <c r="A8" t="s">
        <v>28</v>
      </c>
      <c r="B8" t="s">
        <v>172</v>
      </c>
      <c r="C8" t="s">
        <v>5</v>
      </c>
    </row>
    <row r="9" spans="1:8">
      <c r="A9" t="s">
        <v>173</v>
      </c>
      <c r="B9" t="s">
        <v>174</v>
      </c>
      <c r="C9" t="s">
        <v>5</v>
      </c>
    </row>
    <row r="10" spans="1:8">
      <c r="A10" t="s">
        <v>175</v>
      </c>
      <c r="B10" t="s">
        <v>176</v>
      </c>
      <c r="C10" t="s">
        <v>5</v>
      </c>
    </row>
    <row r="11" spans="1:8">
      <c r="A11" t="s">
        <v>177</v>
      </c>
      <c r="B11" t="s">
        <v>176</v>
      </c>
      <c r="C11" t="s">
        <v>5</v>
      </c>
    </row>
    <row r="12" spans="1:8">
      <c r="A12" t="s">
        <v>178</v>
      </c>
      <c r="B12" t="s">
        <v>179</v>
      </c>
      <c r="C12" t="s">
        <v>8</v>
      </c>
      <c r="D12" t="s">
        <v>180</v>
      </c>
      <c r="E12">
        <v>30481</v>
      </c>
    </row>
    <row r="13" spans="1:8">
      <c r="A13" t="s">
        <v>181</v>
      </c>
      <c r="B13" t="s">
        <v>182</v>
      </c>
      <c r="C13" t="s">
        <v>5</v>
      </c>
    </row>
    <row r="14" spans="1:8">
      <c r="A14" t="s">
        <v>183</v>
      </c>
      <c r="B14" t="s">
        <v>171</v>
      </c>
      <c r="C14" t="s">
        <v>5</v>
      </c>
    </row>
    <row r="15" spans="1:8">
      <c r="A15" t="s">
        <v>184</v>
      </c>
      <c r="B15" t="s">
        <v>185</v>
      </c>
      <c r="C15" t="s">
        <v>5</v>
      </c>
    </row>
    <row r="16" spans="1:8">
      <c r="A16" t="s">
        <v>186</v>
      </c>
      <c r="B16" t="s">
        <v>7</v>
      </c>
      <c r="C16" t="s">
        <v>5</v>
      </c>
    </row>
    <row r="17" spans="1:5">
      <c r="A17" t="s">
        <v>187</v>
      </c>
      <c r="B17" t="s">
        <v>188</v>
      </c>
      <c r="C17" t="s">
        <v>5</v>
      </c>
      <c r="D17" s="10"/>
    </row>
    <row r="18" spans="1:5">
      <c r="A18" t="s">
        <v>189</v>
      </c>
      <c r="B18" t="s">
        <v>190</v>
      </c>
      <c r="C18" t="s">
        <v>5</v>
      </c>
      <c r="D18" s="10"/>
    </row>
    <row r="19" spans="1:5">
      <c r="A19" t="s">
        <v>191</v>
      </c>
      <c r="B19" t="s">
        <v>104</v>
      </c>
      <c r="C19" t="s">
        <v>5</v>
      </c>
      <c r="D19" s="10"/>
    </row>
    <row r="20" spans="1:5">
      <c r="A20" t="s">
        <v>192</v>
      </c>
      <c r="B20" t="s">
        <v>193</v>
      </c>
      <c r="C20" t="s">
        <v>5</v>
      </c>
      <c r="D20" s="10"/>
    </row>
    <row r="21" spans="1:5">
      <c r="A21" t="s">
        <v>194</v>
      </c>
      <c r="B21" t="s">
        <v>195</v>
      </c>
      <c r="C21" t="s">
        <v>8</v>
      </c>
      <c r="D21" s="10" t="s">
        <v>196</v>
      </c>
    </row>
    <row r="22" spans="1:5">
      <c r="A22" t="s">
        <v>197</v>
      </c>
      <c r="B22" t="s">
        <v>195</v>
      </c>
      <c r="C22" t="s">
        <v>5</v>
      </c>
    </row>
    <row r="23" spans="1:5">
      <c r="A23" t="s">
        <v>198</v>
      </c>
      <c r="B23" t="s">
        <v>199</v>
      </c>
      <c r="C23" t="s">
        <v>5</v>
      </c>
    </row>
    <row r="24" spans="1:5">
      <c r="A24" t="s">
        <v>200</v>
      </c>
      <c r="B24" t="s">
        <v>201</v>
      </c>
      <c r="C24" t="s">
        <v>5</v>
      </c>
    </row>
    <row r="25" spans="1:5">
      <c r="A25" t="s">
        <v>202</v>
      </c>
      <c r="B25" t="s">
        <v>203</v>
      </c>
      <c r="C25" t="s">
        <v>8</v>
      </c>
      <c r="D25" t="s">
        <v>7</v>
      </c>
    </row>
    <row r="26" spans="1:5">
      <c r="A26" t="s">
        <v>204</v>
      </c>
      <c r="B26" t="s">
        <v>205</v>
      </c>
      <c r="C26" t="s">
        <v>5</v>
      </c>
    </row>
    <row r="27" spans="1:5">
      <c r="A27" t="s">
        <v>206</v>
      </c>
      <c r="B27" t="s">
        <v>207</v>
      </c>
      <c r="C27" t="s">
        <v>8</v>
      </c>
      <c r="D27" t="s">
        <v>208</v>
      </c>
      <c r="E27">
        <v>30601</v>
      </c>
    </row>
    <row r="28" spans="1:5">
      <c r="A28" t="s">
        <v>209</v>
      </c>
      <c r="B28" t="s">
        <v>210</v>
      </c>
      <c r="C28" t="s">
        <v>5</v>
      </c>
    </row>
    <row r="29" spans="1:5">
      <c r="A29" t="s">
        <v>211</v>
      </c>
      <c r="B29" t="s">
        <v>212</v>
      </c>
      <c r="C29" t="s">
        <v>8</v>
      </c>
      <c r="D29" t="s">
        <v>213</v>
      </c>
      <c r="E29">
        <v>30492</v>
      </c>
    </row>
    <row r="30" spans="1:5">
      <c r="A30" t="s">
        <v>214</v>
      </c>
      <c r="B30" t="s">
        <v>215</v>
      </c>
      <c r="C30" t="s">
        <v>8</v>
      </c>
      <c r="D30" t="s">
        <v>216</v>
      </c>
      <c r="E30">
        <v>17557</v>
      </c>
    </row>
    <row r="31" spans="1:5">
      <c r="A31" t="s">
        <v>217</v>
      </c>
      <c r="B31" t="s">
        <v>216</v>
      </c>
      <c r="C31" t="s">
        <v>5</v>
      </c>
    </row>
    <row r="32" spans="1:5">
      <c r="A32" t="s">
        <v>218</v>
      </c>
      <c r="B32" t="s">
        <v>219</v>
      </c>
      <c r="C32" t="s">
        <v>5</v>
      </c>
    </row>
    <row r="33" spans="1:5">
      <c r="A33" t="s">
        <v>220</v>
      </c>
      <c r="B33" t="s">
        <v>219</v>
      </c>
      <c r="C33" t="s">
        <v>5</v>
      </c>
    </row>
    <row r="34" spans="1:5">
      <c r="A34" t="s">
        <v>221</v>
      </c>
      <c r="B34" t="s">
        <v>222</v>
      </c>
      <c r="C34" t="s">
        <v>8</v>
      </c>
      <c r="D34" t="s">
        <v>223</v>
      </c>
      <c r="E34">
        <v>30499</v>
      </c>
    </row>
    <row r="35" spans="1:5">
      <c r="A35" t="s">
        <v>179</v>
      </c>
      <c r="B35" t="s">
        <v>180</v>
      </c>
      <c r="C35" t="s">
        <v>8</v>
      </c>
      <c r="D35" t="s">
        <v>179</v>
      </c>
      <c r="E35">
        <v>30485</v>
      </c>
    </row>
    <row r="36" spans="1:5">
      <c r="A36" t="s">
        <v>182</v>
      </c>
      <c r="B36" t="s">
        <v>182</v>
      </c>
      <c r="C36" t="s">
        <v>5</v>
      </c>
    </row>
    <row r="37" spans="1:5">
      <c r="A37" t="s">
        <v>224</v>
      </c>
      <c r="B37" t="s">
        <v>203</v>
      </c>
      <c r="C37" t="s">
        <v>5</v>
      </c>
    </row>
    <row r="38" spans="1:5">
      <c r="A38" t="s">
        <v>225</v>
      </c>
      <c r="B38" t="s">
        <v>7</v>
      </c>
      <c r="C38" t="s">
        <v>5</v>
      </c>
    </row>
    <row r="39" spans="1:5">
      <c r="A39" t="s">
        <v>226</v>
      </c>
      <c r="B39" t="s">
        <v>227</v>
      </c>
      <c r="C39" t="s">
        <v>5</v>
      </c>
    </row>
    <row r="40" spans="1:5">
      <c r="A40" t="s">
        <v>228</v>
      </c>
      <c r="B40" t="s">
        <v>227</v>
      </c>
      <c r="C40" t="s">
        <v>8</v>
      </c>
      <c r="D40" t="s">
        <v>222</v>
      </c>
      <c r="E40">
        <v>30658</v>
      </c>
    </row>
    <row r="41" spans="1:5">
      <c r="A41" t="s">
        <v>229</v>
      </c>
      <c r="B41" t="s">
        <v>230</v>
      </c>
      <c r="C41" t="s">
        <v>5</v>
      </c>
    </row>
    <row r="42" spans="1:5">
      <c r="A42" t="s">
        <v>231</v>
      </c>
      <c r="B42" t="s">
        <v>232</v>
      </c>
      <c r="C42" t="s">
        <v>5</v>
      </c>
    </row>
    <row r="43" spans="1:5">
      <c r="A43" t="s">
        <v>233</v>
      </c>
      <c r="B43" t="s">
        <v>234</v>
      </c>
      <c r="C43" t="s">
        <v>5</v>
      </c>
    </row>
    <row r="44" spans="1:5">
      <c r="A44" t="s">
        <v>235</v>
      </c>
      <c r="B44" t="s">
        <v>236</v>
      </c>
      <c r="C44" t="s">
        <v>5</v>
      </c>
    </row>
    <row r="45" spans="1:5">
      <c r="A45" t="s">
        <v>237</v>
      </c>
      <c r="B45" t="s">
        <v>238</v>
      </c>
      <c r="C45" t="s">
        <v>5</v>
      </c>
    </row>
    <row r="46" spans="1:5">
      <c r="A46" t="s">
        <v>239</v>
      </c>
      <c r="B46" t="s">
        <v>240</v>
      </c>
      <c r="C46" t="s">
        <v>5</v>
      </c>
    </row>
    <row r="47" spans="1:5">
      <c r="A47" t="s">
        <v>241</v>
      </c>
      <c r="B47" t="s">
        <v>242</v>
      </c>
      <c r="C47" t="s">
        <v>5</v>
      </c>
    </row>
    <row r="48" spans="1:5">
      <c r="A48" t="s">
        <v>243</v>
      </c>
      <c r="B48" t="s">
        <v>7</v>
      </c>
      <c r="C48" t="s">
        <v>5</v>
      </c>
      <c r="D48" t="s">
        <v>196</v>
      </c>
    </row>
    <row r="49" spans="1:4">
      <c r="A49" t="s">
        <v>244</v>
      </c>
      <c r="B49" t="s">
        <v>242</v>
      </c>
      <c r="C49" t="s">
        <v>8</v>
      </c>
      <c r="D49" t="s">
        <v>196</v>
      </c>
    </row>
    <row r="50" spans="1:4">
      <c r="A50" t="s">
        <v>245</v>
      </c>
      <c r="B50" t="s">
        <v>7</v>
      </c>
      <c r="C50" t="s">
        <v>8</v>
      </c>
      <c r="D50" t="s">
        <v>196</v>
      </c>
    </row>
    <row r="51" spans="1:4">
      <c r="A51" t="s">
        <v>246</v>
      </c>
      <c r="B51" t="s">
        <v>7</v>
      </c>
      <c r="C51" t="s">
        <v>8</v>
      </c>
      <c r="D51" t="s">
        <v>196</v>
      </c>
    </row>
    <row r="52" spans="1:4">
      <c r="A52" t="s">
        <v>247</v>
      </c>
      <c r="B52" t="s">
        <v>7</v>
      </c>
      <c r="C52" t="s">
        <v>8</v>
      </c>
      <c r="D52" t="s">
        <v>196</v>
      </c>
    </row>
    <row r="53" spans="1:4">
      <c r="A53" t="s">
        <v>248</v>
      </c>
      <c r="B53" t="s">
        <v>7</v>
      </c>
      <c r="C53" t="s">
        <v>8</v>
      </c>
      <c r="D53" t="s">
        <v>196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workbookViewId="0"/>
  </sheetViews>
  <sheetFormatPr defaultRowHeight="15"/>
  <cols>
    <col min="1" max="1" width="58.42578125" customWidth="1"/>
    <col min="2" max="2" width="67.42578125" bestFit="1" customWidth="1"/>
    <col min="4" max="4" width="16.4257812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35</v>
      </c>
    </row>
    <row r="2" spans="1:8">
      <c r="A2" t="s">
        <v>159</v>
      </c>
      <c r="B2" t="s">
        <v>160</v>
      </c>
      <c r="C2" t="s">
        <v>5</v>
      </c>
      <c r="G2" s="6" t="s">
        <v>8</v>
      </c>
      <c r="H2" s="7">
        <f>COUNTIF(C:C,G2)</f>
        <v>16</v>
      </c>
    </row>
    <row r="3" spans="1:8" ht="15.75" thickBot="1">
      <c r="A3" t="s">
        <v>161</v>
      </c>
      <c r="B3" t="s">
        <v>7</v>
      </c>
      <c r="C3" t="s">
        <v>5</v>
      </c>
      <c r="G3" s="8" t="s">
        <v>11</v>
      </c>
      <c r="H3" s="9">
        <f>H1/SUM(H1:H2)</f>
        <v>0.68627450980392157</v>
      </c>
    </row>
    <row r="4" spans="1:8">
      <c r="A4" t="s">
        <v>162</v>
      </c>
      <c r="B4" t="s">
        <v>163</v>
      </c>
      <c r="C4" t="s">
        <v>5</v>
      </c>
    </row>
    <row r="5" spans="1:8">
      <c r="A5" t="s">
        <v>249</v>
      </c>
      <c r="B5" t="s">
        <v>165</v>
      </c>
      <c r="C5" t="s">
        <v>8</v>
      </c>
      <c r="D5" t="s">
        <v>166</v>
      </c>
      <c r="E5">
        <v>30502</v>
      </c>
    </row>
    <row r="6" spans="1:8">
      <c r="A6" t="s">
        <v>169</v>
      </c>
      <c r="B6" t="s">
        <v>170</v>
      </c>
      <c r="C6" t="s">
        <v>8</v>
      </c>
      <c r="D6" t="s">
        <v>171</v>
      </c>
      <c r="E6">
        <v>17542</v>
      </c>
    </row>
    <row r="7" spans="1:8">
      <c r="A7" t="s">
        <v>28</v>
      </c>
      <c r="B7" t="s">
        <v>172</v>
      </c>
      <c r="C7" t="s">
        <v>5</v>
      </c>
    </row>
    <row r="8" spans="1:8">
      <c r="A8" t="s">
        <v>173</v>
      </c>
      <c r="B8" t="s">
        <v>174</v>
      </c>
      <c r="C8" t="s">
        <v>5</v>
      </c>
    </row>
    <row r="9" spans="1:8">
      <c r="A9" t="s">
        <v>250</v>
      </c>
      <c r="B9" t="s">
        <v>176</v>
      </c>
      <c r="C9" t="s">
        <v>5</v>
      </c>
    </row>
    <row r="10" spans="1:8">
      <c r="A10" t="s">
        <v>178</v>
      </c>
      <c r="B10" t="s">
        <v>179</v>
      </c>
      <c r="C10" t="s">
        <v>8</v>
      </c>
      <c r="D10" t="s">
        <v>180</v>
      </c>
      <c r="E10">
        <v>30481</v>
      </c>
    </row>
    <row r="11" spans="1:8">
      <c r="A11" t="s">
        <v>181</v>
      </c>
      <c r="B11" t="s">
        <v>182</v>
      </c>
      <c r="C11" t="s">
        <v>5</v>
      </c>
    </row>
    <row r="12" spans="1:8">
      <c r="A12" t="s">
        <v>251</v>
      </c>
      <c r="B12" t="s">
        <v>252</v>
      </c>
      <c r="C12" t="s">
        <v>5</v>
      </c>
    </row>
    <row r="13" spans="1:8">
      <c r="A13" t="s">
        <v>253</v>
      </c>
      <c r="B13" t="s">
        <v>171</v>
      </c>
      <c r="C13" t="s">
        <v>5</v>
      </c>
    </row>
    <row r="14" spans="1:8">
      <c r="A14" t="s">
        <v>184</v>
      </c>
      <c r="B14" t="s">
        <v>185</v>
      </c>
      <c r="C14" t="s">
        <v>5</v>
      </c>
    </row>
    <row r="15" spans="1:8">
      <c r="A15" t="s">
        <v>186</v>
      </c>
      <c r="B15" t="s">
        <v>7</v>
      </c>
      <c r="C15" t="s">
        <v>5</v>
      </c>
    </row>
    <row r="16" spans="1:8">
      <c r="A16" t="s">
        <v>187</v>
      </c>
      <c r="B16" t="s">
        <v>188</v>
      </c>
      <c r="C16" t="s">
        <v>5</v>
      </c>
      <c r="D16" s="10"/>
    </row>
    <row r="17" spans="1:5">
      <c r="A17" t="s">
        <v>189</v>
      </c>
      <c r="B17" t="s">
        <v>190</v>
      </c>
      <c r="C17" t="s">
        <v>5</v>
      </c>
      <c r="D17" s="10"/>
    </row>
    <row r="18" spans="1:5">
      <c r="A18" t="s">
        <v>191</v>
      </c>
      <c r="B18" t="s">
        <v>104</v>
      </c>
      <c r="C18" t="s">
        <v>5</v>
      </c>
      <c r="D18" s="10"/>
    </row>
    <row r="19" spans="1:5">
      <c r="A19" t="s">
        <v>192</v>
      </c>
      <c r="B19" t="s">
        <v>193</v>
      </c>
      <c r="C19" t="s">
        <v>5</v>
      </c>
      <c r="D19" s="10"/>
    </row>
    <row r="20" spans="1:5">
      <c r="A20" t="s">
        <v>194</v>
      </c>
      <c r="B20" t="s">
        <v>195</v>
      </c>
      <c r="C20" t="s">
        <v>8</v>
      </c>
      <c r="D20" t="s">
        <v>196</v>
      </c>
    </row>
    <row r="21" spans="1:5">
      <c r="A21" t="s">
        <v>197</v>
      </c>
      <c r="B21" t="s">
        <v>195</v>
      </c>
      <c r="C21" t="s">
        <v>5</v>
      </c>
    </row>
    <row r="22" spans="1:5">
      <c r="A22" t="s">
        <v>198</v>
      </c>
      <c r="B22" t="s">
        <v>199</v>
      </c>
      <c r="C22" t="s">
        <v>5</v>
      </c>
    </row>
    <row r="23" spans="1:5">
      <c r="A23" t="s">
        <v>200</v>
      </c>
      <c r="B23" t="s">
        <v>201</v>
      </c>
      <c r="C23" t="s">
        <v>5</v>
      </c>
    </row>
    <row r="24" spans="1:5">
      <c r="A24" t="s">
        <v>202</v>
      </c>
      <c r="B24" t="s">
        <v>203</v>
      </c>
      <c r="C24" t="s">
        <v>8</v>
      </c>
      <c r="D24" t="s">
        <v>7</v>
      </c>
    </row>
    <row r="25" spans="1:5">
      <c r="A25" t="s">
        <v>204</v>
      </c>
      <c r="B25" t="s">
        <v>205</v>
      </c>
      <c r="C25" t="s">
        <v>5</v>
      </c>
    </row>
    <row r="26" spans="1:5">
      <c r="A26" t="s">
        <v>206</v>
      </c>
      <c r="B26" t="s">
        <v>207</v>
      </c>
      <c r="C26" t="s">
        <v>8</v>
      </c>
      <c r="D26" t="s">
        <v>208</v>
      </c>
      <c r="E26">
        <v>30601</v>
      </c>
    </row>
    <row r="27" spans="1:5">
      <c r="A27" t="s">
        <v>209</v>
      </c>
      <c r="B27" t="s">
        <v>210</v>
      </c>
      <c r="C27" t="s">
        <v>5</v>
      </c>
    </row>
    <row r="28" spans="1:5">
      <c r="A28" t="s">
        <v>254</v>
      </c>
      <c r="B28" t="s">
        <v>212</v>
      </c>
      <c r="C28" t="s">
        <v>8</v>
      </c>
      <c r="D28" t="s">
        <v>216</v>
      </c>
      <c r="E28">
        <v>17557</v>
      </c>
    </row>
    <row r="29" spans="1:5">
      <c r="A29" t="s">
        <v>214</v>
      </c>
      <c r="B29" t="s">
        <v>215</v>
      </c>
      <c r="C29" t="s">
        <v>8</v>
      </c>
      <c r="D29" t="s">
        <v>216</v>
      </c>
      <c r="E29">
        <v>17557</v>
      </c>
    </row>
    <row r="30" spans="1:5">
      <c r="A30" t="s">
        <v>217</v>
      </c>
      <c r="B30" t="s">
        <v>216</v>
      </c>
      <c r="C30" t="s">
        <v>5</v>
      </c>
    </row>
    <row r="31" spans="1:5">
      <c r="A31" t="s">
        <v>218</v>
      </c>
      <c r="B31" t="s">
        <v>219</v>
      </c>
      <c r="C31" t="s">
        <v>5</v>
      </c>
    </row>
    <row r="32" spans="1:5">
      <c r="A32" t="s">
        <v>220</v>
      </c>
      <c r="B32" t="s">
        <v>219</v>
      </c>
      <c r="C32" t="s">
        <v>5</v>
      </c>
    </row>
    <row r="33" spans="1:5">
      <c r="A33" t="s">
        <v>255</v>
      </c>
      <c r="B33" t="s">
        <v>222</v>
      </c>
      <c r="C33" t="s">
        <v>8</v>
      </c>
      <c r="D33" t="s">
        <v>223</v>
      </c>
      <c r="E33">
        <v>30499</v>
      </c>
    </row>
    <row r="34" spans="1:5">
      <c r="A34" t="s">
        <v>179</v>
      </c>
      <c r="B34" t="s">
        <v>180</v>
      </c>
      <c r="C34" t="s">
        <v>8</v>
      </c>
      <c r="D34" t="s">
        <v>179</v>
      </c>
      <c r="E34">
        <v>30485</v>
      </c>
    </row>
    <row r="35" spans="1:5">
      <c r="A35" t="s">
        <v>256</v>
      </c>
      <c r="B35" t="s">
        <v>182</v>
      </c>
      <c r="C35" t="s">
        <v>5</v>
      </c>
    </row>
    <row r="36" spans="1:5">
      <c r="A36" t="s">
        <v>224</v>
      </c>
      <c r="B36" t="s">
        <v>203</v>
      </c>
      <c r="C36" t="s">
        <v>5</v>
      </c>
    </row>
    <row r="37" spans="1:5">
      <c r="A37" t="s">
        <v>225</v>
      </c>
      <c r="B37" t="s">
        <v>7</v>
      </c>
      <c r="C37" t="s">
        <v>5</v>
      </c>
    </row>
    <row r="38" spans="1:5">
      <c r="A38" t="s">
        <v>226</v>
      </c>
      <c r="B38" t="s">
        <v>227</v>
      </c>
      <c r="C38" t="s">
        <v>5</v>
      </c>
    </row>
    <row r="39" spans="1:5">
      <c r="A39" t="s">
        <v>228</v>
      </c>
      <c r="B39" t="s">
        <v>227</v>
      </c>
      <c r="C39" t="s">
        <v>8</v>
      </c>
      <c r="D39" t="s">
        <v>222</v>
      </c>
      <c r="E39">
        <v>30658</v>
      </c>
    </row>
    <row r="40" spans="1:5">
      <c r="A40" t="s">
        <v>229</v>
      </c>
      <c r="B40" t="s">
        <v>230</v>
      </c>
      <c r="C40" t="s">
        <v>5</v>
      </c>
    </row>
    <row r="41" spans="1:5">
      <c r="A41" t="s">
        <v>231</v>
      </c>
      <c r="B41" t="s">
        <v>232</v>
      </c>
      <c r="C41" t="s">
        <v>5</v>
      </c>
    </row>
    <row r="42" spans="1:5">
      <c r="A42" t="s">
        <v>233</v>
      </c>
      <c r="B42" t="s">
        <v>234</v>
      </c>
      <c r="C42" t="s">
        <v>5</v>
      </c>
    </row>
    <row r="43" spans="1:5">
      <c r="A43" t="s">
        <v>235</v>
      </c>
      <c r="B43" t="s">
        <v>236</v>
      </c>
      <c r="C43" t="s">
        <v>5</v>
      </c>
    </row>
    <row r="44" spans="1:5">
      <c r="A44" t="s">
        <v>237</v>
      </c>
      <c r="B44" t="s">
        <v>238</v>
      </c>
      <c r="C44" t="s">
        <v>5</v>
      </c>
    </row>
    <row r="45" spans="1:5">
      <c r="A45" t="s">
        <v>239</v>
      </c>
      <c r="B45" t="s">
        <v>240</v>
      </c>
      <c r="C45" t="s">
        <v>5</v>
      </c>
    </row>
    <row r="46" spans="1:5">
      <c r="A46" t="s">
        <v>241</v>
      </c>
      <c r="B46" t="s">
        <v>242</v>
      </c>
      <c r="C46" t="s">
        <v>5</v>
      </c>
    </row>
    <row r="47" spans="1:5">
      <c r="A47" t="s">
        <v>243</v>
      </c>
      <c r="B47" t="s">
        <v>7</v>
      </c>
      <c r="C47" t="s">
        <v>5</v>
      </c>
      <c r="D47" t="s">
        <v>196</v>
      </c>
    </row>
    <row r="48" spans="1:5">
      <c r="A48" t="s">
        <v>245</v>
      </c>
      <c r="B48" t="s">
        <v>7</v>
      </c>
      <c r="C48" t="s">
        <v>8</v>
      </c>
      <c r="D48" t="s">
        <v>196</v>
      </c>
    </row>
    <row r="49" spans="1:4">
      <c r="A49" t="s">
        <v>246</v>
      </c>
      <c r="B49" t="s">
        <v>7</v>
      </c>
      <c r="C49" t="s">
        <v>8</v>
      </c>
      <c r="D49" t="s">
        <v>196</v>
      </c>
    </row>
    <row r="50" spans="1:4">
      <c r="A50" t="s">
        <v>247</v>
      </c>
      <c r="B50" t="s">
        <v>7</v>
      </c>
      <c r="C50" t="s">
        <v>8</v>
      </c>
      <c r="D50" t="s">
        <v>196</v>
      </c>
    </row>
    <row r="51" spans="1:4">
      <c r="A51" t="s">
        <v>257</v>
      </c>
      <c r="B51" t="s">
        <v>258</v>
      </c>
      <c r="C51" t="s">
        <v>8</v>
      </c>
      <c r="D51" t="s">
        <v>196</v>
      </c>
    </row>
    <row r="52" spans="1:4">
      <c r="A52" t="s">
        <v>248</v>
      </c>
      <c r="B52" t="s">
        <v>7</v>
      </c>
      <c r="C52" t="s">
        <v>8</v>
      </c>
      <c r="D52" t="s">
        <v>196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2026-03-18T16:00:31Z</dcterms:created>
  <dcterms:modified xsi:type="dcterms:W3CDTF">2026-06-23T06:31:53Z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2026-03-20T09:34:43Z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28cc57a6-7321-44de-b6e9-326eef97d2bd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