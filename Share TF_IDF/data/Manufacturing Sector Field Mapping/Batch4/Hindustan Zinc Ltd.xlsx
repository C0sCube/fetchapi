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4_{5B5D5DBC-00D4-4F6E-AB36-8F18EBC747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2" r:id="rId3"/>
    <sheet name="Consolidated Balance Sheet" sheetId="6" r:id="rId4"/>
    <sheet name="Standalone Cash Flow" sheetId="3" r:id="rId5"/>
    <sheet name="Consolidated Cash Flow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2" i="3"/>
  <c r="H1" i="3"/>
  <c r="H2" i="6"/>
  <c r="H1" i="6"/>
  <c r="H2" i="2"/>
  <c r="H1" i="2"/>
  <c r="H2" i="5"/>
  <c r="H1" i="5"/>
  <c r="H2" i="1"/>
  <c r="H1" i="1"/>
  <c r="H3" i="4" l="1"/>
  <c r="H3" i="3"/>
  <c r="H3" i="6"/>
  <c r="H3" i="2"/>
  <c r="H3" i="5"/>
  <c r="H3" i="1"/>
</calcChain>
</file>

<file path=xl/sharedStrings.xml><?xml version="1.0" encoding="utf-8"?>
<sst xmlns="http://schemas.openxmlformats.org/spreadsheetml/2006/main" count="926" uniqueCount="255">
  <si>
    <t>Particulars</t>
  </si>
  <si>
    <t>Cogencis Field</t>
  </si>
  <si>
    <t>Revenue</t>
  </si>
  <si>
    <t>Lable</t>
  </si>
  <si>
    <t>Other operating revenue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</si>
  <si>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</si>
  <si>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</si>
  <si>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</si>
  <si>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</si>
  <si>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</si>
  <si>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</si>
  <si>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Expenses</t>
  </si>
  <si>
    <t>Changes in inventories of finished goods &amp; WIP</t>
  </si>
  <si>
    <t>Changes in Inventories of Finished Goods, Work-In-Progress and Stock-In-Trade</t>
  </si>
  <si>
    <t>Employee benefit expense</t>
  </si>
  <si>
    <t>Employee Benefit Expense</t>
  </si>
  <si>
    <t>Depreciation and amortisation</t>
  </si>
  <si>
    <t>Depreciation, Depletion and Amortisation Expense</t>
  </si>
  <si>
    <t>Power and fuel</t>
  </si>
  <si>
    <t>Power and Fuel</t>
  </si>
  <si>
    <t>Mining royalty</t>
  </si>
  <si>
    <t>Interest Income</t>
  </si>
  <si>
    <t>Finance costs</t>
  </si>
  <si>
    <t>Finance Costs</t>
  </si>
  <si>
    <t>Other expenses</t>
  </si>
  <si>
    <t>Other Expenses</t>
  </si>
  <si>
    <t>Total expenses</t>
  </si>
  <si>
    <t>Total Expenses</t>
  </si>
  <si>
    <t>Profit before tax and exceptional item</t>
  </si>
  <si>
    <t>Profit/(Loss) from Ordinary Activities after Finance Costs but before Exceptional Items</t>
  </si>
  <si>
    <t>Exceptional item</t>
  </si>
  <si>
    <t>Other Exceptional Items</t>
  </si>
  <si>
    <t>Profit Before Tax</t>
  </si>
  <si>
    <t>Profit/(Loss) From Ordinary Activities before Tax</t>
  </si>
  <si>
    <t>Tax Expense</t>
  </si>
  <si>
    <t>Current tax</t>
  </si>
  <si>
    <t>Deferred tax</t>
  </si>
  <si>
    <t>Deferred Tax</t>
  </si>
  <si>
    <t>Net Tax Expense</t>
  </si>
  <si>
    <t>Net Profit</t>
  </si>
  <si>
    <t>Other Comprehensive Income/(Loss )</t>
  </si>
  <si>
    <t>Other Comprehensive Income</t>
  </si>
  <si>
    <t>Items that will not be reclassified to profit or loss</t>
  </si>
  <si>
    <t>Items that will not be reclassified to Profit or Loss</t>
  </si>
  <si>
    <t>Income tax relating to above</t>
  </si>
  <si>
    <t>Items that will be reclassified to profit or loss</t>
  </si>
  <si>
    <t>Items that will be reclassified to Profit or Loss</t>
  </si>
  <si>
    <t>Total Other Comprehensive Income/(Loss )</t>
  </si>
  <si>
    <t>Total Comprehensive Income for the period / year</t>
  </si>
  <si>
    <t>Total Comprehensive Gain (Loss) For the Year</t>
  </si>
  <si>
    <t>Paid up Equity Share Capital ( face value 2 each )</t>
  </si>
  <si>
    <t>Paid-Up Equity Share Capital</t>
  </si>
  <si>
    <t>Reserves as shown in the Audited Balance Sheet</t>
  </si>
  <si>
    <t>Reserve excluding Revaluation Reserves (as per Balance Sheet of Previous Accounting Year)</t>
  </si>
  <si>
    <t>Earnings Per Share in Rs (of 2 each ) ( not annualised except for year ended March ):</t>
  </si>
  <si>
    <t>Basic</t>
  </si>
  <si>
    <t>Diluted</t>
  </si>
  <si>
    <t>Non current assets</t>
  </si>
  <si>
    <t>Property plant and equipment</t>
  </si>
  <si>
    <t>Property, Plant &amp; Equipment</t>
  </si>
  <si>
    <t>Capital work in progress</t>
  </si>
  <si>
    <t>Capital Work-In-Progress</t>
  </si>
  <si>
    <t>Intangible assets</t>
  </si>
  <si>
    <t>Other Intangible Assets</t>
  </si>
  <si>
    <t>Exploration intangible asset under development</t>
  </si>
  <si>
    <t>Intangible Assets Under Development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</si>
  <si>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</si>
  <si>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</si>
  <si>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</si>
  <si>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</si>
  <si>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</si>
  <si>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</si>
  <si>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</si>
  <si>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</si>
  <si>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Income tax assets</t>
  </si>
  <si>
    <t>Income Tax assets (net)</t>
  </si>
  <si>
    <t>Other non current assets</t>
  </si>
  <si>
    <t>Other Non-Current Assets</t>
  </si>
  <si>
    <t>Sub - total - Non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</si>
  <si>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</si>
  <si>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</si>
  <si>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</si>
  <si>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</si>
  <si>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</si>
  <si>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</si>
  <si>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</si>
  <si>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</si>
  <si>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</si>
  <si>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</si>
  <si>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</si>
  <si>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Sub - total - Current assets</t>
  </si>
  <si>
    <t>Total Current Assets</t>
  </si>
  <si>
    <t>Total -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</si>
  <si>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</si>
  <si>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</si>
  <si>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</si>
  <si>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</si>
  <si>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</si>
  <si>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</si>
  <si>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</si>
  <si>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Sub - total - Equity</t>
  </si>
  <si>
    <t>Total Share Holder's Funds</t>
  </si>
  <si>
    <t>Non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</si>
  <si>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</si>
  <si>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</si>
  <si>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</si>
  <si>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</si>
  <si>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</si>
  <si>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</si>
  <si>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</si>
  <si>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</si>
  <si>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</si>
  <si>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</si>
  <si>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current liabilities</t>
  </si>
  <si>
    <t>Other Non-Current Liabilities</t>
  </si>
  <si>
    <t>Sub - total - Non current liabilities</t>
  </si>
  <si>
    <t>Total Non-Current Liabilities</t>
  </si>
  <si>
    <t>Current liabilities</t>
  </si>
  <si>
    <t>Operational buyers ' Credit/ suppliers ' credit</t>
  </si>
  <si>
    <t>Minority Interest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</si>
  <si>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</si>
  <si>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</si>
  <si>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</si>
  <si>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</si>
  <si>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</si>
  <si>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</si>
  <si>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Current tax liabilities ( net )</t>
  </si>
  <si>
    <t>Current Tax Liabilities (Net)</t>
  </si>
  <si>
    <t>Sub - total - Current liabilities</t>
  </si>
  <si>
    <t>Total Field</t>
  </si>
  <si>
    <t>Total - Equity and Liabilities</t>
  </si>
  <si>
    <t>Total Equity And Liabilities</t>
  </si>
  <si>
    <t>Net profit before tax</t>
  </si>
  <si>
    <t>Net Profit Before Tax And Exceptional Item</t>
  </si>
  <si>
    <t>Adjustments to reconcile profit to net cash provided by operating activities :</t>
  </si>
  <si>
    <t>Others-Before Working Capital Changes</t>
  </si>
  <si>
    <t>Depreciation and amortization expense</t>
  </si>
  <si>
    <t>Depreciation and Amortisation Expense</t>
  </si>
  <si>
    <t>Interest Expense</t>
  </si>
  <si>
    <t>Interest and dividend income</t>
  </si>
  <si>
    <t>Foreign Exchange loss ( net )</t>
  </si>
  <si>
    <t>Foreign Exchange Gain / Loss</t>
  </si>
  <si>
    <t>Amortization of deferred revenue arising from government grant</t>
  </si>
  <si>
    <t>Others-Financing Activities</t>
  </si>
  <si>
    <t>Net loss on investments measured at FVTPL</t>
  </si>
  <si>
    <t>Profit On Sale Of Investments</t>
  </si>
  <si>
    <t>Net loss on sale of property plant and equipment</t>
  </si>
  <si>
    <t>Profit On Sale Of Fixed Assets</t>
  </si>
  <si>
    <t>Net ( gain ) on sale of financial asset investments</t>
  </si>
  <si>
    <t>Operating profit before working capital changes</t>
  </si>
  <si>
    <t>Operating Profit Before Working Capital Changes</t>
  </si>
  <si>
    <t>Working capital changes</t>
  </si>
  <si>
    <t>(Increase)/Decrease in Inventories</t>
  </si>
  <si>
    <t>(Increase) in Trade receivables</t>
  </si>
  <si>
    <t>Trade And Other Receivables</t>
  </si>
  <si>
    <t>(Increase) in Other current assets</t>
  </si>
  <si>
    <t>Other Current and Non Current Assets</t>
  </si>
  <si>
    <t>(Increase) in Other non current assets</t>
  </si>
  <si>
    <t>Increase in Trade payables</t>
  </si>
  <si>
    <t>Trade Payables And Others</t>
  </si>
  <si>
    <t>Increase in Supplier finance arrangement</t>
  </si>
  <si>
    <t>Other Current and Non Current Liabilities</t>
  </si>
  <si>
    <t>(Decrease)/ Increase in Other current liabilities</t>
  </si>
  <si>
    <t>Cash flows from operations</t>
  </si>
  <si>
    <t>Income taxes paid ( net of refund )</t>
  </si>
  <si>
    <t>Income Tax Paid</t>
  </si>
  <si>
    <t>Net cash flows from operating activities</t>
  </si>
  <si>
    <t>Net Cash Flow From Operating Activities</t>
  </si>
  <si>
    <t>CASH FLOW FROM INVESTING ACTIVITIES :</t>
  </si>
  <si>
    <t>Purchases of property plant and equipment (including intangibles CWIP and Capital Advances capital creditors )</t>
  </si>
  <si>
    <t>Purchase Of Fixed Assets (Tangible / Intangible)</t>
  </si>
  <si>
    <t>Interest received</t>
  </si>
  <si>
    <t>Deposits made during the period</t>
  </si>
  <si>
    <t>Fixed Deposits</t>
  </si>
  <si>
    <t>Deposits matured during the period</t>
  </si>
  <si>
    <t>Inter - corporate loans given</t>
  </si>
  <si>
    <t>Inter - corporate loans repaid</t>
  </si>
  <si>
    <t>Purchase of non current investments</t>
  </si>
  <si>
    <t>Purchase Of Investments</t>
  </si>
  <si>
    <t>Purchase of current investments</t>
  </si>
  <si>
    <t>Proceeds from sale of current investments</t>
  </si>
  <si>
    <t>Sale Of Investments</t>
  </si>
  <si>
    <t>Proceeds from sale of property plant and equipment</t>
  </si>
  <si>
    <t>Sale Of Fixed Assets (Tangible / Intangible)</t>
  </si>
  <si>
    <t>Net cash flows ( used in)/from investing activities</t>
  </si>
  <si>
    <t>Net Cash Flow From Investing Activities</t>
  </si>
  <si>
    <t>CASH FLOW FROM FINANCING ACTIVITIES :</t>
  </si>
  <si>
    <t>Interest and other finance charges paid</t>
  </si>
  <si>
    <t>Interest Paid</t>
  </si>
  <si>
    <t>Proceeds from short term borrowings</t>
  </si>
  <si>
    <t>Proceeds From Short Term Borrowings</t>
  </si>
  <si>
    <t>Repayment of short term borrowings</t>
  </si>
  <si>
    <t>(Repayments ) of working capital loan ( net )</t>
  </si>
  <si>
    <t>Proceeds from long term borrowings</t>
  </si>
  <si>
    <t>Proceeds From Long Term Borrowings</t>
  </si>
  <si>
    <t>Repayment of long term borrowings</t>
  </si>
  <si>
    <t>Repayment Of Long Term Borrowings</t>
  </si>
  <si>
    <t>Principal payment of lease liabilities</t>
  </si>
  <si>
    <t>Payments of lease liabilities</t>
  </si>
  <si>
    <t>Interest payment of lease liabilities</t>
  </si>
  <si>
    <t>Dividend paid</t>
  </si>
  <si>
    <t>Dividend Paid</t>
  </si>
  <si>
    <t>Net cash flows ( used in ) financing activities</t>
  </si>
  <si>
    <t>Net Cash Flow From Financing Activities</t>
  </si>
  <si>
    <t>Net ( decrease)/ increase in cash and cash equivalents</t>
  </si>
  <si>
    <t>Net increase (decrease) in cash and cash equivalents before effect of exchange rate changes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</si>
  <si>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</si>
  <si>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</si>
  <si>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</si>
  <si>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</si>
  <si>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Adjustments to reconcile profit to net cash from operating activities :</t>
  </si>
  <si>
    <t>Exceptional Item</t>
  </si>
  <si>
    <t>Increase in Trade receivables</t>
  </si>
  <si>
    <t>(Increase ) in Other current assets</t>
  </si>
  <si>
    <t>(Increase ) in Other non current assets</t>
  </si>
  <si>
    <t>Increase in supplier finance arragement</t>
  </si>
  <si>
    <t>Proceeds from Share Premium</t>
  </si>
  <si>
    <t>(Decrease)/Increase in Other liabilities</t>
  </si>
  <si>
    <t>Net ( decrease)/increase in cash and cash equivalents</t>
  </si>
  <si>
    <t>Profit before tax and exceptional items</t>
  </si>
  <si>
    <t>Exceptional items</t>
  </si>
  <si>
    <t>Earnings Per Share in ( of 2 each ) ( not annualised except for year ended March ):</t>
  </si>
  <si>
    <t>Exploration intangible assets under development</t>
  </si>
  <si>
    <t>Investments in joint venture</t>
  </si>
  <si>
    <t>Operational buyers Credit/ suppliers ' credit</t>
  </si>
  <si>
    <t>Correct</t>
  </si>
  <si>
    <t>Incorrect</t>
  </si>
  <si>
    <t>Accuracy %</t>
  </si>
  <si>
    <t>Status</t>
  </si>
  <si>
    <t>Correct Field Mapping</t>
  </si>
  <si>
    <t>Field id</t>
  </si>
  <si>
    <t>Gross Sales/Income from Operations</t>
  </si>
  <si>
    <t>The ‘Revenue from Operations’ field is not captured and has been added manually.</t>
  </si>
  <si>
    <t>Label</t>
  </si>
  <si>
    <t>Income Tax related to items that will not be reclassified to Profit or Loss</t>
  </si>
  <si>
    <t>Income Tax related to items that will be reclassified to Profit or Loss</t>
  </si>
  <si>
    <t>Basic EPS</t>
  </si>
  <si>
    <t>Diluted EPS</t>
  </si>
  <si>
    <t xml:space="preserve"> </t>
  </si>
  <si>
    <t>Loans Non-Current</t>
  </si>
  <si>
    <t>Current Investments</t>
  </si>
  <si>
    <t>Other Current Financial Assets</t>
  </si>
  <si>
    <t>Current Tax Assets (Net)</t>
  </si>
  <si>
    <t>Other Current Financial Liabilities</t>
  </si>
  <si>
    <t>Short-Term Provisions</t>
  </si>
  <si>
    <t>incorrect</t>
  </si>
  <si>
    <t>Loss On Sale Of Investments</t>
  </si>
  <si>
    <t>Loss On Sale Of Fixed Assets</t>
  </si>
  <si>
    <t>Inter Corporate Deposits</t>
  </si>
  <si>
    <t>Repayment Of Short Term Borrowings</t>
  </si>
  <si>
    <t>Interest Received</t>
  </si>
  <si>
    <t>ignore this field</t>
  </si>
  <si>
    <t>Net Profit/(Loss) for the Period</t>
  </si>
  <si>
    <t>Ignore this field</t>
  </si>
  <si>
    <t>Total 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</si>
</sst>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0" fillId="2" borderId="1" xfId="0" applyFill="1" applyBorder="1"/>
    <xf numFmtId="0" fontId="0" fillId="0" borderId="8" xfId="0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Normal="100" workbookViewId="0"/>
  </sheetViews>
  <sheetFormatPr defaultRowHeight="15" x14ac:dyDescent="0.25"/>
  <cols>
    <col min="1" max="1" width="50.7109375" customWidth="1"/>
    <col min="2" max="2" width="55.28515625" customWidth="1"/>
    <col min="3" max="3" width="14.42578125" customWidth="1"/>
    <col min="4" max="4" width="66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228</v>
      </c>
      <c r="D1" s="8" t="s">
        <v>229</v>
      </c>
      <c r="E1" s="9" t="s">
        <v>230</v>
      </c>
      <c r="G1" s="2" t="s">
        <v>225</v>
      </c>
      <c r="H1" s="3">
        <f>COUNTIF(C:C,G1)</f>
        <v>26</v>
      </c>
    </row>
    <row r="2" spans="1:8" x14ac:dyDescent="0.25">
      <c r="A2" s="10" t="s">
        <v>2</v>
      </c>
      <c r="B2" s="10"/>
      <c r="C2" s="10" t="s">
        <v>225</v>
      </c>
      <c r="D2" s="10"/>
      <c r="E2" s="10"/>
      <c r="G2" s="4" t="s">
        <v>226</v>
      </c>
      <c r="H2" s="5">
        <f>COUNTIF(C:C,G2)</f>
        <v>8</v>
      </c>
    </row>
    <row r="3" spans="1:8" ht="15.75" thickBot="1" x14ac:dyDescent="0.3">
      <c r="A3" s="11" t="s">
        <v>2</v>
      </c>
      <c r="B3" s="12"/>
      <c r="C3" s="12" t="s">
        <v>226</v>
      </c>
      <c r="D3" s="12" t="s">
        <v>231</v>
      </c>
      <c r="E3" s="12">
        <v>256</v>
      </c>
      <c r="F3" t="s">
        <v>232</v>
      </c>
      <c r="G3" s="6" t="s">
        <v>227</v>
      </c>
      <c r="H3" s="7">
        <f>H1/SUM(H1:H2)</f>
        <v>0.76470588235294112</v>
      </c>
    </row>
    <row r="4" spans="1:8" x14ac:dyDescent="0.25">
      <c r="A4" s="10" t="s">
        <v>4</v>
      </c>
      <c r="B4" s="10" t="s">
        <v>5</v>
      </c>
      <c r="C4" s="10" t="s">
        <v>225</v>
      </c>
      <c r="D4" s="10"/>
      <c r="E4" s="10"/>
    </row>
    <row r="5" spans="1:8" x14ac:dyDescent="0.25">
      <c r="A5" s="10" t="s">
        <v>6</v>
      </c>
      <c r="B5" s="10" t="s">
        <v>7</v>
      </c>
      <c r="C5" s="10" t="s">
        <v>225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225</v>
      </c>
      <c r="D6" s="10"/>
      <c r="E6" s="10"/>
    </row>
    <row r="7" spans="1:8" x14ac:dyDescent="0.25">
      <c r="A7" s="10" t="s">
        <v>10</v>
      </c>
      <c r="B7" s="10" t="s">
        <v>10</v>
      </c>
      <c r="C7" s="10" t="s">
        <v>225</v>
      </c>
      <c r="D7" s="10"/>
      <c r="E7" s="10"/>
    </row>
    <row r="8" spans="1:8" x14ac:dyDescent="0.25">
      <c r="A8" s="10" t="s">
        <v>11</v>
      </c>
      <c r="B8" s="10" t="s">
        <v>3</v>
      </c>
      <c r="C8" s="10" t="s">
        <v>225</v>
      </c>
      <c r="D8" s="10"/>
      <c r="E8" s="10"/>
    </row>
    <row r="9" spans="1:8" x14ac:dyDescent="0.25">
      <c r="A9" s="10" t="s">
        <v>12</v>
      </c>
      <c r="B9" s="10" t="s">
        <v>13</v>
      </c>
      <c r="C9" s="10" t="s">
        <v>225</v>
      </c>
      <c r="D9" s="10"/>
      <c r="E9" s="10"/>
    </row>
    <row r="10" spans="1:8" x14ac:dyDescent="0.25">
      <c r="A10" s="10" t="s">
        <v>14</v>
      </c>
      <c r="B10" s="10" t="s">
        <v>15</v>
      </c>
      <c r="C10" s="10" t="s">
        <v>225</v>
      </c>
      <c r="D10" s="10"/>
      <c r="E10" s="10"/>
    </row>
    <row r="11" spans="1:8" x14ac:dyDescent="0.25">
      <c r="A11" s="10" t="s">
        <v>16</v>
      </c>
      <c r="B11" s="10" t="s">
        <v>17</v>
      </c>
      <c r="C11" s="10" t="s">
        <v>225</v>
      </c>
      <c r="D11" s="10"/>
      <c r="E11" s="10"/>
    </row>
    <row r="12" spans="1:8" x14ac:dyDescent="0.25">
      <c r="A12" s="10" t="s">
        <v>18</v>
      </c>
      <c r="B12" s="10" t="s">
        <v>19</v>
      </c>
      <c r="C12" s="10" t="s">
        <v>225</v>
      </c>
      <c r="D12" s="10"/>
      <c r="E12" s="10"/>
    </row>
    <row r="13" spans="1:8" x14ac:dyDescent="0.25">
      <c r="A13" s="10" t="s">
        <v>20</v>
      </c>
      <c r="B13" s="10" t="s">
        <v>21</v>
      </c>
      <c r="C13" s="10" t="s">
        <v>226</v>
      </c>
      <c r="D13" s="10" t="s">
        <v>25</v>
      </c>
      <c r="E13" s="13">
        <v>279</v>
      </c>
    </row>
    <row r="14" spans="1:8" x14ac:dyDescent="0.25">
      <c r="A14" s="10" t="s">
        <v>22</v>
      </c>
      <c r="B14" s="10" t="s">
        <v>23</v>
      </c>
      <c r="C14" s="10" t="s">
        <v>225</v>
      </c>
      <c r="D14" s="10"/>
      <c r="E14" s="10"/>
    </row>
    <row r="15" spans="1:8" x14ac:dyDescent="0.25">
      <c r="A15" s="10" t="s">
        <v>24</v>
      </c>
      <c r="B15" s="10" t="s">
        <v>25</v>
      </c>
      <c r="C15" s="10" t="s">
        <v>225</v>
      </c>
      <c r="D15" s="10"/>
      <c r="E15" s="10"/>
    </row>
    <row r="16" spans="1:8" x14ac:dyDescent="0.25">
      <c r="A16" s="10" t="s">
        <v>26</v>
      </c>
      <c r="B16" s="10" t="s">
        <v>27</v>
      </c>
      <c r="C16" s="10" t="s">
        <v>225</v>
      </c>
      <c r="D16" s="10"/>
      <c r="E16" s="10"/>
    </row>
    <row r="17" spans="1:5" x14ac:dyDescent="0.25">
      <c r="A17" s="10" t="s">
        <v>28</v>
      </c>
      <c r="B17" s="10" t="s">
        <v>29</v>
      </c>
      <c r="C17" s="10" t="s">
        <v>225</v>
      </c>
      <c r="D17" s="10"/>
      <c r="E17" s="10"/>
    </row>
    <row r="18" spans="1:5" x14ac:dyDescent="0.25">
      <c r="A18" s="10" t="s">
        <v>30</v>
      </c>
      <c r="B18" s="10" t="s">
        <v>31</v>
      </c>
      <c r="C18" s="10" t="s">
        <v>225</v>
      </c>
      <c r="D18" s="10"/>
      <c r="E18" s="10"/>
    </row>
    <row r="19" spans="1:5" x14ac:dyDescent="0.25">
      <c r="A19" s="10" t="s">
        <v>32</v>
      </c>
      <c r="B19" s="10" t="s">
        <v>33</v>
      </c>
      <c r="C19" s="10" t="s">
        <v>225</v>
      </c>
      <c r="D19" s="10"/>
      <c r="E19" s="10"/>
    </row>
    <row r="20" spans="1:5" x14ac:dyDescent="0.25">
      <c r="A20" s="10" t="s">
        <v>34</v>
      </c>
      <c r="B20" s="10" t="s">
        <v>3</v>
      </c>
      <c r="C20" s="10" t="s">
        <v>225</v>
      </c>
      <c r="D20" s="10"/>
      <c r="E20" s="10"/>
    </row>
    <row r="21" spans="1:5" x14ac:dyDescent="0.25">
      <c r="A21" s="10" t="s">
        <v>35</v>
      </c>
      <c r="B21" s="10" t="s">
        <v>34</v>
      </c>
      <c r="C21" s="10" t="s">
        <v>225</v>
      </c>
      <c r="D21" s="10"/>
      <c r="E21" s="10"/>
    </row>
    <row r="22" spans="1:5" x14ac:dyDescent="0.25">
      <c r="A22" s="10" t="s">
        <v>36</v>
      </c>
      <c r="B22" s="10" t="s">
        <v>37</v>
      </c>
      <c r="C22" s="10" t="s">
        <v>225</v>
      </c>
      <c r="D22" s="10"/>
      <c r="E22" s="10"/>
    </row>
    <row r="23" spans="1:5" x14ac:dyDescent="0.25">
      <c r="A23" s="10" t="s">
        <v>38</v>
      </c>
      <c r="B23" s="10" t="s">
        <v>3</v>
      </c>
      <c r="C23" s="10"/>
      <c r="D23" s="10" t="s">
        <v>251</v>
      </c>
      <c r="E23" s="10"/>
    </row>
    <row r="24" spans="1:5" x14ac:dyDescent="0.25">
      <c r="A24" s="10" t="s">
        <v>39</v>
      </c>
      <c r="B24" s="10" t="s">
        <v>3</v>
      </c>
      <c r="C24" s="10" t="s">
        <v>226</v>
      </c>
      <c r="D24" s="15" t="s">
        <v>252</v>
      </c>
      <c r="E24" s="16">
        <v>269</v>
      </c>
    </row>
    <row r="25" spans="1:5" x14ac:dyDescent="0.25">
      <c r="A25" s="10" t="s">
        <v>40</v>
      </c>
      <c r="B25" s="10" t="s">
        <v>41</v>
      </c>
      <c r="C25" s="10" t="s">
        <v>226</v>
      </c>
      <c r="D25" s="10" t="s">
        <v>233</v>
      </c>
      <c r="E25" s="10"/>
    </row>
    <row r="26" spans="1:5" x14ac:dyDescent="0.25">
      <c r="A26" s="10" t="s">
        <v>42</v>
      </c>
      <c r="B26" s="10" t="s">
        <v>43</v>
      </c>
      <c r="C26" s="10" t="s">
        <v>225</v>
      </c>
      <c r="D26" s="10"/>
      <c r="E26" s="10"/>
    </row>
    <row r="27" spans="1:5" x14ac:dyDescent="0.25">
      <c r="A27" s="10" t="s">
        <v>44</v>
      </c>
      <c r="B27" s="10" t="s">
        <v>3</v>
      </c>
      <c r="C27" s="10" t="s">
        <v>226</v>
      </c>
      <c r="D27" s="10" t="s">
        <v>234</v>
      </c>
      <c r="E27" s="13">
        <v>22295</v>
      </c>
    </row>
    <row r="28" spans="1:5" x14ac:dyDescent="0.25">
      <c r="A28" s="10" t="s">
        <v>45</v>
      </c>
      <c r="B28" s="10" t="s">
        <v>46</v>
      </c>
      <c r="C28" s="10" t="s">
        <v>225</v>
      </c>
      <c r="D28" s="10"/>
      <c r="E28" s="10"/>
    </row>
    <row r="29" spans="1:5" x14ac:dyDescent="0.25">
      <c r="A29" s="10" t="s">
        <v>44</v>
      </c>
      <c r="B29" s="10" t="s">
        <v>3</v>
      </c>
      <c r="C29" s="10" t="s">
        <v>226</v>
      </c>
      <c r="D29" s="10" t="s">
        <v>235</v>
      </c>
      <c r="E29" s="13">
        <v>22296</v>
      </c>
    </row>
    <row r="30" spans="1:5" x14ac:dyDescent="0.25">
      <c r="A30" s="10" t="s">
        <v>47</v>
      </c>
      <c r="B30" s="10" t="s">
        <v>41</v>
      </c>
      <c r="C30" s="10" t="s">
        <v>225</v>
      </c>
      <c r="D30" s="10"/>
      <c r="E30" s="10"/>
    </row>
    <row r="31" spans="1:5" x14ac:dyDescent="0.25">
      <c r="A31" s="10" t="s">
        <v>48</v>
      </c>
      <c r="B31" s="10" t="s">
        <v>49</v>
      </c>
      <c r="C31" s="10" t="s">
        <v>225</v>
      </c>
      <c r="D31" s="10"/>
      <c r="E31" s="10"/>
    </row>
    <row r="32" spans="1:5" x14ac:dyDescent="0.25">
      <c r="A32" s="10" t="s">
        <v>50</v>
      </c>
      <c r="B32" s="10" t="s">
        <v>51</v>
      </c>
      <c r="C32" s="10" t="s">
        <v>225</v>
      </c>
      <c r="D32" s="10"/>
      <c r="E32" s="10"/>
    </row>
    <row r="33" spans="1:5" x14ac:dyDescent="0.25">
      <c r="A33" s="10" t="s">
        <v>52</v>
      </c>
      <c r="B33" s="10" t="s">
        <v>53</v>
      </c>
      <c r="C33" s="10" t="s">
        <v>225</v>
      </c>
      <c r="D33" s="10"/>
      <c r="E33" s="10"/>
    </row>
    <row r="34" spans="1:5" x14ac:dyDescent="0.25">
      <c r="A34" s="10" t="s">
        <v>54</v>
      </c>
      <c r="B34" s="10" t="s">
        <v>3</v>
      </c>
      <c r="C34" s="10" t="s">
        <v>225</v>
      </c>
      <c r="D34" s="10"/>
      <c r="E34" s="10"/>
    </row>
    <row r="35" spans="1:5" x14ac:dyDescent="0.25">
      <c r="A35" s="10" t="s">
        <v>55</v>
      </c>
      <c r="B35" s="10" t="s">
        <v>3</v>
      </c>
      <c r="C35" s="10" t="s">
        <v>226</v>
      </c>
      <c r="D35" s="10" t="s">
        <v>236</v>
      </c>
      <c r="E35" s="13">
        <v>222</v>
      </c>
    </row>
    <row r="36" spans="1:5" x14ac:dyDescent="0.25">
      <c r="A36" s="10" t="s">
        <v>56</v>
      </c>
      <c r="B36" s="10" t="s">
        <v>3</v>
      </c>
      <c r="C36" s="10" t="s">
        <v>226</v>
      </c>
      <c r="D36" s="10" t="s">
        <v>237</v>
      </c>
      <c r="E36" s="1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zoomScaleNormal="100" workbookViewId="0"/>
  </sheetViews>
  <sheetFormatPr defaultRowHeight="15" x14ac:dyDescent="0.25"/>
  <cols>
    <col min="1" max="1" width="46.140625" customWidth="1"/>
    <col min="2" max="2" width="63.7109375" customWidth="1"/>
    <col min="3" max="3" width="8.85546875" bestFit="1" customWidth="1"/>
    <col min="4" max="4" width="41.4257812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228</v>
      </c>
      <c r="D1" s="8" t="s">
        <v>229</v>
      </c>
      <c r="E1" s="9" t="s">
        <v>230</v>
      </c>
      <c r="G1" s="2" t="s">
        <v>225</v>
      </c>
      <c r="H1" s="3">
        <f>COUNTIF(C:C,G1)</f>
        <v>26</v>
      </c>
    </row>
    <row r="2" spans="1:8" x14ac:dyDescent="0.25">
      <c r="A2" s="10" t="s">
        <v>2</v>
      </c>
      <c r="B2" s="10" t="s">
        <v>3</v>
      </c>
      <c r="C2" s="10" t="s">
        <v>225</v>
      </c>
      <c r="D2" s="10"/>
      <c r="E2" s="10"/>
      <c r="G2" s="4" t="s">
        <v>226</v>
      </c>
      <c r="H2" s="5">
        <f>COUNTIF(C:C,G2)</f>
        <v>8</v>
      </c>
    </row>
    <row r="3" spans="1:8" ht="15.75" thickBot="1" x14ac:dyDescent="0.3">
      <c r="A3" s="11" t="s">
        <v>2</v>
      </c>
      <c r="B3" s="12"/>
      <c r="C3" s="12" t="s">
        <v>226</v>
      </c>
      <c r="D3" s="12" t="s">
        <v>231</v>
      </c>
      <c r="E3" s="12">
        <v>256</v>
      </c>
      <c r="F3" t="s">
        <v>232</v>
      </c>
      <c r="G3" s="6" t="s">
        <v>227</v>
      </c>
      <c r="H3" s="7">
        <f>H1/SUM(H1:H2)</f>
        <v>0.76470588235294112</v>
      </c>
    </row>
    <row r="4" spans="1:8" x14ac:dyDescent="0.25">
      <c r="A4" s="10" t="s">
        <v>4</v>
      </c>
      <c r="B4" s="10" t="s">
        <v>5</v>
      </c>
      <c r="C4" s="10" t="s">
        <v>225</v>
      </c>
      <c r="D4" s="10"/>
      <c r="E4" s="10"/>
    </row>
    <row r="5" spans="1:8" x14ac:dyDescent="0.25">
      <c r="A5" s="10" t="s">
        <v>6</v>
      </c>
      <c r="B5" s="10" t="s">
        <v>7</v>
      </c>
      <c r="C5" s="10" t="s">
        <v>225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225</v>
      </c>
      <c r="D6" s="10"/>
      <c r="E6" s="10"/>
    </row>
    <row r="7" spans="1:8" x14ac:dyDescent="0.25">
      <c r="A7" s="10" t="s">
        <v>10</v>
      </c>
      <c r="B7" s="10" t="s">
        <v>10</v>
      </c>
      <c r="C7" s="10" t="s">
        <v>225</v>
      </c>
      <c r="D7" s="10"/>
      <c r="E7" s="10"/>
    </row>
    <row r="8" spans="1:8" x14ac:dyDescent="0.25">
      <c r="A8" s="10" t="s">
        <v>11</v>
      </c>
      <c r="B8" s="10" t="s">
        <v>3</v>
      </c>
      <c r="C8" s="10" t="s">
        <v>225</v>
      </c>
      <c r="D8" s="10"/>
      <c r="E8" s="10"/>
    </row>
    <row r="9" spans="1:8" x14ac:dyDescent="0.25">
      <c r="A9" s="10" t="s">
        <v>12</v>
      </c>
      <c r="B9" s="10" t="s">
        <v>13</v>
      </c>
      <c r="C9" s="10" t="s">
        <v>225</v>
      </c>
      <c r="D9" s="10"/>
      <c r="E9" s="10"/>
    </row>
    <row r="10" spans="1:8" x14ac:dyDescent="0.25">
      <c r="A10" s="10" t="s">
        <v>14</v>
      </c>
      <c r="B10" s="10" t="s">
        <v>15</v>
      </c>
      <c r="C10" s="10" t="s">
        <v>225</v>
      </c>
      <c r="D10" s="10"/>
      <c r="E10" s="10"/>
    </row>
    <row r="11" spans="1:8" x14ac:dyDescent="0.25">
      <c r="A11" s="10" t="s">
        <v>16</v>
      </c>
      <c r="B11" s="10" t="s">
        <v>17</v>
      </c>
      <c r="C11" s="10" t="s">
        <v>225</v>
      </c>
      <c r="D11" s="10"/>
      <c r="E11" s="10"/>
    </row>
    <row r="12" spans="1:8" x14ac:dyDescent="0.25">
      <c r="A12" s="10" t="s">
        <v>18</v>
      </c>
      <c r="B12" s="10" t="s">
        <v>19</v>
      </c>
      <c r="C12" s="10" t="s">
        <v>225</v>
      </c>
      <c r="D12" s="10"/>
      <c r="E12" s="10"/>
    </row>
    <row r="13" spans="1:8" x14ac:dyDescent="0.25">
      <c r="A13" s="10" t="s">
        <v>20</v>
      </c>
      <c r="B13" s="10" t="s">
        <v>21</v>
      </c>
      <c r="C13" s="10" t="s">
        <v>226</v>
      </c>
      <c r="D13" s="10" t="s">
        <v>25</v>
      </c>
      <c r="E13" s="13">
        <v>279</v>
      </c>
    </row>
    <row r="14" spans="1:8" x14ac:dyDescent="0.25">
      <c r="A14" s="10" t="s">
        <v>22</v>
      </c>
      <c r="B14" s="10" t="s">
        <v>23</v>
      </c>
      <c r="C14" s="10" t="s">
        <v>225</v>
      </c>
      <c r="D14" s="10"/>
      <c r="E14" s="10"/>
    </row>
    <row r="15" spans="1:8" x14ac:dyDescent="0.25">
      <c r="A15" s="10" t="s">
        <v>24</v>
      </c>
      <c r="B15" s="10" t="s">
        <v>25</v>
      </c>
      <c r="C15" s="10" t="s">
        <v>225</v>
      </c>
      <c r="D15" s="10"/>
      <c r="E15" s="10"/>
    </row>
    <row r="16" spans="1:8" x14ac:dyDescent="0.25">
      <c r="A16" s="10" t="s">
        <v>26</v>
      </c>
      <c r="B16" s="10" t="s">
        <v>27</v>
      </c>
      <c r="C16" s="10" t="s">
        <v>225</v>
      </c>
      <c r="D16" s="10"/>
      <c r="E16" s="10"/>
    </row>
    <row r="17" spans="1:5" x14ac:dyDescent="0.25">
      <c r="A17" s="10" t="s">
        <v>219</v>
      </c>
      <c r="B17" s="10" t="s">
        <v>29</v>
      </c>
      <c r="C17" s="10" t="s">
        <v>225</v>
      </c>
      <c r="D17" s="10"/>
      <c r="E17" s="10"/>
    </row>
    <row r="18" spans="1:5" x14ac:dyDescent="0.25">
      <c r="A18" s="10" t="s">
        <v>220</v>
      </c>
      <c r="B18" s="10" t="s">
        <v>31</v>
      </c>
      <c r="C18" s="10" t="s">
        <v>225</v>
      </c>
      <c r="D18" s="10"/>
      <c r="E18" s="10"/>
    </row>
    <row r="19" spans="1:5" x14ac:dyDescent="0.25">
      <c r="A19" s="10" t="s">
        <v>32</v>
      </c>
      <c r="B19" s="10" t="s">
        <v>33</v>
      </c>
      <c r="C19" s="10" t="s">
        <v>225</v>
      </c>
      <c r="D19" s="10"/>
      <c r="E19" s="10"/>
    </row>
    <row r="20" spans="1:5" x14ac:dyDescent="0.25">
      <c r="A20" s="10" t="s">
        <v>34</v>
      </c>
      <c r="B20" s="10" t="s">
        <v>3</v>
      </c>
      <c r="C20" s="10" t="s">
        <v>225</v>
      </c>
      <c r="D20" s="10"/>
      <c r="E20" s="10"/>
    </row>
    <row r="21" spans="1:5" x14ac:dyDescent="0.25">
      <c r="A21" s="10" t="s">
        <v>35</v>
      </c>
      <c r="B21" s="10" t="s">
        <v>34</v>
      </c>
      <c r="C21" s="10" t="s">
        <v>225</v>
      </c>
      <c r="D21" s="10"/>
      <c r="E21" s="10"/>
    </row>
    <row r="22" spans="1:5" x14ac:dyDescent="0.25">
      <c r="A22" s="10" t="s">
        <v>36</v>
      </c>
      <c r="B22" s="10" t="s">
        <v>37</v>
      </c>
      <c r="C22" s="10" t="s">
        <v>225</v>
      </c>
      <c r="D22" s="10"/>
      <c r="E22" s="10"/>
    </row>
    <row r="23" spans="1:5" x14ac:dyDescent="0.25">
      <c r="A23" s="10" t="s">
        <v>38</v>
      </c>
      <c r="B23" s="10" t="s">
        <v>3</v>
      </c>
      <c r="C23" s="10"/>
      <c r="D23" s="10" t="s">
        <v>253</v>
      </c>
      <c r="E23" s="10"/>
    </row>
    <row r="24" spans="1:5" x14ac:dyDescent="0.25">
      <c r="A24" s="10" t="s">
        <v>39</v>
      </c>
      <c r="B24" s="10" t="s">
        <v>3</v>
      </c>
      <c r="C24" s="10" t="s">
        <v>226</v>
      </c>
      <c r="D24" s="15" t="s">
        <v>252</v>
      </c>
      <c r="E24" s="16">
        <v>269</v>
      </c>
    </row>
    <row r="25" spans="1:5" x14ac:dyDescent="0.25">
      <c r="A25" s="10" t="s">
        <v>40</v>
      </c>
      <c r="B25" s="10" t="s">
        <v>41</v>
      </c>
      <c r="C25" s="10" t="s">
        <v>226</v>
      </c>
      <c r="D25" s="10" t="s">
        <v>233</v>
      </c>
      <c r="E25" s="10"/>
    </row>
    <row r="26" spans="1:5" ht="15" customHeight="1" x14ac:dyDescent="0.25">
      <c r="A26" s="10" t="s">
        <v>42</v>
      </c>
      <c r="B26" s="10" t="s">
        <v>43</v>
      </c>
      <c r="C26" s="10" t="s">
        <v>225</v>
      </c>
      <c r="D26" s="10"/>
      <c r="E26" s="10"/>
    </row>
    <row r="27" spans="1:5" x14ac:dyDescent="0.25">
      <c r="A27" s="10" t="s">
        <v>44</v>
      </c>
      <c r="B27" s="10" t="s">
        <v>3</v>
      </c>
      <c r="C27" s="10" t="s">
        <v>226</v>
      </c>
      <c r="D27" s="10" t="s">
        <v>234</v>
      </c>
      <c r="E27" s="13">
        <v>22295</v>
      </c>
    </row>
    <row r="28" spans="1:5" x14ac:dyDescent="0.25">
      <c r="A28" s="10" t="s">
        <v>45</v>
      </c>
      <c r="B28" s="10" t="s">
        <v>46</v>
      </c>
      <c r="C28" s="10" t="s">
        <v>225</v>
      </c>
      <c r="D28" s="10"/>
      <c r="E28" s="10"/>
    </row>
    <row r="29" spans="1:5" x14ac:dyDescent="0.25">
      <c r="A29" s="10" t="s">
        <v>44</v>
      </c>
      <c r="B29" s="10" t="s">
        <v>3</v>
      </c>
      <c r="C29" s="10" t="s">
        <v>226</v>
      </c>
      <c r="D29" s="10" t="s">
        <v>235</v>
      </c>
      <c r="E29" s="13">
        <v>22296</v>
      </c>
    </row>
    <row r="30" spans="1:5" x14ac:dyDescent="0.25">
      <c r="A30" s="10" t="s">
        <v>47</v>
      </c>
      <c r="B30" s="10" t="s">
        <v>41</v>
      </c>
      <c r="C30" s="10" t="s">
        <v>225</v>
      </c>
      <c r="D30" s="10"/>
      <c r="E30" s="10"/>
    </row>
    <row r="31" spans="1:5" x14ac:dyDescent="0.25">
      <c r="A31" s="10" t="s">
        <v>48</v>
      </c>
      <c r="B31" s="10" t="s">
        <v>49</v>
      </c>
      <c r="C31" s="10" t="s">
        <v>225</v>
      </c>
      <c r="D31" s="10"/>
      <c r="E31" s="10"/>
    </row>
    <row r="32" spans="1:5" x14ac:dyDescent="0.25">
      <c r="A32" s="10" t="s">
        <v>50</v>
      </c>
      <c r="B32" s="10" t="s">
        <v>51</v>
      </c>
      <c r="C32" s="10" t="s">
        <v>225</v>
      </c>
      <c r="D32" s="10"/>
      <c r="E32" s="10"/>
    </row>
    <row r="33" spans="1:5" x14ac:dyDescent="0.25">
      <c r="A33" s="10" t="s">
        <v>52</v>
      </c>
      <c r="B33" s="10" t="s">
        <v>53</v>
      </c>
      <c r="C33" s="10" t="s">
        <v>225</v>
      </c>
      <c r="D33" s="10"/>
      <c r="E33" s="10"/>
    </row>
    <row r="34" spans="1:5" x14ac:dyDescent="0.25">
      <c r="A34" s="10" t="s">
        <v>221</v>
      </c>
      <c r="B34" s="10" t="s">
        <v>3</v>
      </c>
      <c r="C34" s="10" t="s">
        <v>225</v>
      </c>
      <c r="D34" s="10"/>
      <c r="E34" s="10"/>
    </row>
    <row r="35" spans="1:5" x14ac:dyDescent="0.25">
      <c r="A35" s="10" t="s">
        <v>55</v>
      </c>
      <c r="B35" s="10" t="s">
        <v>3</v>
      </c>
      <c r="C35" s="10" t="s">
        <v>226</v>
      </c>
      <c r="D35" s="10" t="s">
        <v>236</v>
      </c>
      <c r="E35" s="13">
        <v>222</v>
      </c>
    </row>
    <row r="36" spans="1:5" x14ac:dyDescent="0.25">
      <c r="A36" s="10" t="s">
        <v>56</v>
      </c>
      <c r="B36" s="10" t="s">
        <v>3</v>
      </c>
      <c r="C36" s="10" t="s">
        <v>226</v>
      </c>
      <c r="D36" s="10" t="s">
        <v>237</v>
      </c>
      <c r="E36" s="1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zoomScaleNormal="100" workbookViewId="0"/>
  </sheetViews>
  <sheetFormatPr defaultRowHeight="15" x14ac:dyDescent="0.25"/>
  <cols>
    <col min="1" max="1" width="46.42578125" customWidth="1"/>
    <col min="2" max="2" width="43" bestFit="1" customWidth="1"/>
    <col min="3" max="3" width="8.85546875" bestFit="1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228</v>
      </c>
      <c r="D1" s="8" t="s">
        <v>229</v>
      </c>
      <c r="E1" s="9" t="s">
        <v>230</v>
      </c>
      <c r="G1" s="2" t="s">
        <v>225</v>
      </c>
      <c r="H1" s="3">
        <f>COUNTIF(C:C,G1)</f>
        <v>45</v>
      </c>
    </row>
    <row r="2" spans="1:8" x14ac:dyDescent="0.25">
      <c r="A2" s="10" t="s">
        <v>57</v>
      </c>
      <c r="B2" s="10" t="s">
        <v>3</v>
      </c>
      <c r="C2" s="10" t="s">
        <v>225</v>
      </c>
      <c r="D2" s="10"/>
      <c r="E2" s="10"/>
      <c r="G2" s="4" t="s">
        <v>226</v>
      </c>
      <c r="H2" s="5">
        <f>COUNTIF(C:C,G2)</f>
        <v>9</v>
      </c>
    </row>
    <row r="3" spans="1:8" ht="15.75" thickBot="1" x14ac:dyDescent="0.3">
      <c r="A3" s="10" t="s">
        <v>58</v>
      </c>
      <c r="B3" s="10" t="s">
        <v>59</v>
      </c>
      <c r="C3" s="10" t="s">
        <v>225</v>
      </c>
      <c r="D3" s="10"/>
      <c r="E3" s="10"/>
      <c r="G3" s="6" t="s">
        <v>227</v>
      </c>
      <c r="H3" s="7">
        <f>H1/SUM(H1:H2)</f>
        <v>0.83333333333333337</v>
      </c>
    </row>
    <row r="4" spans="1:8" x14ac:dyDescent="0.25">
      <c r="A4" s="10" t="s">
        <v>60</v>
      </c>
      <c r="B4" s="10" t="s">
        <v>61</v>
      </c>
      <c r="C4" s="10" t="s">
        <v>225</v>
      </c>
      <c r="D4" s="10"/>
      <c r="E4" s="10"/>
    </row>
    <row r="5" spans="1:8" x14ac:dyDescent="0.25">
      <c r="A5" s="10" t="s">
        <v>62</v>
      </c>
      <c r="B5" s="10" t="s">
        <v>63</v>
      </c>
      <c r="C5" s="10" t="s">
        <v>226</v>
      </c>
      <c r="D5" s="10" t="s">
        <v>233</v>
      </c>
      <c r="E5" s="10"/>
    </row>
    <row r="6" spans="1:8" x14ac:dyDescent="0.25">
      <c r="A6" s="10" t="s">
        <v>64</v>
      </c>
      <c r="B6" s="10" t="s">
        <v>65</v>
      </c>
      <c r="C6" s="10" t="s">
        <v>225</v>
      </c>
      <c r="D6" s="10"/>
      <c r="E6" s="10"/>
    </row>
    <row r="7" spans="1:8" x14ac:dyDescent="0.25">
      <c r="A7" s="10" t="s">
        <v>66</v>
      </c>
      <c r="B7" s="10" t="s">
        <v>63</v>
      </c>
      <c r="C7" s="10" t="s">
        <v>225</v>
      </c>
      <c r="D7" s="10"/>
      <c r="E7" s="10"/>
    </row>
    <row r="8" spans="1:8" x14ac:dyDescent="0.25">
      <c r="A8" s="10" t="s">
        <v>67</v>
      </c>
      <c r="B8" s="10" t="s">
        <v>3</v>
      </c>
      <c r="C8" s="10" t="s">
        <v>225</v>
      </c>
      <c r="D8" s="10"/>
      <c r="E8" s="10"/>
    </row>
    <row r="9" spans="1:8" x14ac:dyDescent="0.25">
      <c r="A9" s="10" t="s">
        <v>68</v>
      </c>
      <c r="B9" s="10" t="s">
        <v>69</v>
      </c>
      <c r="C9" s="10" t="s">
        <v>225</v>
      </c>
      <c r="D9" s="10"/>
      <c r="E9" s="10"/>
    </row>
    <row r="10" spans="1:8" x14ac:dyDescent="0.25">
      <c r="A10" s="10" t="s">
        <v>70</v>
      </c>
      <c r="B10" s="10" t="s">
        <v>71</v>
      </c>
      <c r="C10" s="10" t="s">
        <v>226</v>
      </c>
      <c r="D10" s="10" t="s">
        <v>239</v>
      </c>
      <c r="E10" s="13">
        <v>20217</v>
      </c>
    </row>
    <row r="11" spans="1:8" x14ac:dyDescent="0.25">
      <c r="A11" s="10" t="s">
        <v>72</v>
      </c>
      <c r="B11" s="10" t="s">
        <v>73</v>
      </c>
      <c r="C11" s="10" t="s">
        <v>225</v>
      </c>
      <c r="D11" s="10"/>
      <c r="E11" s="10"/>
    </row>
    <row r="12" spans="1:8" x14ac:dyDescent="0.25">
      <c r="A12" s="10" t="s">
        <v>74</v>
      </c>
      <c r="B12" s="10" t="s">
        <v>75</v>
      </c>
      <c r="C12" s="10" t="s">
        <v>225</v>
      </c>
      <c r="D12" s="10"/>
      <c r="E12" s="10"/>
    </row>
    <row r="13" spans="1:8" x14ac:dyDescent="0.25">
      <c r="A13" s="10" t="s">
        <v>76</v>
      </c>
      <c r="B13" s="10" t="s">
        <v>77</v>
      </c>
      <c r="C13" s="10" t="s">
        <v>225</v>
      </c>
      <c r="D13" s="10"/>
      <c r="E13" s="10"/>
    </row>
    <row r="14" spans="1:8" x14ac:dyDescent="0.25">
      <c r="A14" s="10" t="s">
        <v>78</v>
      </c>
      <c r="B14" s="10" t="s">
        <v>79</v>
      </c>
      <c r="C14" s="10" t="s">
        <v>225</v>
      </c>
      <c r="D14" s="10"/>
      <c r="E14" s="10"/>
    </row>
    <row r="15" spans="1:8" x14ac:dyDescent="0.25">
      <c r="A15" s="10" t="s">
        <v>80</v>
      </c>
      <c r="B15" s="10" t="s">
        <v>3</v>
      </c>
      <c r="C15" s="10" t="s">
        <v>225</v>
      </c>
      <c r="D15" s="10"/>
      <c r="E15" s="10"/>
    </row>
    <row r="16" spans="1:8" x14ac:dyDescent="0.25">
      <c r="A16" s="10" t="s">
        <v>81</v>
      </c>
      <c r="B16" s="10" t="s">
        <v>81</v>
      </c>
      <c r="C16" s="10" t="s">
        <v>225</v>
      </c>
      <c r="D16" s="10"/>
      <c r="E16" s="10"/>
    </row>
    <row r="17" spans="1:5" x14ac:dyDescent="0.25">
      <c r="A17" s="10" t="s">
        <v>67</v>
      </c>
      <c r="B17" s="10" t="s">
        <v>3</v>
      </c>
      <c r="C17" s="10" t="s">
        <v>225</v>
      </c>
      <c r="D17" s="10"/>
      <c r="E17" s="10"/>
    </row>
    <row r="18" spans="1:5" x14ac:dyDescent="0.25">
      <c r="A18" s="10" t="s">
        <v>68</v>
      </c>
      <c r="B18" s="10" t="s">
        <v>69</v>
      </c>
      <c r="C18" s="10" t="s">
        <v>226</v>
      </c>
      <c r="D18" s="10" t="s">
        <v>240</v>
      </c>
      <c r="E18" s="13">
        <v>13724</v>
      </c>
    </row>
    <row r="19" spans="1:5" x14ac:dyDescent="0.25">
      <c r="A19" s="10" t="s">
        <v>82</v>
      </c>
      <c r="B19" s="10" t="s">
        <v>83</v>
      </c>
      <c r="C19" s="10" t="s">
        <v>225</v>
      </c>
      <c r="D19" s="10" t="s">
        <v>83</v>
      </c>
      <c r="E19" s="13">
        <v>13780</v>
      </c>
    </row>
    <row r="20" spans="1:5" x14ac:dyDescent="0.25">
      <c r="A20" s="10" t="s">
        <v>84</v>
      </c>
      <c r="B20" s="10" t="s">
        <v>85</v>
      </c>
      <c r="C20" s="10" t="s">
        <v>225</v>
      </c>
      <c r="D20" s="10"/>
      <c r="E20" s="10"/>
    </row>
    <row r="21" spans="1:5" x14ac:dyDescent="0.25">
      <c r="A21" s="10" t="s">
        <v>86</v>
      </c>
      <c r="B21" s="10" t="s">
        <v>87</v>
      </c>
      <c r="C21" s="10" t="s">
        <v>225</v>
      </c>
      <c r="D21" s="10"/>
      <c r="E21" s="10"/>
    </row>
    <row r="22" spans="1:5" x14ac:dyDescent="0.25">
      <c r="A22" s="10" t="s">
        <v>70</v>
      </c>
      <c r="B22" s="10" t="s">
        <v>71</v>
      </c>
      <c r="C22" s="10" t="s">
        <v>225</v>
      </c>
      <c r="D22" s="10"/>
      <c r="E22" s="10"/>
    </row>
    <row r="23" spans="1:5" x14ac:dyDescent="0.25">
      <c r="A23" s="10" t="s">
        <v>72</v>
      </c>
      <c r="B23" s="10" t="s">
        <v>73</v>
      </c>
      <c r="C23" s="10" t="s">
        <v>226</v>
      </c>
      <c r="D23" s="10" t="s">
        <v>241</v>
      </c>
      <c r="E23" s="13">
        <v>20231</v>
      </c>
    </row>
    <row r="24" spans="1:5" x14ac:dyDescent="0.25">
      <c r="A24" s="10" t="s">
        <v>74</v>
      </c>
      <c r="B24" s="10" t="s">
        <v>75</v>
      </c>
      <c r="C24" s="10" t="s">
        <v>226</v>
      </c>
      <c r="D24" s="10" t="s">
        <v>242</v>
      </c>
      <c r="E24" s="13">
        <v>20228</v>
      </c>
    </row>
    <row r="25" spans="1:5" x14ac:dyDescent="0.25">
      <c r="A25" s="10" t="s">
        <v>88</v>
      </c>
      <c r="B25" s="10" t="s">
        <v>89</v>
      </c>
      <c r="C25" s="10" t="s">
        <v>225</v>
      </c>
      <c r="D25" s="10"/>
      <c r="E25" s="10"/>
    </row>
    <row r="26" spans="1:5" x14ac:dyDescent="0.25">
      <c r="A26" s="10" t="s">
        <v>90</v>
      </c>
      <c r="B26" s="10" t="s">
        <v>91</v>
      </c>
      <c r="C26" s="10" t="s">
        <v>225</v>
      </c>
      <c r="D26" s="10"/>
      <c r="E26" s="10"/>
    </row>
    <row r="27" spans="1:5" x14ac:dyDescent="0.25">
      <c r="A27" s="10" t="s">
        <v>92</v>
      </c>
      <c r="B27" s="10" t="s">
        <v>93</v>
      </c>
      <c r="C27" s="10" t="s">
        <v>225</v>
      </c>
      <c r="D27" s="10"/>
      <c r="E27" s="10"/>
    </row>
    <row r="28" spans="1:5" x14ac:dyDescent="0.25">
      <c r="A28" s="10" t="s">
        <v>94</v>
      </c>
      <c r="B28" s="10" t="s">
        <v>3</v>
      </c>
      <c r="C28" s="10" t="s">
        <v>225</v>
      </c>
      <c r="D28" s="10"/>
      <c r="E28" s="10"/>
    </row>
    <row r="29" spans="1:5" x14ac:dyDescent="0.25">
      <c r="A29" s="10" t="s">
        <v>95</v>
      </c>
      <c r="B29" s="10" t="s">
        <v>3</v>
      </c>
      <c r="C29" s="10" t="s">
        <v>225</v>
      </c>
      <c r="D29" s="10"/>
      <c r="E29" s="10"/>
    </row>
    <row r="30" spans="1:5" x14ac:dyDescent="0.25">
      <c r="A30" s="10" t="s">
        <v>96</v>
      </c>
      <c r="B30" s="10" t="s">
        <v>97</v>
      </c>
      <c r="C30" s="10" t="s">
        <v>225</v>
      </c>
      <c r="D30" s="10"/>
      <c r="E30" s="10"/>
    </row>
    <row r="31" spans="1:5" x14ac:dyDescent="0.25">
      <c r="A31" s="10" t="s">
        <v>98</v>
      </c>
      <c r="B31" s="10" t="s">
        <v>99</v>
      </c>
      <c r="C31" s="10" t="s">
        <v>225</v>
      </c>
      <c r="D31" s="10"/>
      <c r="E31" s="10"/>
    </row>
    <row r="32" spans="1:5" x14ac:dyDescent="0.25">
      <c r="A32" s="10" t="s">
        <v>100</v>
      </c>
      <c r="B32" s="10" t="s">
        <v>101</v>
      </c>
      <c r="C32" s="10" t="s">
        <v>225</v>
      </c>
      <c r="D32" s="10"/>
      <c r="E32" s="10"/>
    </row>
    <row r="33" spans="1:5" x14ac:dyDescent="0.25">
      <c r="A33" s="10" t="s">
        <v>102</v>
      </c>
      <c r="B33" s="10" t="s">
        <v>3</v>
      </c>
      <c r="C33" s="10" t="s">
        <v>225</v>
      </c>
      <c r="D33" s="10"/>
      <c r="E33" s="10"/>
    </row>
    <row r="34" spans="1:5" x14ac:dyDescent="0.25">
      <c r="A34" s="10" t="s">
        <v>103</v>
      </c>
      <c r="B34" s="10" t="s">
        <v>3</v>
      </c>
      <c r="C34" s="10" t="s">
        <v>225</v>
      </c>
      <c r="D34" s="10"/>
      <c r="E34" s="10"/>
    </row>
    <row r="35" spans="1:5" x14ac:dyDescent="0.25">
      <c r="A35" s="10" t="s">
        <v>104</v>
      </c>
      <c r="B35" s="10" t="s">
        <v>104</v>
      </c>
      <c r="C35" s="10" t="s">
        <v>225</v>
      </c>
      <c r="D35" s="10"/>
      <c r="E35" s="10"/>
    </row>
    <row r="36" spans="1:5" x14ac:dyDescent="0.25">
      <c r="A36" s="10" t="s">
        <v>105</v>
      </c>
      <c r="B36" s="10" t="s">
        <v>106</v>
      </c>
      <c r="C36" s="10" t="s">
        <v>225</v>
      </c>
      <c r="D36" s="10" t="s">
        <v>106</v>
      </c>
      <c r="E36" s="13">
        <v>30340</v>
      </c>
    </row>
    <row r="37" spans="1:5" x14ac:dyDescent="0.25">
      <c r="A37" s="10" t="s">
        <v>107</v>
      </c>
      <c r="B37" s="10" t="s">
        <v>108</v>
      </c>
      <c r="C37" s="10" t="s">
        <v>225</v>
      </c>
      <c r="D37" s="10"/>
      <c r="E37" s="10"/>
    </row>
    <row r="38" spans="1:5" x14ac:dyDescent="0.25">
      <c r="A38" s="10" t="s">
        <v>109</v>
      </c>
      <c r="B38" s="10" t="s">
        <v>110</v>
      </c>
      <c r="C38" s="10" t="s">
        <v>225</v>
      </c>
      <c r="D38" s="10"/>
      <c r="E38" s="10"/>
    </row>
    <row r="39" spans="1:5" x14ac:dyDescent="0.25">
      <c r="A39" s="10" t="s">
        <v>111</v>
      </c>
      <c r="B39" s="10" t="s">
        <v>112</v>
      </c>
      <c r="C39" s="10" t="s">
        <v>225</v>
      </c>
      <c r="D39" s="10"/>
      <c r="E39" s="10"/>
    </row>
    <row r="40" spans="1:5" x14ac:dyDescent="0.25">
      <c r="A40" s="10" t="s">
        <v>113</v>
      </c>
      <c r="B40" s="10" t="s">
        <v>114</v>
      </c>
      <c r="C40" s="10" t="s">
        <v>225</v>
      </c>
      <c r="D40" s="10"/>
      <c r="E40" s="10"/>
    </row>
    <row r="41" spans="1:5" x14ac:dyDescent="0.25">
      <c r="A41" s="10" t="s">
        <v>115</v>
      </c>
      <c r="B41" s="10" t="s">
        <v>116</v>
      </c>
      <c r="C41" s="10" t="s">
        <v>225</v>
      </c>
      <c r="D41" s="10"/>
      <c r="E41" s="10"/>
    </row>
    <row r="42" spans="1:5" x14ac:dyDescent="0.25">
      <c r="A42" s="10" t="s">
        <v>117</v>
      </c>
      <c r="B42" s="10" t="s">
        <v>3</v>
      </c>
      <c r="C42" s="10" t="s">
        <v>225</v>
      </c>
      <c r="D42" s="10"/>
      <c r="E42" s="10"/>
    </row>
    <row r="43" spans="1:5" x14ac:dyDescent="0.25">
      <c r="A43" s="10" t="s">
        <v>103</v>
      </c>
      <c r="B43" s="10" t="s">
        <v>3</v>
      </c>
      <c r="C43" s="10" t="s">
        <v>225</v>
      </c>
      <c r="D43" s="10"/>
      <c r="E43" s="10"/>
    </row>
    <row r="44" spans="1:5" x14ac:dyDescent="0.25">
      <c r="A44" s="10" t="s">
        <v>104</v>
      </c>
      <c r="B44" s="10" t="s">
        <v>104</v>
      </c>
      <c r="C44" s="10" t="s">
        <v>225</v>
      </c>
      <c r="D44" s="10"/>
      <c r="E44" s="10"/>
    </row>
    <row r="45" spans="1:5" x14ac:dyDescent="0.25">
      <c r="A45" s="10" t="s">
        <v>105</v>
      </c>
      <c r="B45" s="10" t="s">
        <v>106</v>
      </c>
      <c r="C45" s="10" t="s">
        <v>225</v>
      </c>
      <c r="D45" s="10" t="s">
        <v>106</v>
      </c>
      <c r="E45" s="13">
        <v>25716</v>
      </c>
    </row>
    <row r="46" spans="1:5" x14ac:dyDescent="0.25">
      <c r="A46" s="10" t="s">
        <v>118</v>
      </c>
      <c r="B46" s="10" t="s">
        <v>119</v>
      </c>
      <c r="C46" s="10" t="s">
        <v>226</v>
      </c>
      <c r="D46" s="10" t="s">
        <v>243</v>
      </c>
      <c r="E46" s="13">
        <v>20214</v>
      </c>
    </row>
    <row r="47" spans="1:5" x14ac:dyDescent="0.25">
      <c r="A47" s="10" t="s">
        <v>120</v>
      </c>
      <c r="B47" s="10" t="s">
        <v>121</v>
      </c>
      <c r="C47" s="10" t="s">
        <v>226</v>
      </c>
      <c r="D47" s="10" t="s">
        <v>233</v>
      </c>
      <c r="E47" s="10"/>
    </row>
    <row r="48" spans="1:5" x14ac:dyDescent="0.25">
      <c r="A48" s="10" t="s">
        <v>122</v>
      </c>
      <c r="B48" s="10" t="s">
        <v>121</v>
      </c>
      <c r="C48" s="10" t="s">
        <v>225</v>
      </c>
      <c r="D48" s="10" t="s">
        <v>121</v>
      </c>
      <c r="E48" s="13">
        <v>13779</v>
      </c>
    </row>
    <row r="49" spans="1:5" x14ac:dyDescent="0.25">
      <c r="A49" s="10" t="s">
        <v>123</v>
      </c>
      <c r="B49" s="10" t="s">
        <v>121</v>
      </c>
      <c r="C49" s="10" t="s">
        <v>225</v>
      </c>
      <c r="D49" s="10" t="s">
        <v>121</v>
      </c>
      <c r="E49" s="13">
        <v>13779</v>
      </c>
    </row>
    <row r="50" spans="1:5" x14ac:dyDescent="0.25">
      <c r="A50" s="10" t="s">
        <v>107</v>
      </c>
      <c r="B50" s="10" t="s">
        <v>108</v>
      </c>
      <c r="C50" s="10" t="s">
        <v>226</v>
      </c>
      <c r="D50" s="10" t="s">
        <v>243</v>
      </c>
      <c r="E50" s="13">
        <v>20214</v>
      </c>
    </row>
    <row r="51" spans="1:5" x14ac:dyDescent="0.25">
      <c r="A51" s="10" t="s">
        <v>124</v>
      </c>
      <c r="B51" s="10" t="s">
        <v>125</v>
      </c>
      <c r="C51" s="10" t="s">
        <v>225</v>
      </c>
      <c r="D51" s="10"/>
      <c r="E51" s="10"/>
    </row>
    <row r="52" spans="1:5" x14ac:dyDescent="0.25">
      <c r="A52" s="10" t="s">
        <v>109</v>
      </c>
      <c r="B52" s="10" t="s">
        <v>110</v>
      </c>
      <c r="C52" s="10" t="s">
        <v>226</v>
      </c>
      <c r="D52" s="10" t="s">
        <v>244</v>
      </c>
      <c r="E52" s="13">
        <v>13767</v>
      </c>
    </row>
    <row r="53" spans="1:5" x14ac:dyDescent="0.25">
      <c r="A53" s="10" t="s">
        <v>126</v>
      </c>
      <c r="B53" s="10" t="s">
        <v>127</v>
      </c>
      <c r="C53" s="10" t="s">
        <v>225</v>
      </c>
      <c r="D53" s="10"/>
      <c r="E53" s="10"/>
    </row>
    <row r="54" spans="1:5" x14ac:dyDescent="0.25">
      <c r="A54" s="10" t="s">
        <v>128</v>
      </c>
      <c r="B54" s="10" t="s">
        <v>129</v>
      </c>
      <c r="C54" s="10" t="s">
        <v>225</v>
      </c>
      <c r="D54" s="15" t="s">
        <v>254</v>
      </c>
      <c r="E54" s="16">
        <v>13775</v>
      </c>
    </row>
    <row r="55" spans="1:5" x14ac:dyDescent="0.25">
      <c r="A55" s="10" t="s">
        <v>130</v>
      </c>
      <c r="B55" s="10" t="s">
        <v>131</v>
      </c>
      <c r="C55" s="10" t="s">
        <v>225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zoomScaleNormal="100" workbookViewId="0"/>
  </sheetViews>
  <sheetFormatPr defaultRowHeight="15" x14ac:dyDescent="0.25"/>
  <cols>
    <col min="1" max="1" width="41.140625" bestFit="1" customWidth="1"/>
    <col min="2" max="2" width="43" bestFit="1" customWidth="1"/>
    <col min="3" max="3" width="8.85546875" bestFit="1" customWidth="1"/>
    <col min="4" max="4" width="31.285156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8" t="s">
        <v>228</v>
      </c>
      <c r="D1" s="8" t="s">
        <v>229</v>
      </c>
      <c r="E1" s="9" t="s">
        <v>230</v>
      </c>
      <c r="G1" s="2" t="s">
        <v>225</v>
      </c>
      <c r="H1" s="3">
        <f>COUNTIF(C:C,G1)</f>
        <v>46</v>
      </c>
    </row>
    <row r="2" spans="1:8" x14ac:dyDescent="0.25">
      <c r="A2" s="10" t="s">
        <v>57</v>
      </c>
      <c r="B2" s="10" t="s">
        <v>3</v>
      </c>
      <c r="C2" s="10" t="s">
        <v>225</v>
      </c>
      <c r="D2" s="10"/>
      <c r="E2" s="10"/>
      <c r="G2" s="4" t="s">
        <v>226</v>
      </c>
      <c r="H2" s="5">
        <f>COUNTIF(C:C,G2)</f>
        <v>7</v>
      </c>
    </row>
    <row r="3" spans="1:8" ht="15.75" thickBot="1" x14ac:dyDescent="0.3">
      <c r="A3" s="10" t="s">
        <v>58</v>
      </c>
      <c r="B3" s="10" t="s">
        <v>59</v>
      </c>
      <c r="C3" s="10" t="s">
        <v>225</v>
      </c>
      <c r="D3" s="10"/>
      <c r="E3" s="10"/>
      <c r="G3" s="6" t="s">
        <v>227</v>
      </c>
      <c r="H3" s="7">
        <f>H1/SUM(H1:H2)</f>
        <v>0.86792452830188682</v>
      </c>
    </row>
    <row r="4" spans="1:8" x14ac:dyDescent="0.25">
      <c r="A4" s="10" t="s">
        <v>60</v>
      </c>
      <c r="B4" s="10" t="s">
        <v>61</v>
      </c>
      <c r="C4" s="10" t="s">
        <v>225</v>
      </c>
      <c r="D4" s="10"/>
      <c r="E4" s="10"/>
    </row>
    <row r="5" spans="1:8" x14ac:dyDescent="0.25">
      <c r="A5" s="10" t="s">
        <v>62</v>
      </c>
      <c r="B5" s="10" t="s">
        <v>63</v>
      </c>
      <c r="C5" s="10" t="s">
        <v>226</v>
      </c>
      <c r="D5" s="10" t="s">
        <v>233</v>
      </c>
      <c r="E5" s="10"/>
    </row>
    <row r="6" spans="1:8" x14ac:dyDescent="0.25">
      <c r="A6" s="10" t="s">
        <v>222</v>
      </c>
      <c r="B6" s="10" t="s">
        <v>65</v>
      </c>
      <c r="C6" s="10" t="s">
        <v>225</v>
      </c>
      <c r="D6" s="10"/>
      <c r="E6" s="10"/>
    </row>
    <row r="7" spans="1:8" x14ac:dyDescent="0.25">
      <c r="A7" s="10" t="s">
        <v>66</v>
      </c>
      <c r="B7" s="10" t="s">
        <v>63</v>
      </c>
      <c r="C7" s="10" t="s">
        <v>225</v>
      </c>
      <c r="D7" s="10"/>
      <c r="E7" s="10"/>
    </row>
    <row r="8" spans="1:8" x14ac:dyDescent="0.25">
      <c r="A8" s="10" t="s">
        <v>223</v>
      </c>
      <c r="B8" s="10" t="s">
        <v>69</v>
      </c>
      <c r="C8" s="10" t="s">
        <v>225</v>
      </c>
      <c r="D8" s="10"/>
      <c r="E8" s="10"/>
    </row>
    <row r="9" spans="1:8" x14ac:dyDescent="0.25">
      <c r="A9" s="10" t="s">
        <v>67</v>
      </c>
      <c r="B9" s="10" t="s">
        <v>3</v>
      </c>
      <c r="C9" s="10" t="s">
        <v>225</v>
      </c>
      <c r="D9" s="10"/>
      <c r="E9" s="10"/>
    </row>
    <row r="10" spans="1:8" x14ac:dyDescent="0.25">
      <c r="A10" s="10" t="s">
        <v>68</v>
      </c>
      <c r="B10" s="10" t="s">
        <v>69</v>
      </c>
      <c r="C10" s="10" t="s">
        <v>225</v>
      </c>
      <c r="D10" s="10"/>
      <c r="E10" s="10"/>
    </row>
    <row r="11" spans="1:8" x14ac:dyDescent="0.25">
      <c r="A11" s="10" t="s">
        <v>70</v>
      </c>
      <c r="B11" s="10" t="s">
        <v>71</v>
      </c>
      <c r="C11" s="10" t="s">
        <v>226</v>
      </c>
      <c r="D11" s="10" t="s">
        <v>239</v>
      </c>
      <c r="E11" s="13">
        <v>20217</v>
      </c>
    </row>
    <row r="12" spans="1:8" x14ac:dyDescent="0.25">
      <c r="A12" s="10" t="s">
        <v>72</v>
      </c>
      <c r="B12" s="10" t="s">
        <v>73</v>
      </c>
      <c r="C12" s="10" t="s">
        <v>225</v>
      </c>
      <c r="D12" s="10"/>
      <c r="E12" s="10"/>
    </row>
    <row r="13" spans="1:8" x14ac:dyDescent="0.25">
      <c r="A13" s="10" t="s">
        <v>74</v>
      </c>
      <c r="B13" s="10" t="s">
        <v>75</v>
      </c>
      <c r="C13" s="10" t="s">
        <v>225</v>
      </c>
      <c r="D13" s="10"/>
      <c r="E13" s="10"/>
    </row>
    <row r="14" spans="1:8" x14ac:dyDescent="0.25">
      <c r="A14" s="10" t="s">
        <v>76</v>
      </c>
      <c r="B14" s="10" t="s">
        <v>77</v>
      </c>
      <c r="C14" s="10" t="s">
        <v>225</v>
      </c>
      <c r="D14" s="10"/>
      <c r="E14" s="10"/>
    </row>
    <row r="15" spans="1:8" x14ac:dyDescent="0.25">
      <c r="A15" s="10" t="s">
        <v>78</v>
      </c>
      <c r="B15" s="10" t="s">
        <v>79</v>
      </c>
      <c r="C15" s="10" t="s">
        <v>225</v>
      </c>
      <c r="D15" s="10"/>
      <c r="E15" s="10"/>
    </row>
    <row r="16" spans="1:8" x14ac:dyDescent="0.25">
      <c r="A16" s="10" t="s">
        <v>80</v>
      </c>
      <c r="B16" s="10" t="s">
        <v>3</v>
      </c>
      <c r="C16" s="10" t="s">
        <v>225</v>
      </c>
      <c r="D16" s="10"/>
      <c r="E16" s="10"/>
    </row>
    <row r="17" spans="1:6" x14ac:dyDescent="0.25">
      <c r="A17" s="10" t="s">
        <v>81</v>
      </c>
      <c r="B17" s="10" t="s">
        <v>81</v>
      </c>
      <c r="C17" s="10" t="s">
        <v>225</v>
      </c>
      <c r="D17" s="10"/>
      <c r="E17" s="10"/>
    </row>
    <row r="18" spans="1:6" x14ac:dyDescent="0.25">
      <c r="A18" s="10" t="s">
        <v>67</v>
      </c>
      <c r="B18" s="10" t="s">
        <v>3</v>
      </c>
      <c r="C18" s="10" t="s">
        <v>225</v>
      </c>
      <c r="D18" s="10"/>
      <c r="E18" s="10"/>
    </row>
    <row r="19" spans="1:6" x14ac:dyDescent="0.25">
      <c r="A19" s="10" t="s">
        <v>68</v>
      </c>
      <c r="B19" s="10" t="s">
        <v>69</v>
      </c>
      <c r="C19" s="10" t="s">
        <v>226</v>
      </c>
      <c r="D19" s="10" t="s">
        <v>240</v>
      </c>
      <c r="E19" s="13">
        <v>13724</v>
      </c>
    </row>
    <row r="20" spans="1:6" x14ac:dyDescent="0.25">
      <c r="A20" s="10" t="s">
        <v>82</v>
      </c>
      <c r="B20" s="10" t="s">
        <v>83</v>
      </c>
      <c r="C20" s="10" t="s">
        <v>225</v>
      </c>
      <c r="D20" s="10" t="s">
        <v>83</v>
      </c>
      <c r="E20" s="13">
        <v>13780</v>
      </c>
    </row>
    <row r="21" spans="1:6" x14ac:dyDescent="0.25">
      <c r="A21" s="10" t="s">
        <v>84</v>
      </c>
      <c r="B21" s="10" t="s">
        <v>85</v>
      </c>
      <c r="C21" s="10" t="s">
        <v>225</v>
      </c>
      <c r="D21" s="10"/>
      <c r="E21" s="10"/>
    </row>
    <row r="22" spans="1:6" x14ac:dyDescent="0.25">
      <c r="A22" s="10" t="s">
        <v>86</v>
      </c>
      <c r="B22" s="10" t="s">
        <v>87</v>
      </c>
      <c r="C22" s="10" t="s">
        <v>225</v>
      </c>
      <c r="D22" s="10"/>
      <c r="E22" s="10"/>
    </row>
    <row r="23" spans="1:6" x14ac:dyDescent="0.25">
      <c r="A23" s="10" t="s">
        <v>70</v>
      </c>
      <c r="B23" s="10" t="s">
        <v>71</v>
      </c>
      <c r="C23" s="10" t="s">
        <v>225</v>
      </c>
      <c r="D23" s="10" t="s">
        <v>238</v>
      </c>
      <c r="E23" s="10" t="s">
        <v>238</v>
      </c>
      <c r="F23" s="14" t="s">
        <v>238</v>
      </c>
    </row>
    <row r="24" spans="1:6" x14ac:dyDescent="0.25">
      <c r="A24" s="10" t="s">
        <v>72</v>
      </c>
      <c r="B24" s="10" t="s">
        <v>73</v>
      </c>
      <c r="C24" s="10" t="s">
        <v>226</v>
      </c>
      <c r="D24" s="10" t="s">
        <v>241</v>
      </c>
      <c r="E24" s="13">
        <v>20231</v>
      </c>
    </row>
    <row r="25" spans="1:6" x14ac:dyDescent="0.25">
      <c r="A25" s="10" t="s">
        <v>74</v>
      </c>
      <c r="B25" s="10" t="s">
        <v>75</v>
      </c>
      <c r="C25" s="10" t="s">
        <v>226</v>
      </c>
      <c r="D25" s="10" t="s">
        <v>242</v>
      </c>
      <c r="E25" s="13">
        <v>20228</v>
      </c>
    </row>
    <row r="26" spans="1:6" x14ac:dyDescent="0.25">
      <c r="A26" s="10" t="s">
        <v>88</v>
      </c>
      <c r="B26" s="10" t="s">
        <v>89</v>
      </c>
      <c r="C26" s="10" t="s">
        <v>225</v>
      </c>
      <c r="D26" s="10"/>
      <c r="E26" s="10"/>
    </row>
    <row r="27" spans="1:6" x14ac:dyDescent="0.25">
      <c r="A27" s="10" t="s">
        <v>90</v>
      </c>
      <c r="B27" s="10" t="s">
        <v>91</v>
      </c>
      <c r="C27" s="10" t="s">
        <v>225</v>
      </c>
      <c r="D27" s="10"/>
      <c r="E27" s="10"/>
    </row>
    <row r="28" spans="1:6" x14ac:dyDescent="0.25">
      <c r="A28" s="10" t="s">
        <v>92</v>
      </c>
      <c r="B28" s="10" t="s">
        <v>93</v>
      </c>
      <c r="C28" s="10" t="s">
        <v>225</v>
      </c>
      <c r="D28" s="10"/>
      <c r="E28" s="10"/>
    </row>
    <row r="29" spans="1:6" x14ac:dyDescent="0.25">
      <c r="A29" s="10" t="s">
        <v>94</v>
      </c>
      <c r="B29" s="10" t="s">
        <v>3</v>
      </c>
      <c r="C29" s="10" t="s">
        <v>225</v>
      </c>
      <c r="D29" s="10"/>
      <c r="E29" s="10"/>
    </row>
    <row r="30" spans="1:6" x14ac:dyDescent="0.25">
      <c r="A30" s="10" t="s">
        <v>95</v>
      </c>
      <c r="B30" s="10" t="s">
        <v>3</v>
      </c>
      <c r="C30" s="10" t="s">
        <v>225</v>
      </c>
      <c r="D30" s="10"/>
      <c r="E30" s="10"/>
    </row>
    <row r="31" spans="1:6" x14ac:dyDescent="0.25">
      <c r="A31" s="10" t="s">
        <v>96</v>
      </c>
      <c r="B31" s="10" t="s">
        <v>97</v>
      </c>
      <c r="C31" s="10" t="s">
        <v>225</v>
      </c>
      <c r="E31" s="10"/>
    </row>
    <row r="32" spans="1:6" x14ac:dyDescent="0.25">
      <c r="A32" s="10" t="s">
        <v>98</v>
      </c>
      <c r="B32" s="10" t="s">
        <v>99</v>
      </c>
      <c r="C32" s="10" t="s">
        <v>225</v>
      </c>
      <c r="D32" s="10"/>
      <c r="E32" s="10"/>
    </row>
    <row r="33" spans="1:5" x14ac:dyDescent="0.25">
      <c r="A33" s="10" t="s">
        <v>100</v>
      </c>
      <c r="B33" s="10" t="s">
        <v>101</v>
      </c>
      <c r="C33" s="10" t="s">
        <v>225</v>
      </c>
      <c r="D33" s="10"/>
      <c r="E33" s="10"/>
    </row>
    <row r="34" spans="1:5" x14ac:dyDescent="0.25">
      <c r="A34" s="10" t="s">
        <v>102</v>
      </c>
      <c r="B34" s="10" t="s">
        <v>3</v>
      </c>
      <c r="C34" s="10" t="s">
        <v>225</v>
      </c>
      <c r="D34" s="10"/>
      <c r="E34" s="10"/>
    </row>
    <row r="35" spans="1:5" x14ac:dyDescent="0.25">
      <c r="A35" s="10" t="s">
        <v>103</v>
      </c>
      <c r="B35" s="10" t="s">
        <v>3</v>
      </c>
      <c r="C35" s="10" t="s">
        <v>225</v>
      </c>
      <c r="D35" s="10"/>
      <c r="E35" s="10"/>
    </row>
    <row r="36" spans="1:5" x14ac:dyDescent="0.25">
      <c r="A36" s="10" t="s">
        <v>104</v>
      </c>
      <c r="B36" s="10" t="s">
        <v>104</v>
      </c>
      <c r="C36" s="10" t="s">
        <v>225</v>
      </c>
      <c r="D36" s="10"/>
      <c r="E36" s="10"/>
    </row>
    <row r="37" spans="1:5" x14ac:dyDescent="0.25">
      <c r="A37" s="10" t="s">
        <v>105</v>
      </c>
      <c r="B37" s="10" t="s">
        <v>106</v>
      </c>
      <c r="C37" s="10" t="s">
        <v>225</v>
      </c>
      <c r="D37" s="10" t="s">
        <v>106</v>
      </c>
      <c r="E37" s="13">
        <v>30340</v>
      </c>
    </row>
    <row r="38" spans="1:5" x14ac:dyDescent="0.25">
      <c r="A38" s="10" t="s">
        <v>107</v>
      </c>
      <c r="B38" s="10" t="s">
        <v>108</v>
      </c>
      <c r="C38" s="10" t="s">
        <v>225</v>
      </c>
      <c r="D38" s="10"/>
      <c r="E38" s="10"/>
    </row>
    <row r="39" spans="1:5" x14ac:dyDescent="0.25">
      <c r="A39" s="10" t="s">
        <v>109</v>
      </c>
      <c r="B39" s="10" t="s">
        <v>110</v>
      </c>
      <c r="C39" s="10" t="s">
        <v>225</v>
      </c>
      <c r="D39" s="10"/>
      <c r="E39" s="10"/>
    </row>
    <row r="40" spans="1:5" x14ac:dyDescent="0.25">
      <c r="A40" s="10" t="s">
        <v>111</v>
      </c>
      <c r="B40" s="10" t="s">
        <v>112</v>
      </c>
      <c r="C40" s="10" t="s">
        <v>225</v>
      </c>
      <c r="D40" s="10"/>
      <c r="E40" s="10"/>
    </row>
    <row r="41" spans="1:5" x14ac:dyDescent="0.25">
      <c r="A41" s="10" t="s">
        <v>113</v>
      </c>
      <c r="B41" s="10" t="s">
        <v>114</v>
      </c>
      <c r="C41" s="10" t="s">
        <v>225</v>
      </c>
      <c r="D41" s="10"/>
      <c r="E41" s="10"/>
    </row>
    <row r="42" spans="1:5" x14ac:dyDescent="0.25">
      <c r="A42" s="10" t="s">
        <v>115</v>
      </c>
      <c r="B42" s="10" t="s">
        <v>116</v>
      </c>
      <c r="C42" s="10" t="s">
        <v>225</v>
      </c>
      <c r="D42" s="10"/>
      <c r="E42" s="10"/>
    </row>
    <row r="43" spans="1:5" x14ac:dyDescent="0.25">
      <c r="A43" s="10" t="s">
        <v>117</v>
      </c>
      <c r="B43" s="10" t="s">
        <v>3</v>
      </c>
      <c r="C43" s="10" t="s">
        <v>225</v>
      </c>
      <c r="D43" s="10"/>
      <c r="E43" s="10"/>
    </row>
    <row r="44" spans="1:5" x14ac:dyDescent="0.25">
      <c r="A44" s="10" t="s">
        <v>103</v>
      </c>
      <c r="B44" s="10" t="s">
        <v>3</v>
      </c>
      <c r="C44" s="10" t="s">
        <v>225</v>
      </c>
      <c r="D44" s="10"/>
      <c r="E44" s="10"/>
    </row>
    <row r="45" spans="1:5" x14ac:dyDescent="0.25">
      <c r="A45" s="10" t="s">
        <v>104</v>
      </c>
      <c r="B45" s="10" t="s">
        <v>104</v>
      </c>
      <c r="C45" s="10" t="s">
        <v>225</v>
      </c>
      <c r="D45" s="10"/>
      <c r="E45" s="10"/>
    </row>
    <row r="46" spans="1:5" x14ac:dyDescent="0.25">
      <c r="A46" s="10" t="s">
        <v>105</v>
      </c>
      <c r="B46" s="10" t="s">
        <v>106</v>
      </c>
      <c r="C46" s="10" t="s">
        <v>225</v>
      </c>
      <c r="D46" s="10" t="s">
        <v>106</v>
      </c>
      <c r="E46" s="13">
        <v>25716</v>
      </c>
    </row>
    <row r="47" spans="1:5" x14ac:dyDescent="0.25">
      <c r="A47" s="10" t="s">
        <v>224</v>
      </c>
      <c r="B47" s="10" t="s">
        <v>119</v>
      </c>
      <c r="C47" s="10" t="s">
        <v>226</v>
      </c>
      <c r="D47" s="10" t="s">
        <v>243</v>
      </c>
      <c r="E47" s="13">
        <v>20214</v>
      </c>
    </row>
    <row r="48" spans="1:5" x14ac:dyDescent="0.25">
      <c r="A48" s="10" t="s">
        <v>120</v>
      </c>
      <c r="B48" s="10" t="s">
        <v>121</v>
      </c>
      <c r="C48" s="10" t="s">
        <v>225</v>
      </c>
      <c r="D48" s="10"/>
      <c r="E48" s="10"/>
    </row>
    <row r="49" spans="1:5" x14ac:dyDescent="0.25">
      <c r="A49" s="10" t="s">
        <v>107</v>
      </c>
      <c r="B49" s="10" t="s">
        <v>108</v>
      </c>
      <c r="C49" s="10" t="s">
        <v>245</v>
      </c>
      <c r="D49" s="10" t="s">
        <v>243</v>
      </c>
      <c r="E49" s="13">
        <v>20214</v>
      </c>
    </row>
    <row r="50" spans="1:5" x14ac:dyDescent="0.25">
      <c r="A50" s="10" t="s">
        <v>124</v>
      </c>
      <c r="B50" s="10" t="s">
        <v>125</v>
      </c>
      <c r="C50" s="10" t="s">
        <v>225</v>
      </c>
      <c r="D50" s="10"/>
      <c r="E50" s="13"/>
    </row>
    <row r="51" spans="1:5" x14ac:dyDescent="0.25">
      <c r="A51" s="10" t="s">
        <v>109</v>
      </c>
      <c r="B51" s="10" t="s">
        <v>110</v>
      </c>
      <c r="C51" s="10" t="s">
        <v>225</v>
      </c>
      <c r="D51" s="10" t="s">
        <v>244</v>
      </c>
      <c r="E51" s="13">
        <v>13767</v>
      </c>
    </row>
    <row r="52" spans="1:5" x14ac:dyDescent="0.25">
      <c r="A52" s="10" t="s">
        <v>126</v>
      </c>
      <c r="B52" s="10" t="s">
        <v>127</v>
      </c>
      <c r="C52" s="10" t="s">
        <v>225</v>
      </c>
      <c r="D52" s="10"/>
      <c r="E52" s="10"/>
    </row>
    <row r="53" spans="1:5" x14ac:dyDescent="0.25">
      <c r="A53" s="10" t="s">
        <v>128</v>
      </c>
      <c r="B53" s="10" t="s">
        <v>129</v>
      </c>
      <c r="C53" s="10" t="s">
        <v>225</v>
      </c>
      <c r="D53" s="15" t="s">
        <v>254</v>
      </c>
      <c r="E53" s="16">
        <v>13775</v>
      </c>
    </row>
    <row r="54" spans="1:5" x14ac:dyDescent="0.25">
      <c r="A54" s="10" t="s">
        <v>130</v>
      </c>
      <c r="B54" s="10" t="s">
        <v>131</v>
      </c>
      <c r="C54" s="10" t="s">
        <v>225</v>
      </c>
      <c r="D54" s="10"/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zoomScaleNormal="100" workbookViewId="0"/>
  </sheetViews>
  <sheetFormatPr defaultRowHeight="15" x14ac:dyDescent="0.25"/>
  <cols>
    <col min="1" max="1" width="70.28515625" customWidth="1"/>
    <col min="2" max="2" width="58" customWidth="1"/>
    <col min="3" max="3" width="8.85546875" bestFit="1" customWidth="1"/>
    <col min="4" max="4" width="36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8" t="s">
        <v>228</v>
      </c>
      <c r="D1" s="8" t="s">
        <v>229</v>
      </c>
      <c r="E1" s="9" t="s">
        <v>230</v>
      </c>
      <c r="G1" s="2" t="s">
        <v>225</v>
      </c>
      <c r="H1" s="3">
        <f>COUNTIF(C:C,G1)</f>
        <v>41</v>
      </c>
    </row>
    <row r="2" spans="1:8" x14ac:dyDescent="0.25">
      <c r="A2" s="10" t="s">
        <v>132</v>
      </c>
      <c r="B2" s="10" t="s">
        <v>133</v>
      </c>
      <c r="C2" s="10" t="s">
        <v>225</v>
      </c>
      <c r="D2" s="10"/>
      <c r="E2" s="10"/>
      <c r="G2" s="4" t="s">
        <v>226</v>
      </c>
      <c r="H2" s="5">
        <f>COUNTIF(C:C,G2)</f>
        <v>8</v>
      </c>
    </row>
    <row r="3" spans="1:8" ht="15.75" thickBot="1" x14ac:dyDescent="0.3">
      <c r="A3" s="10" t="s">
        <v>134</v>
      </c>
      <c r="B3" s="10" t="s">
        <v>3</v>
      </c>
      <c r="C3" s="10" t="s">
        <v>225</v>
      </c>
      <c r="D3" s="10"/>
      <c r="E3" s="10"/>
      <c r="G3" s="6" t="s">
        <v>227</v>
      </c>
      <c r="H3" s="7">
        <f>H1/SUM(H1:H2)</f>
        <v>0.83673469387755106</v>
      </c>
    </row>
    <row r="4" spans="1:8" x14ac:dyDescent="0.25">
      <c r="A4" s="10" t="s">
        <v>30</v>
      </c>
      <c r="B4" s="10" t="s">
        <v>135</v>
      </c>
      <c r="C4" s="10" t="s">
        <v>225</v>
      </c>
      <c r="D4" s="10"/>
      <c r="E4" s="10"/>
    </row>
    <row r="5" spans="1:8" x14ac:dyDescent="0.25">
      <c r="A5" s="10" t="s">
        <v>136</v>
      </c>
      <c r="B5" s="10" t="s">
        <v>137</v>
      </c>
      <c r="C5" s="10" t="s">
        <v>225</v>
      </c>
      <c r="D5" s="10"/>
      <c r="E5" s="10"/>
    </row>
    <row r="6" spans="1:8" x14ac:dyDescent="0.25">
      <c r="A6" s="10" t="s">
        <v>22</v>
      </c>
      <c r="B6" s="10" t="s">
        <v>138</v>
      </c>
      <c r="C6" s="10" t="s">
        <v>225</v>
      </c>
      <c r="D6" s="10"/>
      <c r="E6" s="10"/>
    </row>
    <row r="7" spans="1:8" x14ac:dyDescent="0.25">
      <c r="A7" s="10" t="s">
        <v>139</v>
      </c>
      <c r="B7" s="10" t="s">
        <v>21</v>
      </c>
      <c r="C7" s="10" t="s">
        <v>225</v>
      </c>
      <c r="D7" s="10"/>
      <c r="E7" s="10"/>
    </row>
    <row r="8" spans="1:8" x14ac:dyDescent="0.25">
      <c r="A8" s="10" t="s">
        <v>140</v>
      </c>
      <c r="B8" s="10" t="s">
        <v>141</v>
      </c>
      <c r="C8" s="10" t="s">
        <v>225</v>
      </c>
      <c r="D8" s="10"/>
      <c r="E8" s="10"/>
    </row>
    <row r="9" spans="1:8" x14ac:dyDescent="0.25">
      <c r="A9" s="10" t="s">
        <v>142</v>
      </c>
      <c r="B9" s="10" t="s">
        <v>143</v>
      </c>
      <c r="C9" s="10" t="s">
        <v>226</v>
      </c>
      <c r="D9" s="10" t="s">
        <v>135</v>
      </c>
      <c r="E9" s="13">
        <v>17542</v>
      </c>
    </row>
    <row r="10" spans="1:8" x14ac:dyDescent="0.25">
      <c r="A10" s="10" t="s">
        <v>144</v>
      </c>
      <c r="B10" s="10" t="s">
        <v>145</v>
      </c>
      <c r="C10" s="10" t="s">
        <v>226</v>
      </c>
      <c r="D10" s="10" t="s">
        <v>246</v>
      </c>
      <c r="E10" s="13">
        <v>30503</v>
      </c>
    </row>
    <row r="11" spans="1:8" x14ac:dyDescent="0.25">
      <c r="A11" s="10" t="s">
        <v>146</v>
      </c>
      <c r="B11" s="10" t="s">
        <v>147</v>
      </c>
      <c r="C11" s="10" t="s">
        <v>226</v>
      </c>
      <c r="D11" s="10" t="s">
        <v>247</v>
      </c>
      <c r="E11" s="13">
        <v>30502</v>
      </c>
    </row>
    <row r="12" spans="1:8" x14ac:dyDescent="0.25">
      <c r="A12" s="10" t="s">
        <v>148</v>
      </c>
      <c r="B12" s="10" t="s">
        <v>145</v>
      </c>
      <c r="C12" s="10" t="s">
        <v>225</v>
      </c>
      <c r="D12" s="10"/>
      <c r="E12" s="10"/>
    </row>
    <row r="13" spans="1:8" x14ac:dyDescent="0.25">
      <c r="A13" s="10" t="s">
        <v>149</v>
      </c>
      <c r="B13" s="10" t="s">
        <v>150</v>
      </c>
      <c r="C13" s="10" t="s">
        <v>225</v>
      </c>
      <c r="D13" s="10"/>
      <c r="E13" s="10"/>
    </row>
    <row r="14" spans="1:8" x14ac:dyDescent="0.25">
      <c r="A14" s="10" t="s">
        <v>151</v>
      </c>
      <c r="B14" s="10" t="s">
        <v>3</v>
      </c>
      <c r="C14" s="10" t="s">
        <v>225</v>
      </c>
      <c r="D14" s="10"/>
      <c r="E14" s="10"/>
    </row>
    <row r="15" spans="1:8" x14ac:dyDescent="0.25">
      <c r="A15" s="10" t="s">
        <v>152</v>
      </c>
      <c r="B15" s="10" t="s">
        <v>81</v>
      </c>
      <c r="C15" s="10" t="s">
        <v>225</v>
      </c>
      <c r="D15" s="10"/>
      <c r="E15" s="10"/>
    </row>
    <row r="16" spans="1:8" x14ac:dyDescent="0.25">
      <c r="A16" s="10" t="s">
        <v>153</v>
      </c>
      <c r="B16" s="10" t="s">
        <v>154</v>
      </c>
      <c r="C16" s="10" t="s">
        <v>225</v>
      </c>
      <c r="D16" s="10"/>
      <c r="E16" s="10"/>
    </row>
    <row r="17" spans="1:5" x14ac:dyDescent="0.25">
      <c r="A17" s="10" t="s">
        <v>155</v>
      </c>
      <c r="B17" s="10" t="s">
        <v>156</v>
      </c>
      <c r="C17" s="10" t="s">
        <v>225</v>
      </c>
      <c r="D17" s="10"/>
      <c r="E17" s="10"/>
    </row>
    <row r="18" spans="1:5" x14ac:dyDescent="0.25">
      <c r="A18" s="10" t="s">
        <v>157</v>
      </c>
      <c r="B18" s="10" t="s">
        <v>156</v>
      </c>
      <c r="C18" s="10" t="s">
        <v>225</v>
      </c>
      <c r="D18" s="10"/>
      <c r="E18" s="10"/>
    </row>
    <row r="19" spans="1:5" x14ac:dyDescent="0.25">
      <c r="A19" s="10" t="s">
        <v>158</v>
      </c>
      <c r="B19" s="10" t="s">
        <v>159</v>
      </c>
      <c r="C19" s="10" t="s">
        <v>225</v>
      </c>
      <c r="D19" s="10"/>
      <c r="E19" s="10"/>
    </row>
    <row r="20" spans="1:5" x14ac:dyDescent="0.25">
      <c r="A20" s="10" t="s">
        <v>160</v>
      </c>
      <c r="B20" s="10" t="s">
        <v>161</v>
      </c>
      <c r="C20" s="10" t="s">
        <v>226</v>
      </c>
      <c r="D20" s="10" t="s">
        <v>159</v>
      </c>
      <c r="E20" s="13">
        <v>30675</v>
      </c>
    </row>
    <row r="21" spans="1:5" x14ac:dyDescent="0.25">
      <c r="A21" s="10" t="s">
        <v>162</v>
      </c>
      <c r="B21" s="10" t="s">
        <v>161</v>
      </c>
      <c r="C21" s="10" t="s">
        <v>225</v>
      </c>
      <c r="D21" s="10"/>
      <c r="E21" s="10"/>
    </row>
    <row r="22" spans="1:5" x14ac:dyDescent="0.25">
      <c r="A22" s="10" t="s">
        <v>163</v>
      </c>
      <c r="B22" s="10" t="s">
        <v>3</v>
      </c>
      <c r="C22" s="10" t="s">
        <v>225</v>
      </c>
      <c r="D22" s="10"/>
      <c r="E22" s="10"/>
    </row>
    <row r="23" spans="1:5" x14ac:dyDescent="0.25">
      <c r="A23" s="10" t="s">
        <v>164</v>
      </c>
      <c r="B23" s="10" t="s">
        <v>165</v>
      </c>
      <c r="C23" s="10" t="s">
        <v>225</v>
      </c>
      <c r="D23" s="10"/>
      <c r="E23" s="10"/>
    </row>
    <row r="24" spans="1:5" x14ac:dyDescent="0.25">
      <c r="A24" s="10" t="s">
        <v>166</v>
      </c>
      <c r="B24" s="10" t="s">
        <v>167</v>
      </c>
      <c r="C24" s="10" t="s">
        <v>225</v>
      </c>
      <c r="D24" s="10"/>
      <c r="E24" s="10"/>
    </row>
    <row r="25" spans="1:5" x14ac:dyDescent="0.25">
      <c r="A25" s="10" t="s">
        <v>168</v>
      </c>
      <c r="B25" s="10" t="s">
        <v>3</v>
      </c>
      <c r="C25" s="10" t="s">
        <v>225</v>
      </c>
      <c r="D25" s="10"/>
      <c r="E25" s="10"/>
    </row>
    <row r="26" spans="1:5" x14ac:dyDescent="0.25">
      <c r="A26" s="10" t="s">
        <v>169</v>
      </c>
      <c r="B26" s="10" t="s">
        <v>170</v>
      </c>
      <c r="C26" s="10" t="s">
        <v>225</v>
      </c>
      <c r="D26" s="10"/>
      <c r="E26" s="10"/>
    </row>
    <row r="27" spans="1:5" x14ac:dyDescent="0.25">
      <c r="A27" s="10" t="s">
        <v>171</v>
      </c>
      <c r="B27" s="10" t="s">
        <v>21</v>
      </c>
      <c r="C27" s="10" t="s">
        <v>226</v>
      </c>
      <c r="D27" s="10" t="s">
        <v>250</v>
      </c>
      <c r="E27" s="13">
        <v>30485</v>
      </c>
    </row>
    <row r="28" spans="1:5" x14ac:dyDescent="0.25">
      <c r="A28" s="10" t="s">
        <v>172</v>
      </c>
      <c r="B28" s="10" t="s">
        <v>173</v>
      </c>
      <c r="C28" s="10" t="s">
        <v>225</v>
      </c>
      <c r="D28" s="10"/>
      <c r="E28" s="10"/>
    </row>
    <row r="29" spans="1:5" x14ac:dyDescent="0.25">
      <c r="A29" s="10" t="s">
        <v>174</v>
      </c>
      <c r="B29" s="10" t="s">
        <v>173</v>
      </c>
      <c r="C29" s="10" t="s">
        <v>225</v>
      </c>
      <c r="D29" s="10"/>
      <c r="E29" s="10"/>
    </row>
    <row r="30" spans="1:5" x14ac:dyDescent="0.25">
      <c r="A30" s="10" t="s">
        <v>175</v>
      </c>
      <c r="B30" s="10" t="s">
        <v>143</v>
      </c>
      <c r="C30" s="10" t="s">
        <v>226</v>
      </c>
      <c r="D30" s="10" t="s">
        <v>248</v>
      </c>
      <c r="E30" s="13">
        <v>30419</v>
      </c>
    </row>
    <row r="31" spans="1:5" x14ac:dyDescent="0.25">
      <c r="A31" s="10" t="s">
        <v>176</v>
      </c>
      <c r="B31" s="10" t="s">
        <v>143</v>
      </c>
      <c r="C31" s="10" t="s">
        <v>226</v>
      </c>
      <c r="D31" s="10" t="s">
        <v>248</v>
      </c>
      <c r="E31" s="13">
        <v>30419</v>
      </c>
    </row>
    <row r="32" spans="1:5" x14ac:dyDescent="0.25">
      <c r="A32" s="10" t="s">
        <v>177</v>
      </c>
      <c r="B32" s="10" t="s">
        <v>178</v>
      </c>
      <c r="C32" s="10" t="s">
        <v>225</v>
      </c>
      <c r="D32" s="10"/>
      <c r="E32" s="10"/>
    </row>
    <row r="33" spans="1:5" x14ac:dyDescent="0.25">
      <c r="A33" s="10" t="s">
        <v>179</v>
      </c>
      <c r="B33" s="10" t="s">
        <v>178</v>
      </c>
      <c r="C33" s="10" t="s">
        <v>225</v>
      </c>
      <c r="D33" s="10"/>
      <c r="E33" s="10"/>
    </row>
    <row r="34" spans="1:5" x14ac:dyDescent="0.25">
      <c r="A34" s="10" t="s">
        <v>180</v>
      </c>
      <c r="B34" s="10" t="s">
        <v>181</v>
      </c>
      <c r="C34" s="10" t="s">
        <v>225</v>
      </c>
      <c r="D34" s="10"/>
      <c r="E34" s="10"/>
    </row>
    <row r="35" spans="1:5" x14ac:dyDescent="0.25">
      <c r="A35" s="10" t="s">
        <v>182</v>
      </c>
      <c r="B35" s="10" t="s">
        <v>183</v>
      </c>
      <c r="C35" s="10" t="s">
        <v>225</v>
      </c>
      <c r="D35" s="10"/>
      <c r="E35" s="10"/>
    </row>
    <row r="36" spans="1:5" x14ac:dyDescent="0.25">
      <c r="A36" s="10" t="s">
        <v>184</v>
      </c>
      <c r="B36" s="10" t="s">
        <v>185</v>
      </c>
      <c r="C36" s="10" t="s">
        <v>225</v>
      </c>
      <c r="D36" s="10"/>
      <c r="E36" s="10"/>
    </row>
    <row r="37" spans="1:5" x14ac:dyDescent="0.25">
      <c r="A37" s="10" t="s">
        <v>186</v>
      </c>
      <c r="B37" s="10" t="s">
        <v>3</v>
      </c>
      <c r="C37" s="10" t="s">
        <v>225</v>
      </c>
      <c r="D37" s="10"/>
      <c r="E37" s="10"/>
    </row>
    <row r="38" spans="1:5" x14ac:dyDescent="0.25">
      <c r="A38" s="10" t="s">
        <v>187</v>
      </c>
      <c r="B38" s="10" t="s">
        <v>188</v>
      </c>
      <c r="C38" s="10" t="s">
        <v>225</v>
      </c>
      <c r="D38" s="10"/>
      <c r="E38" s="10"/>
    </row>
    <row r="39" spans="1:5" x14ac:dyDescent="0.25">
      <c r="A39" s="10" t="s">
        <v>189</v>
      </c>
      <c r="B39" s="10" t="s">
        <v>190</v>
      </c>
      <c r="C39" s="10" t="s">
        <v>225</v>
      </c>
      <c r="D39" s="10"/>
      <c r="E39" s="10"/>
    </row>
    <row r="40" spans="1:5" x14ac:dyDescent="0.25">
      <c r="A40" s="10" t="s">
        <v>191</v>
      </c>
      <c r="B40" s="10" t="s">
        <v>191</v>
      </c>
      <c r="C40" s="10" t="s">
        <v>225</v>
      </c>
      <c r="D40" s="10"/>
      <c r="E40" s="10"/>
    </row>
    <row r="41" spans="1:5" x14ac:dyDescent="0.25">
      <c r="A41" s="10" t="s">
        <v>192</v>
      </c>
      <c r="B41" s="10" t="s">
        <v>173</v>
      </c>
      <c r="C41" s="10" t="s">
        <v>226</v>
      </c>
      <c r="D41" s="10" t="s">
        <v>249</v>
      </c>
      <c r="E41" s="13">
        <v>30659</v>
      </c>
    </row>
    <row r="42" spans="1:5" x14ac:dyDescent="0.25">
      <c r="A42" s="10" t="s">
        <v>193</v>
      </c>
      <c r="B42" s="10" t="s">
        <v>194</v>
      </c>
      <c r="C42" s="10" t="s">
        <v>225</v>
      </c>
      <c r="D42" s="10"/>
      <c r="E42" s="10"/>
    </row>
    <row r="43" spans="1:5" x14ac:dyDescent="0.25">
      <c r="A43" s="10" t="s">
        <v>195</v>
      </c>
      <c r="B43" s="10" t="s">
        <v>196</v>
      </c>
      <c r="C43" s="10" t="s">
        <v>225</v>
      </c>
      <c r="D43" s="10"/>
      <c r="E43" s="10"/>
    </row>
    <row r="44" spans="1:5" x14ac:dyDescent="0.25">
      <c r="A44" s="10" t="s">
        <v>197</v>
      </c>
      <c r="B44" s="10" t="s">
        <v>198</v>
      </c>
      <c r="C44" s="10" t="s">
        <v>225</v>
      </c>
      <c r="D44" s="10"/>
      <c r="E44" s="10"/>
    </row>
    <row r="45" spans="1:5" x14ac:dyDescent="0.25">
      <c r="A45" s="10" t="s">
        <v>199</v>
      </c>
      <c r="B45" s="10" t="s">
        <v>198</v>
      </c>
      <c r="C45" s="10" t="s">
        <v>225</v>
      </c>
      <c r="D45" s="10"/>
      <c r="E45" s="10"/>
    </row>
    <row r="46" spans="1:5" x14ac:dyDescent="0.25">
      <c r="A46" s="10" t="s">
        <v>200</v>
      </c>
      <c r="B46" s="10" t="s">
        <v>201</v>
      </c>
      <c r="C46" s="10" t="s">
        <v>225</v>
      </c>
      <c r="D46" s="10"/>
      <c r="E46" s="10"/>
    </row>
    <row r="47" spans="1:5" x14ac:dyDescent="0.25">
      <c r="A47" s="10" t="s">
        <v>202</v>
      </c>
      <c r="B47" s="10" t="s">
        <v>203</v>
      </c>
      <c r="C47" s="10" t="s">
        <v>225</v>
      </c>
      <c r="D47" s="10"/>
      <c r="E47" s="10"/>
    </row>
    <row r="48" spans="1:5" x14ac:dyDescent="0.25">
      <c r="A48" s="10" t="s">
        <v>204</v>
      </c>
      <c r="B48" s="10" t="s">
        <v>205</v>
      </c>
      <c r="C48" s="10" t="s">
        <v>225</v>
      </c>
      <c r="D48" s="10"/>
      <c r="E48" s="10"/>
    </row>
    <row r="49" spans="1:5" x14ac:dyDescent="0.25">
      <c r="A49" s="10" t="s">
        <v>206</v>
      </c>
      <c r="B49" s="10" t="s">
        <v>207</v>
      </c>
      <c r="C49" s="10" t="s">
        <v>225</v>
      </c>
      <c r="D49" s="10"/>
      <c r="E49" s="10"/>
    </row>
    <row r="50" spans="1:5" x14ac:dyDescent="0.25">
      <c r="A50" s="10" t="s">
        <v>208</v>
      </c>
      <c r="B50" s="10" t="s">
        <v>209</v>
      </c>
      <c r="C50" s="10" t="s">
        <v>225</v>
      </c>
      <c r="D50" s="10"/>
      <c r="E5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8"/>
  <sheetViews>
    <sheetView zoomScaleNormal="100" workbookViewId="0"/>
  </sheetViews>
  <sheetFormatPr defaultRowHeight="15" x14ac:dyDescent="0.25"/>
  <cols>
    <col min="1" max="1" width="61.7109375" customWidth="1"/>
    <col min="2" max="2" width="49.140625" customWidth="1"/>
    <col min="3" max="3" width="8.85546875" bestFit="1" customWidth="1"/>
    <col min="4" max="4" width="36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8" t="s">
        <v>228</v>
      </c>
      <c r="D1" s="8" t="s">
        <v>229</v>
      </c>
      <c r="E1" s="9" t="s">
        <v>230</v>
      </c>
      <c r="G1" s="2" t="s">
        <v>225</v>
      </c>
      <c r="H1" s="3">
        <f>COUNTIF(C:C,G1)</f>
        <v>41</v>
      </c>
    </row>
    <row r="2" spans="1:8" x14ac:dyDescent="0.25">
      <c r="A2" s="10" t="s">
        <v>132</v>
      </c>
      <c r="B2" s="10" t="s">
        <v>133</v>
      </c>
      <c r="C2" s="10" t="s">
        <v>225</v>
      </c>
      <c r="D2" s="10"/>
      <c r="E2" s="10"/>
      <c r="G2" s="4" t="s">
        <v>226</v>
      </c>
      <c r="H2" s="5">
        <f>COUNTIF(C:C,G2)</f>
        <v>6</v>
      </c>
    </row>
    <row r="3" spans="1:8" ht="15.75" thickBot="1" x14ac:dyDescent="0.3">
      <c r="A3" s="10" t="s">
        <v>210</v>
      </c>
      <c r="B3" s="10" t="s">
        <v>3</v>
      </c>
      <c r="C3" s="10" t="s">
        <v>225</v>
      </c>
      <c r="D3" s="10"/>
      <c r="E3" s="10"/>
      <c r="G3" s="6" t="s">
        <v>227</v>
      </c>
      <c r="H3" s="7">
        <f>H1/SUM(H1:H2)</f>
        <v>0.87234042553191493</v>
      </c>
    </row>
    <row r="4" spans="1:8" x14ac:dyDescent="0.25">
      <c r="A4" s="10" t="s">
        <v>211</v>
      </c>
      <c r="B4" s="10" t="s">
        <v>135</v>
      </c>
      <c r="C4" s="10" t="s">
        <v>225</v>
      </c>
      <c r="D4" s="10"/>
      <c r="E4" s="10"/>
    </row>
    <row r="5" spans="1:8" x14ac:dyDescent="0.25">
      <c r="A5" s="10" t="s">
        <v>136</v>
      </c>
      <c r="B5" s="10" t="s">
        <v>137</v>
      </c>
      <c r="C5" s="10" t="s">
        <v>225</v>
      </c>
      <c r="D5" s="10"/>
      <c r="E5" s="10"/>
    </row>
    <row r="6" spans="1:8" x14ac:dyDescent="0.25">
      <c r="A6" s="10" t="s">
        <v>22</v>
      </c>
      <c r="B6" s="10" t="s">
        <v>138</v>
      </c>
      <c r="C6" s="10" t="s">
        <v>225</v>
      </c>
      <c r="D6" s="10"/>
      <c r="E6" s="10"/>
    </row>
    <row r="7" spans="1:8" x14ac:dyDescent="0.25">
      <c r="A7" s="10" t="s">
        <v>139</v>
      </c>
      <c r="B7" s="10" t="s">
        <v>21</v>
      </c>
      <c r="C7" s="10" t="s">
        <v>225</v>
      </c>
      <c r="D7" s="10"/>
      <c r="E7" s="10"/>
    </row>
    <row r="8" spans="1:8" x14ac:dyDescent="0.25">
      <c r="A8" s="10" t="s">
        <v>140</v>
      </c>
      <c r="B8" s="10" t="s">
        <v>141</v>
      </c>
      <c r="C8" s="10" t="s">
        <v>225</v>
      </c>
      <c r="D8" s="10"/>
      <c r="E8" s="10"/>
    </row>
    <row r="9" spans="1:8" x14ac:dyDescent="0.25">
      <c r="A9" s="10" t="s">
        <v>142</v>
      </c>
      <c r="B9" s="10" t="s">
        <v>143</v>
      </c>
      <c r="C9" s="10" t="s">
        <v>226</v>
      </c>
      <c r="D9" s="10" t="s">
        <v>135</v>
      </c>
      <c r="E9" s="13">
        <v>17542</v>
      </c>
    </row>
    <row r="10" spans="1:8" x14ac:dyDescent="0.25">
      <c r="A10" s="10" t="s">
        <v>144</v>
      </c>
      <c r="B10" s="10" t="s">
        <v>145</v>
      </c>
      <c r="C10" s="10" t="s">
        <v>226</v>
      </c>
      <c r="D10" s="10" t="s">
        <v>246</v>
      </c>
      <c r="E10" s="13">
        <v>30503</v>
      </c>
    </row>
    <row r="11" spans="1:8" x14ac:dyDescent="0.25">
      <c r="A11" s="10" t="s">
        <v>146</v>
      </c>
      <c r="B11" s="10" t="s">
        <v>147</v>
      </c>
      <c r="C11" s="10" t="s">
        <v>226</v>
      </c>
      <c r="D11" s="10" t="s">
        <v>247</v>
      </c>
      <c r="E11" s="13">
        <v>30502</v>
      </c>
    </row>
    <row r="12" spans="1:8" x14ac:dyDescent="0.25">
      <c r="A12" s="10" t="s">
        <v>148</v>
      </c>
      <c r="B12" s="10" t="s">
        <v>145</v>
      </c>
      <c r="C12" s="10" t="s">
        <v>225</v>
      </c>
      <c r="D12" s="10"/>
      <c r="E12" s="10"/>
    </row>
    <row r="13" spans="1:8" x14ac:dyDescent="0.25">
      <c r="A13" s="10" t="s">
        <v>149</v>
      </c>
      <c r="B13" s="10" t="s">
        <v>150</v>
      </c>
      <c r="C13" s="10" t="s">
        <v>225</v>
      </c>
      <c r="D13" s="10"/>
      <c r="E13" s="10"/>
    </row>
    <row r="14" spans="1:8" x14ac:dyDescent="0.25">
      <c r="A14" s="10" t="s">
        <v>151</v>
      </c>
      <c r="B14" s="10" t="s">
        <v>3</v>
      </c>
      <c r="C14" s="10" t="s">
        <v>225</v>
      </c>
      <c r="D14" s="10"/>
      <c r="E14" s="10"/>
    </row>
    <row r="15" spans="1:8" x14ac:dyDescent="0.25">
      <c r="A15" s="10" t="s">
        <v>152</v>
      </c>
      <c r="B15" s="10" t="s">
        <v>81</v>
      </c>
      <c r="C15" s="10" t="s">
        <v>225</v>
      </c>
      <c r="D15" s="10"/>
      <c r="E15" s="10"/>
    </row>
    <row r="16" spans="1:8" x14ac:dyDescent="0.25">
      <c r="A16" s="10" t="s">
        <v>212</v>
      </c>
      <c r="B16" s="10" t="s">
        <v>154</v>
      </c>
      <c r="C16" s="10" t="s">
        <v>225</v>
      </c>
      <c r="D16" s="10"/>
      <c r="E16" s="10"/>
    </row>
    <row r="17" spans="1:5" x14ac:dyDescent="0.25">
      <c r="A17" s="10" t="s">
        <v>213</v>
      </c>
      <c r="B17" s="10" t="s">
        <v>156</v>
      </c>
      <c r="C17" s="10" t="s">
        <v>225</v>
      </c>
      <c r="D17" s="10"/>
      <c r="E17" s="10"/>
    </row>
    <row r="18" spans="1:5" x14ac:dyDescent="0.25">
      <c r="A18" s="10" t="s">
        <v>214</v>
      </c>
      <c r="B18" s="10" t="s">
        <v>156</v>
      </c>
      <c r="C18" s="10" t="s">
        <v>225</v>
      </c>
      <c r="D18" s="10"/>
      <c r="E18" s="10"/>
    </row>
    <row r="19" spans="1:5" x14ac:dyDescent="0.25">
      <c r="A19" s="10" t="s">
        <v>158</v>
      </c>
      <c r="B19" s="10" t="s">
        <v>159</v>
      </c>
      <c r="C19" s="10" t="s">
        <v>225</v>
      </c>
      <c r="D19" s="10"/>
      <c r="E19" s="10"/>
    </row>
    <row r="20" spans="1:5" x14ac:dyDescent="0.25">
      <c r="A20" s="10" t="s">
        <v>215</v>
      </c>
      <c r="B20" s="10" t="s">
        <v>216</v>
      </c>
      <c r="C20" s="10" t="s">
        <v>226</v>
      </c>
      <c r="D20" s="10" t="s">
        <v>159</v>
      </c>
      <c r="E20" s="13">
        <v>30675</v>
      </c>
    </row>
    <row r="21" spans="1:5" x14ac:dyDescent="0.25">
      <c r="A21" s="10" t="s">
        <v>217</v>
      </c>
      <c r="B21" s="10" t="s">
        <v>161</v>
      </c>
      <c r="C21" s="10" t="s">
        <v>225</v>
      </c>
      <c r="D21" s="10"/>
      <c r="E21" s="10"/>
    </row>
    <row r="22" spans="1:5" x14ac:dyDescent="0.25">
      <c r="A22" s="10" t="s">
        <v>163</v>
      </c>
      <c r="B22" s="10" t="s">
        <v>3</v>
      </c>
      <c r="C22" s="10" t="s">
        <v>225</v>
      </c>
      <c r="D22" s="10"/>
      <c r="E22" s="10"/>
    </row>
    <row r="23" spans="1:5" x14ac:dyDescent="0.25">
      <c r="A23" s="10" t="s">
        <v>164</v>
      </c>
      <c r="B23" s="10" t="s">
        <v>165</v>
      </c>
      <c r="C23" s="10" t="s">
        <v>225</v>
      </c>
      <c r="D23" s="10"/>
      <c r="E23" s="10"/>
    </row>
    <row r="24" spans="1:5" x14ac:dyDescent="0.25">
      <c r="A24" s="10" t="s">
        <v>166</v>
      </c>
      <c r="B24" s="10" t="s">
        <v>167</v>
      </c>
      <c r="C24" s="10" t="s">
        <v>225</v>
      </c>
      <c r="D24" s="10"/>
      <c r="E24" s="10"/>
    </row>
    <row r="25" spans="1:5" x14ac:dyDescent="0.25">
      <c r="A25" s="10" t="s">
        <v>168</v>
      </c>
      <c r="B25" s="10" t="s">
        <v>3</v>
      </c>
      <c r="C25" s="10" t="s">
        <v>225</v>
      </c>
      <c r="D25" s="10"/>
      <c r="E25" s="10"/>
    </row>
    <row r="26" spans="1:5" x14ac:dyDescent="0.25">
      <c r="A26" s="10" t="s">
        <v>169</v>
      </c>
      <c r="B26" s="10" t="s">
        <v>170</v>
      </c>
      <c r="C26" s="10" t="s">
        <v>225</v>
      </c>
      <c r="D26" s="10"/>
      <c r="E26" s="10"/>
    </row>
    <row r="27" spans="1:5" x14ac:dyDescent="0.25">
      <c r="A27" s="10" t="s">
        <v>171</v>
      </c>
      <c r="B27" s="10" t="s">
        <v>21</v>
      </c>
      <c r="C27" s="10" t="s">
        <v>226</v>
      </c>
      <c r="D27" s="10" t="s">
        <v>250</v>
      </c>
      <c r="E27" s="13">
        <v>30485</v>
      </c>
    </row>
    <row r="28" spans="1:5" x14ac:dyDescent="0.25">
      <c r="A28" s="10" t="s">
        <v>172</v>
      </c>
      <c r="B28" s="10" t="s">
        <v>173</v>
      </c>
      <c r="C28" s="10" t="s">
        <v>225</v>
      </c>
      <c r="D28" s="10"/>
      <c r="E28" s="10"/>
    </row>
    <row r="29" spans="1:5" x14ac:dyDescent="0.25">
      <c r="A29" s="10" t="s">
        <v>174</v>
      </c>
      <c r="B29" s="10" t="s">
        <v>173</v>
      </c>
      <c r="C29" s="10" t="s">
        <v>225</v>
      </c>
      <c r="D29" s="10"/>
      <c r="E29" s="10"/>
    </row>
    <row r="30" spans="1:5" x14ac:dyDescent="0.25">
      <c r="A30" s="10" t="s">
        <v>177</v>
      </c>
      <c r="B30" s="10" t="s">
        <v>178</v>
      </c>
      <c r="C30" s="10" t="s">
        <v>225</v>
      </c>
      <c r="D30" s="10"/>
      <c r="E30" s="10"/>
    </row>
    <row r="31" spans="1:5" x14ac:dyDescent="0.25">
      <c r="A31" s="10" t="s">
        <v>179</v>
      </c>
      <c r="B31" s="10" t="s">
        <v>178</v>
      </c>
      <c r="C31" s="10" t="s">
        <v>225</v>
      </c>
      <c r="D31" s="10"/>
      <c r="E31" s="10"/>
    </row>
    <row r="32" spans="1:5" x14ac:dyDescent="0.25">
      <c r="A32" s="10" t="s">
        <v>180</v>
      </c>
      <c r="B32" s="10" t="s">
        <v>181</v>
      </c>
      <c r="C32" s="10" t="s">
        <v>225</v>
      </c>
      <c r="D32" s="10"/>
      <c r="E32" s="10"/>
    </row>
    <row r="33" spans="1:5" x14ac:dyDescent="0.25">
      <c r="A33" s="10" t="s">
        <v>182</v>
      </c>
      <c r="B33" s="10" t="s">
        <v>183</v>
      </c>
      <c r="C33" s="10" t="s">
        <v>225</v>
      </c>
      <c r="D33" s="10"/>
      <c r="E33" s="10"/>
    </row>
    <row r="34" spans="1:5" x14ac:dyDescent="0.25">
      <c r="A34" s="10" t="s">
        <v>184</v>
      </c>
      <c r="B34" s="10" t="s">
        <v>185</v>
      </c>
      <c r="C34" s="10" t="s">
        <v>225</v>
      </c>
      <c r="D34" s="10"/>
      <c r="E34" s="10"/>
    </row>
    <row r="35" spans="1:5" x14ac:dyDescent="0.25">
      <c r="A35" s="10" t="s">
        <v>186</v>
      </c>
      <c r="B35" s="10" t="s">
        <v>3</v>
      </c>
      <c r="C35" s="10" t="s">
        <v>225</v>
      </c>
      <c r="D35" s="10"/>
      <c r="E35" s="10"/>
    </row>
    <row r="36" spans="1:5" x14ac:dyDescent="0.25">
      <c r="A36" s="10" t="s">
        <v>187</v>
      </c>
      <c r="B36" s="10" t="s">
        <v>188</v>
      </c>
      <c r="C36" s="10" t="s">
        <v>225</v>
      </c>
      <c r="D36" s="10"/>
      <c r="E36" s="10"/>
    </row>
    <row r="37" spans="1:5" x14ac:dyDescent="0.25">
      <c r="A37" s="10" t="s">
        <v>189</v>
      </c>
      <c r="B37" s="10" t="s">
        <v>190</v>
      </c>
      <c r="C37" s="10" t="s">
        <v>225</v>
      </c>
      <c r="D37" s="10"/>
      <c r="E37" s="10"/>
    </row>
    <row r="38" spans="1:5" x14ac:dyDescent="0.25">
      <c r="A38" s="10" t="s">
        <v>191</v>
      </c>
      <c r="B38" s="10" t="s">
        <v>191</v>
      </c>
      <c r="C38" s="10" t="s">
        <v>225</v>
      </c>
      <c r="D38" s="10"/>
      <c r="E38" s="10"/>
    </row>
    <row r="39" spans="1:5" x14ac:dyDescent="0.25">
      <c r="A39" s="10" t="s">
        <v>192</v>
      </c>
      <c r="B39" s="10" t="s">
        <v>173</v>
      </c>
      <c r="C39" s="10" t="s">
        <v>226</v>
      </c>
      <c r="D39" s="10" t="s">
        <v>249</v>
      </c>
      <c r="E39" s="13">
        <v>30659</v>
      </c>
    </row>
    <row r="40" spans="1:5" x14ac:dyDescent="0.25">
      <c r="A40" s="10" t="s">
        <v>193</v>
      </c>
      <c r="B40" s="10" t="s">
        <v>194</v>
      </c>
      <c r="C40" s="10" t="s">
        <v>225</v>
      </c>
      <c r="D40" s="10"/>
      <c r="E40" s="10"/>
    </row>
    <row r="41" spans="1:5" x14ac:dyDescent="0.25">
      <c r="A41" s="10" t="s">
        <v>195</v>
      </c>
      <c r="B41" s="10" t="s">
        <v>196</v>
      </c>
      <c r="C41" s="10" t="s">
        <v>225</v>
      </c>
      <c r="D41" s="10"/>
      <c r="E41" s="10"/>
    </row>
    <row r="42" spans="1:5" x14ac:dyDescent="0.25">
      <c r="A42" s="10" t="s">
        <v>197</v>
      </c>
      <c r="B42" s="10" t="s">
        <v>198</v>
      </c>
      <c r="C42" s="10" t="s">
        <v>225</v>
      </c>
      <c r="D42" s="10"/>
      <c r="E42" s="10"/>
    </row>
    <row r="43" spans="1:5" x14ac:dyDescent="0.25">
      <c r="A43" s="10" t="s">
        <v>199</v>
      </c>
      <c r="B43" s="10" t="s">
        <v>198</v>
      </c>
      <c r="C43" s="10" t="s">
        <v>225</v>
      </c>
      <c r="D43" s="10"/>
      <c r="E43" s="10"/>
    </row>
    <row r="44" spans="1:5" x14ac:dyDescent="0.25">
      <c r="A44" s="10" t="s">
        <v>200</v>
      </c>
      <c r="B44" s="10" t="s">
        <v>201</v>
      </c>
      <c r="C44" s="10" t="s">
        <v>225</v>
      </c>
      <c r="D44" s="10"/>
      <c r="E44" s="10"/>
    </row>
    <row r="45" spans="1:5" x14ac:dyDescent="0.25">
      <c r="A45" s="10" t="s">
        <v>202</v>
      </c>
      <c r="B45" s="10" t="s">
        <v>203</v>
      </c>
      <c r="C45" s="10" t="s">
        <v>225</v>
      </c>
      <c r="D45" s="10"/>
      <c r="E45" s="10"/>
    </row>
    <row r="46" spans="1:5" ht="15" customHeight="1" x14ac:dyDescent="0.25">
      <c r="A46" s="10" t="s">
        <v>218</v>
      </c>
      <c r="B46" s="10" t="s">
        <v>205</v>
      </c>
      <c r="C46" s="10" t="s">
        <v>225</v>
      </c>
      <c r="D46" s="10"/>
      <c r="E46" s="10"/>
    </row>
    <row r="47" spans="1:5" x14ac:dyDescent="0.25">
      <c r="A47" s="10" t="s">
        <v>206</v>
      </c>
      <c r="B47" s="10" t="s">
        <v>207</v>
      </c>
      <c r="C47" s="10" t="s">
        <v>225</v>
      </c>
      <c r="D47" s="10"/>
      <c r="E47" s="10"/>
    </row>
    <row r="48" spans="1:5" x14ac:dyDescent="0.25">
      <c r="A48" s="10" t="s">
        <v>208</v>
      </c>
      <c r="B48" s="10" t="s">
        <v>209</v>
      </c>
      <c r="C48" s="10" t="s">
        <v>225</v>
      </c>
      <c r="D48" s="10"/>
      <c r="E4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2026-03-25T17:06:01Z</dcterms:created>
  <dcterms:modified xsi:type="dcterms:W3CDTF">2026-04-06T03:52:34Z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2026-04-01T05:40:09Z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2c3ebbd5-ce71-47d2-868a-a6581934ff8e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