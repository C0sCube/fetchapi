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176116A0-3B0B-43B5-B7FE-E8A215FBB6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R" sheetId="2" r:id="rId7"/>
    <sheet name="SR_C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2"/>
  <c r="H1" i="2"/>
  <c r="H3" i="2" s="1"/>
  <c r="H2" i="8"/>
  <c r="H1" i="8"/>
  <c r="H2" i="4"/>
  <c r="H1" i="4"/>
  <c r="H3" i="4" s="1"/>
  <c r="H2" i="7"/>
  <c r="H1" i="7"/>
  <c r="H3" i="7" s="1"/>
  <c r="H2" i="3"/>
  <c r="H1" i="3"/>
  <c r="H2" i="5"/>
  <c r="H1" i="5"/>
  <c r="H2" i="1"/>
  <c r="H1" i="1"/>
  <c r="H3" i="1" s="1"/>
  <c r="H3" i="8" l="1"/>
  <c r="H3" i="3"/>
  <c r="H3" i="5"/>
</calcChain>
</file>

<file path=xl/sharedStrings.xml><?xml version="1.0" encoding="utf-8"?>
<sst xmlns="http://schemas.openxmlformats.org/spreadsheetml/2006/main" count="866" uniqueCount="249">
  <si>
    <t>Particulars</t>
  </si>
  <si>
    <t>Cogencis Field</t>
  </si>
  <si>
    <t>Net sales / Income from Operation ( Net of GST )</t>
  </si>
  <si>
    <t>Gross Sales/Income from Operations</t>
  </si>
  <si>
    <t>Other Income</t>
  </si>
  <si>
    <t>Miscellaneous Income</t>
  </si>
  <si>
    <t>Total Income from Opearations ( net )</t>
  </si>
  <si>
    <t>Items that will not be reclassified to Profit or Loss</t>
  </si>
  <si>
    <t>Expenses :</t>
  </si>
  <si>
    <t>Lable</t>
  </si>
  <si>
    <t>Cost of Materials Consumed</t>
  </si>
  <si>
    <t>Purchase of traded goods</t>
  </si>
  <si>
    <t>Purchase of Stock-in-Trade</t>
  </si>
  <si>
    <t>change in inventories of finished goods, Work-in-progress &amp; Stock-in-trade</t>
  </si>
  <si>
    <t>Changes in Inventories of Finished Goods, Work-In-Progress and Stock-In-Trade</t>
  </si>
  <si>
    <t>Employees benefit expenses</t>
  </si>
  <si>
    <t>Employee Benefit Expense</t>
  </si>
  <si>
    <t>Finance Cost</t>
  </si>
  <si>
    <t>Finance Costs</t>
  </si>
  <si>
    <t>Depreciation and amortisation Exp .</t>
  </si>
  <si>
    <t>Depreciation, Depletion and Amortisation Expense</t>
  </si>
  <si>
    <t>Other Expenses</t>
  </si>
  <si>
    <t>Total Expenses</t>
  </si>
  <si>
    <t>Profit/(Loss )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</si>
  <si>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</si>
  <si>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</si>
  <si>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</si>
  <si>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/ ( Loss ) before extraordinary items and tax</t>
  </si>
  <si>
    <t>Profit/(Loss) From Ordinary Activities before Tax</t>
  </si>
  <si>
    <t>Extraordinary items</t>
  </si>
  <si>
    <t>Extraordinary Items</t>
  </si>
  <si>
    <t>Profit / ( Loss ) before tax</t>
  </si>
  <si>
    <t>Tax Expenses</t>
  </si>
  <si>
    <t>Current Tax - Pertaining to Current Year</t>
  </si>
  <si>
    <t>Tax Expense</t>
  </si>
  <si>
    <t>Current Tax - Pertaining to Prior Year</t>
  </si>
  <si>
    <t>Deferred Tax</t>
  </si>
  <si>
    <t>Total Tax Expenses</t>
  </si>
  <si>
    <t>Total Field</t>
  </si>
  <si>
    <t>Net Profit / ( Loss ) for the period</t>
  </si>
  <si>
    <t>Net Profit/(Loss) for the Period</t>
  </si>
  <si>
    <t>Details of Equity Share Capital</t>
  </si>
  <si>
    <t>Paid - up equity share capital ( Face Value of Rs.10 each )</t>
  </si>
  <si>
    <t>Paid-Up Equity Share Capital</t>
  </si>
  <si>
    <t>Reserves excluding Revaluation Reserves</t>
  </si>
  <si>
    <t>Reserve excluding Revaluation Reserves (as per Balance Sheet of Previous Accounting Year)</t>
  </si>
  <si>
    <t>Earnings Per Share ( EPS ) not annulized</t>
  </si>
  <si>
    <t>Basic ( ₹ )</t>
  </si>
  <si>
    <t>Basic EPS</t>
  </si>
  <si>
    <t>Diluted</t>
  </si>
  <si>
    <t>Segment 1</t>
  </si>
  <si>
    <t>Segment 2</t>
  </si>
  <si>
    <t>Total Revenue</t>
  </si>
  <si>
    <t>Total Income</t>
  </si>
  <si>
    <t>Segment Results ( Profit Before Tax )</t>
  </si>
  <si>
    <t>Unallocable</t>
  </si>
  <si>
    <t>Total Profit Before Tax</t>
  </si>
  <si>
    <t>Segment Assets</t>
  </si>
  <si>
    <t>Segment Liabilities</t>
  </si>
  <si>
    <t>Segment Capital Employed</t>
  </si>
  <si>
    <t>Interest Income</t>
  </si>
  <si>
    <t>Equity Share Capital</t>
  </si>
  <si>
    <t>Reserve &amp; Surplus</t>
  </si>
  <si>
    <t>Total</t>
  </si>
  <si>
    <t>Shareholders ' funds</t>
  </si>
  <si>
    <t>Share capital</t>
  </si>
  <si>
    <t>Share Capital</t>
  </si>
  <si>
    <t>Reserves and surplus</t>
  </si>
  <si>
    <t>Reserves And Surplus/Other Equity</t>
  </si>
  <si>
    <t>Sub - total - Shareholders ' funds</t>
  </si>
  <si>
    <t>Total Share Holder's Funds</t>
  </si>
  <si>
    <t>Share application money pending allotment</t>
  </si>
  <si>
    <t>Minority interest</t>
  </si>
  <si>
    <t>Non - current liabilities</t>
  </si>
  <si>
    <t>Long - term borrowings</t>
  </si>
  <si>
    <t>Borrowings</t>
  </si>
  <si>
    <t>Deferred tax liabilities ( net)</t>
  </si>
  <si>
    <t>Deferred Tax Liability (Net)</t>
  </si>
  <si>
    <t>Long-term provisions</t>
  </si>
  <si>
    <t>Long-Term Provisions</t>
  </si>
  <si>
    <t>Other long - term liabilities</t>
  </si>
  <si>
    <t>Other Non-Current Liabilities</t>
  </si>
  <si>
    <t>Sub - total - Non - current liabilities</t>
  </si>
  <si>
    <t>Total Non-Current Liabilities</t>
  </si>
  <si>
    <t>Current liabilities</t>
  </si>
  <si>
    <t>Short - term borrowings</t>
  </si>
  <si>
    <t>Trade payables</t>
  </si>
  <si>
    <t>Trade Payables</t>
  </si>
  <si>
    <t>Total Outstanding Dues of Micro Enterprises &amp; Small Enterprises</t>
  </si>
  <si>
    <t>Total Outstanding Dues of Creditors other than Micro Enterprises &amp; Small Enterprises</t>
  </si>
  <si>
    <t>Other current liabilities</t>
  </si>
  <si>
    <t>Other liabilities</t>
  </si>
  <si>
    <t>Short - term provisions</t>
  </si>
  <si>
    <t>Short-Term Provisions</t>
  </si>
  <si>
    <t>Sub - total - Current liabilities</t>
  </si>
  <si>
    <t>TOTAL - EQUITY AND LIABILITIES</t>
  </si>
  <si>
    <t>Total Equity And Liabilities</t>
  </si>
  <si>
    <t xml:space="preserve"> ASSETS</t>
  </si>
  <si>
    <t>Non - current assets</t>
  </si>
  <si>
    <t>Property, Plant and Equipment:</t>
  </si>
  <si>
    <t>Property, Plant &amp; Equipment</t>
  </si>
  <si>
    <t>Tangible Assets</t>
  </si>
  <si>
    <t>Intangible Assets</t>
  </si>
  <si>
    <t>Other Intangible Assets</t>
  </si>
  <si>
    <t>Tangible Assets Capital Work in Progress</t>
  </si>
  <si>
    <t>Capital Work-In-Progress</t>
  </si>
  <si>
    <t>Intangible Assets under development or work in progress</t>
  </si>
  <si>
    <t>Intangible Assets Under Development</t>
  </si>
  <si>
    <t>Sub - total - Fixed Assets</t>
  </si>
  <si>
    <t>Total Current Assets</t>
  </si>
  <si>
    <t>Non - current investments</t>
  </si>
  <si>
    <t>Non-Current Investments</t>
  </si>
  <si>
    <t>Deferred tax assets ( net)</t>
  </si>
  <si>
    <t>Deferred Tax Assets (Net)</t>
  </si>
  <si>
    <t>Long - term loans and advances</t>
  </si>
  <si>
    <t>Loans Non-Current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</si>
  <si>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</si>
  <si>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</si>
  <si>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</si>
  <si>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</si>
  <si>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</si>
  <si>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Current investments</t>
  </si>
  <si>
    <t>Current Investments</t>
  </si>
  <si>
    <t>Inventories</t>
  </si>
  <si>
    <t>Trade receivables</t>
  </si>
  <si>
    <t>Trade Receivables</t>
  </si>
  <si>
    <t>Cash and cash equivalents</t>
  </si>
  <si>
    <t>Cash And Cash Equivalents</t>
  </si>
  <si>
    <t>Cash on Hand &amp; Equivalents</t>
  </si>
  <si>
    <t>Balances with Scheduled Banks</t>
  </si>
  <si>
    <t>Bank balance other than cash and cash equivalents</t>
  </si>
  <si>
    <t>Short - term loans and advances</t>
  </si>
  <si>
    <t>Loans, Current</t>
  </si>
  <si>
    <t>Other current assets</t>
  </si>
  <si>
    <t>Other Current Assets</t>
  </si>
  <si>
    <t>Sub - total - Current assets</t>
  </si>
  <si>
    <t>Total - Assets</t>
  </si>
  <si>
    <t>Total Assets</t>
  </si>
  <si>
    <t>Profit before tax</t>
  </si>
  <si>
    <t>Net Profit Before Tax And Exceptional Item</t>
  </si>
  <si>
    <t>Add : Non Cash and Non Operating items</t>
  </si>
  <si>
    <t>Depreciation Expenses</t>
  </si>
  <si>
    <t>Depreciation and Amortisation Expense</t>
  </si>
  <si>
    <t>Interest received</t>
  </si>
  <si>
    <t>Interest Expense</t>
  </si>
  <si>
    <t>Operating profit before working capital changes</t>
  </si>
  <si>
    <t>Operating Profit Before Working Capital Changes</t>
  </si>
  <si>
    <t>Adjustment for :</t>
  </si>
  <si>
    <t>(Increase)/ Decrease in Sundry Debtors</t>
  </si>
  <si>
    <t>Sundry Debtors</t>
  </si>
  <si>
    <t>(Increase)/ Decrease in Inventories</t>
  </si>
  <si>
    <t>(Increase)/ Decrease in Short Term Loans &amp; Advances &amp; Other assets</t>
  </si>
  <si>
    <t>Loans And Advances</t>
  </si>
  <si>
    <t>(Increase)/ Decrease in Other Current Assets</t>
  </si>
  <si>
    <t>Other Current and Non Current Assets</t>
  </si>
  <si>
    <t>(Increase)/ Decrease in Other Non Current Assets</t>
  </si>
  <si>
    <t>Others-Investing Activities</t>
  </si>
  <si>
    <t>(Increase)/ Decrease in Long Term Loans and Advances</t>
  </si>
  <si>
    <t>Cash Advances and Loans Made to Other Parties</t>
  </si>
  <si>
    <t>(Increase)/ Decrease in Deposit with Customers</t>
  </si>
  <si>
    <t>Fixed Deposits</t>
  </si>
  <si>
    <t>(Increase)/ Decrease in Trade Payables</t>
  </si>
  <si>
    <t>Trade Payables And Others</t>
  </si>
  <si>
    <t>(Increase)/ Decrease in Current Liabilities</t>
  </si>
  <si>
    <t>Other Current and Non Current Liabilities</t>
  </si>
  <si>
    <t>(Increase)/ Decrease in Short Term Provision</t>
  </si>
  <si>
    <t>Provisions</t>
  </si>
  <si>
    <t>(Increase)/ Decrease in Long Term Provision</t>
  </si>
  <si>
    <t>(Increase)/ Decrease in Other Non Current Liabilities</t>
  </si>
  <si>
    <t>Cash Generated from Operation</t>
  </si>
  <si>
    <t>Net Cash Flow From Operating Activities</t>
  </si>
  <si>
    <t>Taxes Paid</t>
  </si>
  <si>
    <t>Income Tax Paid</t>
  </si>
  <si>
    <t>Net Cash Flow from Operating Activity</t>
  </si>
  <si>
    <t>Cash Flow from Investing Activity</t>
  </si>
  <si>
    <t xml:space="preserve">(Increase)/ Decrease in Property, Plant &amp; Equipments (Net) </t>
  </si>
  <si>
    <t>Purchase Of Fixed Assets (Tangible / Intangible)</t>
  </si>
  <si>
    <t>(Purchase ) of Investment</t>
  </si>
  <si>
    <t>Purchase Of Investments</t>
  </si>
  <si>
    <t>Interest Received</t>
  </si>
  <si>
    <t>Net Cash Flow from Investing Activity</t>
  </si>
  <si>
    <t>Net Cash Flow From Investing Activities</t>
  </si>
  <si>
    <t>Cash Flow from Financing Activity</t>
  </si>
  <si>
    <t>(Increase)/ Decrease in Long Term Borrowings</t>
  </si>
  <si>
    <t>Proceeds From Long Term Borrowings</t>
  </si>
  <si>
    <t>(Increase)/ Decrease in Short Term Borrowings</t>
  </si>
  <si>
    <t>Proceeds From Short Term Borrowings</t>
  </si>
  <si>
    <t>Change in Capital Reserve</t>
  </si>
  <si>
    <t>Net Cash Flow from Financing Activities</t>
  </si>
  <si>
    <t>Net Cash Flow From Financing Activities</t>
  </si>
  <si>
    <t>Net Increase/(Decrease ) in Cash and Cash Equivalents</t>
  </si>
  <si>
    <t>Net Increase in Cash and Cash Equivalents</t>
  </si>
  <si>
    <t>Opening Balance of Cash and Cash Equivalents</t>
  </si>
  <si>
    <t>Cash and Cash Equivalents at the Beginning of the Year</t>
  </si>
  <si>
    <t>Closing Balance of Cash and Cash Equivalents</t>
  </si>
  <si>
    <t>Cash and Cash Equivalents at the End of the Year</t>
  </si>
  <si>
    <t>Total Income from Operations ( net )</t>
  </si>
  <si>
    <t>Cost of Materials &amp; Stores Consumed</t>
  </si>
  <si>
    <t>Change in inventories of finished goods Work-in-progress &amp; Stock-in- trade</t>
  </si>
  <si>
    <t>Profit / ( Loss ) of Minority Interest</t>
  </si>
  <si>
    <t>Net Profit / ( Loss ) for the Period</t>
  </si>
  <si>
    <t>Basic</t>
  </si>
  <si>
    <t>Segment 3</t>
  </si>
  <si>
    <t>Segment 1&amp;2</t>
  </si>
  <si>
    <t>Minority Interest</t>
  </si>
  <si>
    <t>Long - term provisions</t>
  </si>
  <si>
    <t>ASSETS</t>
  </si>
  <si>
    <t>Add: Non Cash and Non Operating items</t>
  </si>
  <si>
    <t>Other Adjustment for Non cash Items</t>
  </si>
  <si>
    <t>Other adjustments for non-cash items</t>
  </si>
  <si>
    <t xml:space="preserve">Adjustment for: </t>
  </si>
  <si>
    <t>(Increase)/ Decrease in Trade Receivables</t>
  </si>
  <si>
    <t>Trade And Other Receivables</t>
  </si>
  <si>
    <t>(Increase)/ Decrease in Loans and Advances</t>
  </si>
  <si>
    <t>(Increase)/ Decrease in Short Term &amp; Long Term Provision</t>
  </si>
  <si>
    <t>(Increase)/ Decrease in Non Current Liabilities</t>
  </si>
  <si>
    <t>(Increase)/ Decrease in Property, Plant &amp; Equipments (Net)</t>
  </si>
  <si>
    <t>Cashflows used in obtaining control of subsidiaries business</t>
  </si>
  <si>
    <t>Other Adjustments</t>
  </si>
  <si>
    <t>Intrest Received</t>
  </si>
  <si>
    <t>Change in Minority Interest</t>
  </si>
  <si>
    <t>Others-Financing Activities</t>
  </si>
  <si>
    <t>Change in Capital reserve</t>
  </si>
  <si>
    <t>Share in profit of Subsidiary (Minority Interest)</t>
  </si>
  <si>
    <t>Profit On Sale Of Investments</t>
  </si>
  <si>
    <t>Net Increase/ (Decrease) in Cash and Cash Equivalents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</si>
  <si>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</si>
  <si>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</si>
  <si>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</si>
  <si>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</si>
  <si>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</si>
  <si>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</si>
  <si>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</si>
  <si>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Diluted EPS</t>
  </si>
  <si>
    <t xml:space="preserve"> </t>
  </si>
  <si>
    <t>Net Profit/(Loss) After Taxes But Before Share of Profit/(Loss) of Associates and Minority Interest</t>
  </si>
  <si>
    <t>Label</t>
  </si>
  <si>
    <t>Consolidated Field</t>
  </si>
  <si>
    <t>Total Current Liabilities</t>
  </si>
  <si>
    <t>Total Fixed Assets</t>
  </si>
  <si>
    <t>Short Term Loans And Advances</t>
  </si>
  <si>
    <t>Long Term Loans And Advances</t>
  </si>
  <si>
    <t>Increase/Decrease In Deposits</t>
  </si>
  <si>
    <t>Cash Generated From Operations</t>
  </si>
  <si>
    <t>Interest Paid</t>
  </si>
  <si>
    <t>Others-Before Working Capital Changes</t>
  </si>
  <si>
    <t>Cash flows used in obtaining control of subsidiaries or other businesses</t>
  </si>
  <si>
    <t>In Segment All data Wrongly Captured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</si>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</sst>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0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53.42578125" customWidth="1"/>
    <col min="2" max="2" width="55.28515625" customWidth="1"/>
    <col min="3" max="3" width="12" customWidth="1"/>
    <col min="4" max="4" width="45.8554687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229</v>
      </c>
      <c r="D2" s="10"/>
      <c r="E2" s="10"/>
      <c r="G2" s="6" t="s">
        <v>230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229</v>
      </c>
      <c r="D3" s="10"/>
      <c r="E3" s="10"/>
      <c r="G3" s="8" t="s">
        <v>231</v>
      </c>
      <c r="H3" s="9">
        <f>H1/SUM(H1:H2)</f>
        <v>0.92592592592592593</v>
      </c>
    </row>
    <row r="4" spans="1:8" x14ac:dyDescent="0.25">
      <c r="A4" s="10" t="s">
        <v>6</v>
      </c>
      <c r="B4" s="10" t="s">
        <v>7</v>
      </c>
      <c r="C4" s="10" t="s">
        <v>230</v>
      </c>
      <c r="D4" s="10" t="s">
        <v>53</v>
      </c>
      <c r="E4" s="11">
        <v>25238</v>
      </c>
    </row>
    <row r="5" spans="1:8" x14ac:dyDescent="0.25">
      <c r="A5" s="10" t="s">
        <v>8</v>
      </c>
      <c r="B5" s="10" t="s">
        <v>9</v>
      </c>
      <c r="C5" s="10" t="s">
        <v>229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229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229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229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229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229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229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229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229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229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229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229</v>
      </c>
      <c r="D16" s="10"/>
      <c r="E16" s="11"/>
    </row>
    <row r="17" spans="1:5" x14ac:dyDescent="0.25">
      <c r="A17" s="10" t="s">
        <v>29</v>
      </c>
      <c r="B17" s="10" t="s">
        <v>30</v>
      </c>
      <c r="C17" s="10" t="s">
        <v>229</v>
      </c>
      <c r="D17" s="10"/>
      <c r="E17" s="10"/>
    </row>
    <row r="18" spans="1:5" x14ac:dyDescent="0.25">
      <c r="A18" s="10" t="s">
        <v>31</v>
      </c>
      <c r="B18" s="10" t="s">
        <v>9</v>
      </c>
      <c r="C18" s="10"/>
      <c r="D18" s="13" t="s">
        <v>248</v>
      </c>
    </row>
    <row r="19" spans="1:5" x14ac:dyDescent="0.25">
      <c r="A19" s="10" t="s">
        <v>32</v>
      </c>
      <c r="B19" s="10" t="s">
        <v>9</v>
      </c>
      <c r="C19" s="10" t="s">
        <v>229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229</v>
      </c>
      <c r="D20" s="10"/>
      <c r="E20" s="10"/>
    </row>
    <row r="21" spans="1:5" x14ac:dyDescent="0.25">
      <c r="A21" s="10" t="s">
        <v>35</v>
      </c>
      <c r="B21" s="10" t="s">
        <v>34</v>
      </c>
      <c r="C21" s="10" t="s">
        <v>229</v>
      </c>
      <c r="D21" s="10"/>
      <c r="E21" s="10"/>
    </row>
    <row r="22" spans="1:5" x14ac:dyDescent="0.25">
      <c r="A22" s="10" t="s">
        <v>36</v>
      </c>
      <c r="B22" s="10" t="s">
        <v>36</v>
      </c>
      <c r="C22" s="10" t="s">
        <v>229</v>
      </c>
      <c r="D22" s="10"/>
      <c r="E22" s="10"/>
    </row>
    <row r="23" spans="1:5" x14ac:dyDescent="0.25">
      <c r="A23" s="10" t="s">
        <v>37</v>
      </c>
      <c r="B23" s="10" t="s">
        <v>38</v>
      </c>
      <c r="C23" s="10"/>
      <c r="D23" s="10" t="s">
        <v>248</v>
      </c>
      <c r="E23" s="10"/>
    </row>
    <row r="24" spans="1:5" x14ac:dyDescent="0.25">
      <c r="A24" s="10" t="s">
        <v>39</v>
      </c>
      <c r="B24" s="10" t="s">
        <v>40</v>
      </c>
      <c r="C24" s="10" t="s">
        <v>229</v>
      </c>
      <c r="D24" s="10"/>
      <c r="E24" s="10"/>
    </row>
    <row r="25" spans="1:5" x14ac:dyDescent="0.25">
      <c r="A25" s="10" t="s">
        <v>41</v>
      </c>
      <c r="B25" s="10" t="s">
        <v>9</v>
      </c>
      <c r="C25" s="10" t="s">
        <v>229</v>
      </c>
      <c r="D25" s="10" t="s">
        <v>248</v>
      </c>
      <c r="E25" s="10"/>
    </row>
    <row r="26" spans="1:5" x14ac:dyDescent="0.25">
      <c r="A26" s="10" t="s">
        <v>42</v>
      </c>
      <c r="B26" s="10" t="s">
        <v>43</v>
      </c>
      <c r="C26" s="10" t="s">
        <v>229</v>
      </c>
      <c r="D26" s="10"/>
      <c r="E26" s="10"/>
    </row>
    <row r="27" spans="1:5" x14ac:dyDescent="0.25">
      <c r="A27" s="10" t="s">
        <v>44</v>
      </c>
      <c r="B27" s="10" t="s">
        <v>45</v>
      </c>
      <c r="C27" s="10" t="s">
        <v>229</v>
      </c>
      <c r="D27" s="10"/>
      <c r="E27" s="10"/>
    </row>
    <row r="28" spans="1:5" x14ac:dyDescent="0.25">
      <c r="A28" s="10" t="s">
        <v>46</v>
      </c>
      <c r="B28" s="10" t="s">
        <v>9</v>
      </c>
      <c r="C28" s="10" t="s">
        <v>229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229</v>
      </c>
      <c r="D29" s="10"/>
      <c r="E29" s="10"/>
    </row>
    <row r="30" spans="1:5" x14ac:dyDescent="0.25">
      <c r="A30" s="10" t="s">
        <v>49</v>
      </c>
      <c r="B30" s="10" t="s">
        <v>9</v>
      </c>
      <c r="C30" s="10" t="s">
        <v>230</v>
      </c>
      <c r="D30" s="10" t="s">
        <v>233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defaultRowHeight="15" x14ac:dyDescent="0.25"/>
  <cols>
    <col min="1" max="1" width="55" customWidth="1"/>
    <col min="2" max="2" width="56.28515625" customWidth="1"/>
    <col min="3" max="3" width="11.42578125" customWidth="1"/>
    <col min="4" max="4" width="39.71093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24</v>
      </c>
    </row>
    <row r="2" spans="1:8" x14ac:dyDescent="0.25">
      <c r="A2" s="10" t="s">
        <v>2</v>
      </c>
      <c r="B2" s="10" t="s">
        <v>3</v>
      </c>
      <c r="C2" s="10" t="s">
        <v>229</v>
      </c>
      <c r="D2" s="10"/>
      <c r="E2" s="10"/>
      <c r="G2" s="6" t="s">
        <v>230</v>
      </c>
      <c r="H2" s="7">
        <f>COUNTIF(C:C,G2)</f>
        <v>5</v>
      </c>
    </row>
    <row r="3" spans="1:8" ht="15.75" thickBot="1" x14ac:dyDescent="0.3">
      <c r="A3" s="10" t="s">
        <v>4</v>
      </c>
      <c r="B3" s="10" t="s">
        <v>5</v>
      </c>
      <c r="C3" s="10" t="s">
        <v>229</v>
      </c>
      <c r="D3" s="10"/>
      <c r="E3" s="10"/>
      <c r="G3" s="8" t="s">
        <v>231</v>
      </c>
      <c r="H3" s="9">
        <f>H1/SUM(H1:H2)</f>
        <v>0.82758620689655171</v>
      </c>
    </row>
    <row r="4" spans="1:8" x14ac:dyDescent="0.25">
      <c r="A4" s="10" t="s">
        <v>196</v>
      </c>
      <c r="B4" s="10" t="s">
        <v>53</v>
      </c>
      <c r="C4" s="10" t="s">
        <v>229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229</v>
      </c>
      <c r="D5" s="10"/>
      <c r="E5" s="10"/>
    </row>
    <row r="6" spans="1:8" x14ac:dyDescent="0.25">
      <c r="A6" s="10" t="s">
        <v>197</v>
      </c>
      <c r="B6" s="10" t="s">
        <v>10</v>
      </c>
      <c r="C6" s="10" t="s">
        <v>229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229</v>
      </c>
      <c r="D7" s="10" t="s">
        <v>234</v>
      </c>
      <c r="E7" s="10"/>
    </row>
    <row r="8" spans="1:8" x14ac:dyDescent="0.25">
      <c r="A8" s="10" t="s">
        <v>198</v>
      </c>
      <c r="B8" s="10" t="s">
        <v>14</v>
      </c>
      <c r="C8" s="10" t="s">
        <v>229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229</v>
      </c>
      <c r="D9" s="10" t="s">
        <v>234</v>
      </c>
      <c r="E9" s="10"/>
    </row>
    <row r="10" spans="1:8" x14ac:dyDescent="0.25">
      <c r="A10" s="10" t="s">
        <v>17</v>
      </c>
      <c r="B10" s="10" t="s">
        <v>18</v>
      </c>
      <c r="C10" s="10" t="s">
        <v>229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229</v>
      </c>
      <c r="D11" s="10"/>
      <c r="E11" s="10"/>
    </row>
    <row r="12" spans="1:8" x14ac:dyDescent="0.25">
      <c r="A12" s="10" t="s">
        <v>21</v>
      </c>
      <c r="B12" s="10" t="s">
        <v>21</v>
      </c>
      <c r="C12" s="10" t="s">
        <v>229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229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229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229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230</v>
      </c>
      <c r="D16" s="10" t="s">
        <v>232</v>
      </c>
      <c r="E16" s="10"/>
    </row>
    <row r="17" spans="1:5" x14ac:dyDescent="0.25">
      <c r="A17" s="10" t="s">
        <v>29</v>
      </c>
      <c r="B17" s="10" t="s">
        <v>30</v>
      </c>
      <c r="C17" s="10" t="s">
        <v>229</v>
      </c>
      <c r="D17" s="10"/>
      <c r="E17" s="10"/>
    </row>
    <row r="18" spans="1:5" x14ac:dyDescent="0.25">
      <c r="A18" s="10" t="s">
        <v>31</v>
      </c>
      <c r="B18" s="10" t="s">
        <v>9</v>
      </c>
      <c r="C18" s="10"/>
      <c r="D18" s="10" t="s">
        <v>248</v>
      </c>
      <c r="E18" s="11"/>
    </row>
    <row r="19" spans="1:5" x14ac:dyDescent="0.25">
      <c r="A19" s="10" t="s">
        <v>32</v>
      </c>
      <c r="B19" s="10" t="s">
        <v>9</v>
      </c>
      <c r="C19" s="10" t="s">
        <v>229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229</v>
      </c>
      <c r="D20" s="10"/>
      <c r="E20" s="10"/>
    </row>
    <row r="21" spans="1:5" x14ac:dyDescent="0.25">
      <c r="A21" s="10" t="s">
        <v>35</v>
      </c>
      <c r="B21" s="10" t="s">
        <v>34</v>
      </c>
      <c r="C21" s="10" t="s">
        <v>229</v>
      </c>
      <c r="D21" s="10"/>
      <c r="E21" s="10"/>
    </row>
    <row r="22" spans="1:5" x14ac:dyDescent="0.25">
      <c r="A22" s="10" t="s">
        <v>36</v>
      </c>
      <c r="B22" s="10" t="s">
        <v>36</v>
      </c>
      <c r="C22" s="10" t="s">
        <v>229</v>
      </c>
      <c r="D22" s="10"/>
      <c r="E22" s="10"/>
    </row>
    <row r="23" spans="1:5" x14ac:dyDescent="0.25">
      <c r="A23" s="10" t="s">
        <v>37</v>
      </c>
      <c r="B23" s="10" t="s">
        <v>38</v>
      </c>
      <c r="C23" s="10"/>
      <c r="D23" s="10" t="s">
        <v>248</v>
      </c>
      <c r="E23" s="10"/>
    </row>
    <row r="24" spans="1:5" x14ac:dyDescent="0.25">
      <c r="A24" s="10" t="s">
        <v>39</v>
      </c>
      <c r="B24" s="10" t="s">
        <v>40</v>
      </c>
      <c r="C24" s="10" t="s">
        <v>230</v>
      </c>
      <c r="D24" s="10" t="s">
        <v>235</v>
      </c>
      <c r="E24" s="11">
        <v>268</v>
      </c>
    </row>
    <row r="25" spans="1:5" x14ac:dyDescent="0.25">
      <c r="A25" s="10" t="s">
        <v>199</v>
      </c>
      <c r="B25" s="10" t="s">
        <v>9</v>
      </c>
      <c r="C25" s="10" t="s">
        <v>230</v>
      </c>
      <c r="D25" s="10" t="s">
        <v>204</v>
      </c>
      <c r="E25" s="11">
        <v>264</v>
      </c>
    </row>
    <row r="26" spans="1:5" x14ac:dyDescent="0.25">
      <c r="A26" s="10" t="s">
        <v>200</v>
      </c>
      <c r="B26" s="10" t="s">
        <v>40</v>
      </c>
      <c r="C26" s="10" t="s">
        <v>229</v>
      </c>
      <c r="D26" s="10"/>
      <c r="E26" s="10"/>
    </row>
    <row r="27" spans="1:5" x14ac:dyDescent="0.25">
      <c r="A27" s="10" t="s">
        <v>41</v>
      </c>
      <c r="B27" s="10" t="s">
        <v>9</v>
      </c>
      <c r="C27" s="10" t="s">
        <v>229</v>
      </c>
      <c r="D27" s="10" t="s">
        <v>248</v>
      </c>
      <c r="E27" s="10"/>
    </row>
    <row r="28" spans="1:5" x14ac:dyDescent="0.25">
      <c r="A28" s="10" t="s">
        <v>42</v>
      </c>
      <c r="B28" s="10" t="s">
        <v>43</v>
      </c>
      <c r="C28" s="10" t="s">
        <v>229</v>
      </c>
      <c r="D28" s="10"/>
      <c r="E28" s="10"/>
    </row>
    <row r="29" spans="1:5" x14ac:dyDescent="0.25">
      <c r="A29" s="10" t="s">
        <v>44</v>
      </c>
      <c r="B29" s="10" t="s">
        <v>45</v>
      </c>
      <c r="C29" s="10" t="s">
        <v>229</v>
      </c>
      <c r="D29" s="10"/>
      <c r="E29" s="10"/>
    </row>
    <row r="30" spans="1:5" x14ac:dyDescent="0.25">
      <c r="A30" s="10" t="s">
        <v>46</v>
      </c>
      <c r="B30" s="10" t="s">
        <v>9</v>
      </c>
      <c r="C30" s="10" t="s">
        <v>229</v>
      </c>
      <c r="D30" s="10"/>
      <c r="E30" s="10"/>
    </row>
    <row r="31" spans="1:5" x14ac:dyDescent="0.25">
      <c r="A31" s="10" t="s">
        <v>201</v>
      </c>
      <c r="B31" s="10" t="s">
        <v>9</v>
      </c>
      <c r="C31" s="10" t="s">
        <v>230</v>
      </c>
      <c r="D31" s="10" t="s">
        <v>48</v>
      </c>
      <c r="E31" s="11">
        <v>222</v>
      </c>
    </row>
    <row r="32" spans="1:5" x14ac:dyDescent="0.25">
      <c r="A32" s="10" t="s">
        <v>49</v>
      </c>
      <c r="B32" s="10" t="s">
        <v>9</v>
      </c>
      <c r="C32" s="10" t="s">
        <v>230</v>
      </c>
      <c r="D32" s="10" t="s">
        <v>233</v>
      </c>
      <c r="E3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47.42578125" customWidth="1"/>
    <col min="2" max="2" width="53.85546875" customWidth="1"/>
    <col min="3" max="3" width="10.5703125" customWidth="1"/>
    <col min="4" max="4" width="39.14062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39</v>
      </c>
    </row>
    <row r="2" spans="1:8" x14ac:dyDescent="0.25">
      <c r="A2" s="10" t="s">
        <v>64</v>
      </c>
      <c r="B2" s="10" t="s">
        <v>9</v>
      </c>
      <c r="C2" s="10" t="s">
        <v>229</v>
      </c>
      <c r="D2" s="10"/>
      <c r="E2" s="10"/>
      <c r="G2" s="6" t="s">
        <v>230</v>
      </c>
      <c r="H2" s="7">
        <f>COUNTIF(C:C,G2)</f>
        <v>6</v>
      </c>
    </row>
    <row r="3" spans="1:8" ht="15.75" thickBot="1" x14ac:dyDescent="0.3">
      <c r="A3" s="10" t="s">
        <v>65</v>
      </c>
      <c r="B3" s="10" t="s">
        <v>66</v>
      </c>
      <c r="C3" s="10" t="s">
        <v>229</v>
      </c>
      <c r="D3" s="10"/>
      <c r="E3" s="10"/>
      <c r="G3" s="8" t="s">
        <v>231</v>
      </c>
      <c r="H3" s="9">
        <f>H1/SUM(H1:H2)</f>
        <v>0.8666666666666667</v>
      </c>
    </row>
    <row r="4" spans="1:8" x14ac:dyDescent="0.25">
      <c r="A4" s="10" t="s">
        <v>67</v>
      </c>
      <c r="B4" s="10" t="s">
        <v>68</v>
      </c>
      <c r="C4" s="10" t="s">
        <v>229</v>
      </c>
      <c r="D4" s="10"/>
      <c r="E4" s="10"/>
    </row>
    <row r="5" spans="1:8" x14ac:dyDescent="0.25">
      <c r="A5" s="10" t="s">
        <v>69</v>
      </c>
      <c r="B5" s="10" t="s">
        <v>70</v>
      </c>
      <c r="C5" s="10" t="s">
        <v>229</v>
      </c>
      <c r="D5" s="10"/>
      <c r="E5" s="10"/>
    </row>
    <row r="6" spans="1:8" x14ac:dyDescent="0.25">
      <c r="A6" s="10" t="s">
        <v>71</v>
      </c>
      <c r="B6" s="10" t="s">
        <v>71</v>
      </c>
      <c r="C6" s="10" t="s">
        <v>229</v>
      </c>
      <c r="D6" s="10"/>
      <c r="E6" s="10"/>
    </row>
    <row r="7" spans="1:8" x14ac:dyDescent="0.25">
      <c r="A7" s="2" t="s">
        <v>72</v>
      </c>
      <c r="B7" s="2" t="s">
        <v>9</v>
      </c>
      <c r="C7" s="10" t="s">
        <v>230</v>
      </c>
      <c r="D7" s="10" t="s">
        <v>237</v>
      </c>
      <c r="E7" s="10"/>
    </row>
    <row r="8" spans="1:8" x14ac:dyDescent="0.25">
      <c r="A8" s="10" t="s">
        <v>73</v>
      </c>
      <c r="B8" s="10" t="s">
        <v>9</v>
      </c>
      <c r="C8" s="10" t="s">
        <v>229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229</v>
      </c>
      <c r="D9" s="10" t="s">
        <v>75</v>
      </c>
      <c r="E9" s="11">
        <v>20223</v>
      </c>
    </row>
    <row r="10" spans="1:8" x14ac:dyDescent="0.25">
      <c r="A10" s="10" t="s">
        <v>76</v>
      </c>
      <c r="B10" s="10" t="s">
        <v>77</v>
      </c>
      <c r="C10" s="10" t="s">
        <v>229</v>
      </c>
      <c r="D10" s="10"/>
      <c r="E10" s="10"/>
    </row>
    <row r="11" spans="1:8" x14ac:dyDescent="0.25">
      <c r="A11" s="10" t="s">
        <v>78</v>
      </c>
      <c r="B11" s="10" t="s">
        <v>79</v>
      </c>
      <c r="C11" s="10" t="s">
        <v>229</v>
      </c>
      <c r="D11" s="10"/>
      <c r="E11" s="10"/>
    </row>
    <row r="12" spans="1:8" x14ac:dyDescent="0.25">
      <c r="A12" s="10" t="s">
        <v>80</v>
      </c>
      <c r="B12" s="10" t="s">
        <v>81</v>
      </c>
      <c r="C12" s="10" t="s">
        <v>229</v>
      </c>
      <c r="D12" s="10"/>
      <c r="E12" s="10"/>
    </row>
    <row r="13" spans="1:8" x14ac:dyDescent="0.25">
      <c r="A13" s="10" t="s">
        <v>82</v>
      </c>
      <c r="B13" s="10" t="s">
        <v>83</v>
      </c>
      <c r="C13" s="10" t="s">
        <v>229</v>
      </c>
      <c r="D13" s="10"/>
      <c r="E13" s="10"/>
    </row>
    <row r="14" spans="1:8" x14ac:dyDescent="0.25">
      <c r="A14" s="10" t="s">
        <v>84</v>
      </c>
      <c r="B14" s="10" t="s">
        <v>9</v>
      </c>
      <c r="C14" s="10" t="s">
        <v>229</v>
      </c>
      <c r="D14" s="10"/>
      <c r="E14" s="10"/>
    </row>
    <row r="15" spans="1:8" x14ac:dyDescent="0.25">
      <c r="A15" s="10" t="s">
        <v>85</v>
      </c>
      <c r="B15" s="10" t="s">
        <v>75</v>
      </c>
      <c r="C15" s="10" t="s">
        <v>229</v>
      </c>
      <c r="D15" s="10" t="s">
        <v>75</v>
      </c>
      <c r="E15" s="11">
        <v>20209</v>
      </c>
    </row>
    <row r="16" spans="1:8" x14ac:dyDescent="0.25">
      <c r="A16" s="10" t="s">
        <v>86</v>
      </c>
      <c r="B16" s="10" t="s">
        <v>87</v>
      </c>
      <c r="C16" s="10" t="s">
        <v>230</v>
      </c>
      <c r="D16" s="10" t="s">
        <v>236</v>
      </c>
      <c r="E16" s="10"/>
    </row>
    <row r="17" spans="1:5" x14ac:dyDescent="0.25">
      <c r="A17" s="10" t="s">
        <v>88</v>
      </c>
      <c r="B17" s="10" t="s">
        <v>87</v>
      </c>
      <c r="C17" s="10" t="s">
        <v>229</v>
      </c>
      <c r="D17" s="10"/>
      <c r="E17" s="10"/>
    </row>
    <row r="18" spans="1:5" x14ac:dyDescent="0.25">
      <c r="A18" s="10" t="s">
        <v>89</v>
      </c>
      <c r="B18" s="10" t="s">
        <v>87</v>
      </c>
      <c r="C18" s="10" t="s">
        <v>229</v>
      </c>
      <c r="D18" s="10"/>
      <c r="E18" s="10"/>
    </row>
    <row r="19" spans="1:5" x14ac:dyDescent="0.25">
      <c r="A19" s="10" t="s">
        <v>90</v>
      </c>
      <c r="B19" s="10" t="s">
        <v>91</v>
      </c>
      <c r="C19" s="10" t="s">
        <v>229</v>
      </c>
      <c r="D19" s="10"/>
      <c r="E19" s="10"/>
    </row>
    <row r="20" spans="1:5" x14ac:dyDescent="0.25">
      <c r="A20" s="10" t="s">
        <v>92</v>
      </c>
      <c r="B20" s="10" t="s">
        <v>93</v>
      </c>
      <c r="C20" s="10" t="s">
        <v>229</v>
      </c>
      <c r="D20" s="10"/>
      <c r="E20" s="10"/>
    </row>
    <row r="21" spans="1:5" x14ac:dyDescent="0.25">
      <c r="A21" s="10" t="s">
        <v>94</v>
      </c>
      <c r="B21" s="10" t="s">
        <v>38</v>
      </c>
      <c r="C21" s="10" t="s">
        <v>230</v>
      </c>
      <c r="D21" s="10" t="s">
        <v>238</v>
      </c>
      <c r="E21" s="11">
        <v>13775</v>
      </c>
    </row>
    <row r="22" spans="1:5" x14ac:dyDescent="0.25">
      <c r="A22" s="10" t="s">
        <v>95</v>
      </c>
      <c r="B22" s="10" t="s">
        <v>96</v>
      </c>
      <c r="C22" s="10" t="s">
        <v>229</v>
      </c>
      <c r="D22" s="10"/>
      <c r="E22" s="10"/>
    </row>
    <row r="23" spans="1:5" x14ac:dyDescent="0.25">
      <c r="A23" s="10" t="s">
        <v>97</v>
      </c>
      <c r="B23" s="10" t="s">
        <v>9</v>
      </c>
      <c r="C23" s="10" t="s">
        <v>229</v>
      </c>
      <c r="D23" s="10"/>
      <c r="E23" s="10"/>
    </row>
    <row r="24" spans="1:5" x14ac:dyDescent="0.25">
      <c r="A24" s="10" t="s">
        <v>98</v>
      </c>
      <c r="B24" s="10" t="s">
        <v>9</v>
      </c>
      <c r="C24" s="10" t="s">
        <v>229</v>
      </c>
      <c r="D24" s="10"/>
      <c r="E24" s="10"/>
    </row>
    <row r="25" spans="1:5" x14ac:dyDescent="0.25">
      <c r="A25" s="10" t="s">
        <v>99</v>
      </c>
      <c r="B25" s="10" t="s">
        <v>100</v>
      </c>
      <c r="C25" s="10" t="s">
        <v>230</v>
      </c>
      <c r="D25" s="10" t="s">
        <v>236</v>
      </c>
      <c r="E25" s="10"/>
    </row>
    <row r="26" spans="1:5" x14ac:dyDescent="0.25">
      <c r="A26" s="10" t="s">
        <v>101</v>
      </c>
      <c r="B26" s="10" t="s">
        <v>100</v>
      </c>
      <c r="C26" s="10" t="s">
        <v>229</v>
      </c>
      <c r="D26" s="10"/>
      <c r="E26" s="10"/>
    </row>
    <row r="27" spans="1:5" x14ac:dyDescent="0.25">
      <c r="A27" s="10" t="s">
        <v>102</v>
      </c>
      <c r="B27" s="10" t="s">
        <v>103</v>
      </c>
      <c r="C27" s="10" t="s">
        <v>229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229</v>
      </c>
      <c r="D28" s="10"/>
      <c r="E28" s="10"/>
    </row>
    <row r="29" spans="1:5" x14ac:dyDescent="0.25">
      <c r="A29" s="10" t="s">
        <v>106</v>
      </c>
      <c r="B29" s="10" t="s">
        <v>107</v>
      </c>
      <c r="C29" s="10" t="s">
        <v>229</v>
      </c>
      <c r="D29" s="10"/>
      <c r="E29" s="10"/>
    </row>
    <row r="30" spans="1:5" x14ac:dyDescent="0.25">
      <c r="A30" s="10" t="s">
        <v>108</v>
      </c>
      <c r="B30" s="10" t="s">
        <v>109</v>
      </c>
      <c r="C30" s="10" t="s">
        <v>230</v>
      </c>
      <c r="D30" s="10" t="s">
        <v>239</v>
      </c>
      <c r="E30" s="11">
        <v>13772</v>
      </c>
    </row>
    <row r="31" spans="1:5" x14ac:dyDescent="0.25">
      <c r="A31" s="10" t="s">
        <v>110</v>
      </c>
      <c r="B31" s="10" t="s">
        <v>111</v>
      </c>
      <c r="C31" s="10" t="s">
        <v>229</v>
      </c>
      <c r="D31" s="10" t="s">
        <v>111</v>
      </c>
      <c r="E31" s="11">
        <v>13748</v>
      </c>
    </row>
    <row r="32" spans="1:5" x14ac:dyDescent="0.25">
      <c r="A32" s="10" t="s">
        <v>112</v>
      </c>
      <c r="B32" s="10" t="s">
        <v>113</v>
      </c>
      <c r="C32" s="10" t="s">
        <v>229</v>
      </c>
      <c r="D32" s="10"/>
      <c r="E32" s="10"/>
    </row>
    <row r="33" spans="1:5" x14ac:dyDescent="0.25">
      <c r="A33" s="10" t="s">
        <v>114</v>
      </c>
      <c r="B33" s="10" t="s">
        <v>115</v>
      </c>
      <c r="C33" s="10" t="s">
        <v>229</v>
      </c>
      <c r="D33" s="10"/>
      <c r="E33" s="10"/>
    </row>
    <row r="34" spans="1:5" x14ac:dyDescent="0.25">
      <c r="A34" s="10" t="s">
        <v>116</v>
      </c>
      <c r="B34" s="10" t="s">
        <v>117</v>
      </c>
      <c r="C34" s="10" t="s">
        <v>229</v>
      </c>
      <c r="D34" s="10"/>
      <c r="E34" s="10"/>
    </row>
    <row r="35" spans="1:5" x14ac:dyDescent="0.25">
      <c r="A35" s="10" t="s">
        <v>118</v>
      </c>
      <c r="B35" s="10" t="s">
        <v>119</v>
      </c>
      <c r="C35" s="10" t="s">
        <v>229</v>
      </c>
      <c r="D35" s="10"/>
      <c r="E35" s="10"/>
    </row>
    <row r="36" spans="1:5" x14ac:dyDescent="0.25">
      <c r="A36" s="10" t="s">
        <v>120</v>
      </c>
      <c r="B36" s="10" t="s">
        <v>9</v>
      </c>
      <c r="C36" s="10" t="s">
        <v>229</v>
      </c>
      <c r="D36" s="10"/>
      <c r="E36" s="10"/>
    </row>
    <row r="37" spans="1:5" x14ac:dyDescent="0.25">
      <c r="A37" s="10" t="s">
        <v>121</v>
      </c>
      <c r="B37" s="10" t="s">
        <v>122</v>
      </c>
      <c r="C37" s="10" t="s">
        <v>229</v>
      </c>
      <c r="D37" s="10" t="s">
        <v>122</v>
      </c>
      <c r="E37" s="11">
        <v>13724</v>
      </c>
    </row>
    <row r="38" spans="1:5" x14ac:dyDescent="0.25">
      <c r="A38" s="10" t="s">
        <v>123</v>
      </c>
      <c r="B38" s="10" t="s">
        <v>123</v>
      </c>
      <c r="C38" s="10" t="s">
        <v>229</v>
      </c>
      <c r="D38" s="10"/>
      <c r="E38" s="10"/>
    </row>
    <row r="39" spans="1:5" x14ac:dyDescent="0.25">
      <c r="A39" s="10" t="s">
        <v>124</v>
      </c>
      <c r="B39" s="10" t="s">
        <v>125</v>
      </c>
      <c r="C39" s="10" t="s">
        <v>229</v>
      </c>
      <c r="D39" s="10" t="s">
        <v>125</v>
      </c>
      <c r="E39" s="11">
        <v>13780</v>
      </c>
    </row>
    <row r="40" spans="1:5" x14ac:dyDescent="0.25">
      <c r="A40" s="10" t="s">
        <v>126</v>
      </c>
      <c r="B40" s="10" t="s">
        <v>127</v>
      </c>
      <c r="C40" s="10" t="s">
        <v>230</v>
      </c>
      <c r="D40" s="10" t="s">
        <v>236</v>
      </c>
      <c r="E40" s="10"/>
    </row>
    <row r="41" spans="1:5" x14ac:dyDescent="0.25">
      <c r="A41" s="10" t="s">
        <v>128</v>
      </c>
      <c r="B41" s="10" t="s">
        <v>127</v>
      </c>
      <c r="C41" s="10" t="s">
        <v>229</v>
      </c>
      <c r="D41" s="10"/>
      <c r="E41" s="10"/>
    </row>
    <row r="42" spans="1:5" x14ac:dyDescent="0.25">
      <c r="A42" s="10" t="s">
        <v>129</v>
      </c>
      <c r="B42" s="10" t="s">
        <v>130</v>
      </c>
      <c r="C42" s="10" t="s">
        <v>229</v>
      </c>
      <c r="D42" s="10"/>
      <c r="E42" s="10"/>
    </row>
    <row r="43" spans="1:5" x14ac:dyDescent="0.25">
      <c r="A43" s="10" t="s">
        <v>131</v>
      </c>
      <c r="B43" s="10" t="s">
        <v>132</v>
      </c>
      <c r="C43" s="10" t="s">
        <v>229</v>
      </c>
      <c r="D43" s="10"/>
      <c r="E43" s="10"/>
    </row>
    <row r="44" spans="1:5" x14ac:dyDescent="0.25">
      <c r="A44" s="10" t="s">
        <v>133</v>
      </c>
      <c r="B44" s="10" t="s">
        <v>134</v>
      </c>
      <c r="C44" s="10" t="s">
        <v>229</v>
      </c>
      <c r="D44" s="10"/>
      <c r="E44" s="10"/>
    </row>
    <row r="45" spans="1:5" x14ac:dyDescent="0.25">
      <c r="A45" s="10" t="s">
        <v>135</v>
      </c>
      <c r="B45" s="10" t="s">
        <v>109</v>
      </c>
      <c r="C45" s="10" t="s">
        <v>229</v>
      </c>
      <c r="D45" s="10"/>
      <c r="E45" s="10"/>
    </row>
    <row r="46" spans="1:5" x14ac:dyDescent="0.25">
      <c r="A46" s="10" t="s">
        <v>136</v>
      </c>
      <c r="B46" s="10" t="s">
        <v>137</v>
      </c>
      <c r="C46" s="10" t="s">
        <v>229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/>
  </sheetViews>
  <sheetFormatPr defaultRowHeight="15" x14ac:dyDescent="0.25"/>
  <cols>
    <col min="1" max="1" width="43.7109375" customWidth="1"/>
    <col min="2" max="2" width="53.5703125" customWidth="1"/>
    <col min="3" max="3" width="11.42578125" customWidth="1"/>
    <col min="4" max="4" width="39.7109375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39</v>
      </c>
    </row>
    <row r="2" spans="1:8" x14ac:dyDescent="0.25">
      <c r="A2" s="10" t="s">
        <v>64</v>
      </c>
      <c r="B2" s="10" t="s">
        <v>9</v>
      </c>
      <c r="C2" s="10" t="s">
        <v>229</v>
      </c>
      <c r="D2" s="10"/>
      <c r="E2" s="10"/>
      <c r="G2" s="6" t="s">
        <v>230</v>
      </c>
      <c r="H2" s="7">
        <f>COUNTIF(C:C,G2)</f>
        <v>6</v>
      </c>
    </row>
    <row r="3" spans="1:8" ht="15.75" thickBot="1" x14ac:dyDescent="0.3">
      <c r="A3" s="10" t="s">
        <v>65</v>
      </c>
      <c r="B3" s="10" t="s">
        <v>66</v>
      </c>
      <c r="C3" s="10" t="s">
        <v>229</v>
      </c>
      <c r="D3" s="10"/>
      <c r="E3" s="10"/>
      <c r="G3" s="8" t="s">
        <v>231</v>
      </c>
      <c r="H3" s="9">
        <f>H1/SUM(H1:H2)</f>
        <v>0.8666666666666667</v>
      </c>
    </row>
    <row r="4" spans="1:8" x14ac:dyDescent="0.25">
      <c r="A4" s="10" t="s">
        <v>67</v>
      </c>
      <c r="B4" s="10" t="s">
        <v>68</v>
      </c>
      <c r="C4" s="10" t="s">
        <v>229</v>
      </c>
      <c r="D4" s="10"/>
      <c r="E4" s="10"/>
    </row>
    <row r="5" spans="1:8" x14ac:dyDescent="0.25">
      <c r="A5" s="10" t="s">
        <v>69</v>
      </c>
      <c r="B5" s="10" t="s">
        <v>70</v>
      </c>
      <c r="C5" s="10" t="s">
        <v>229</v>
      </c>
      <c r="D5" s="10"/>
      <c r="E5" s="10"/>
    </row>
    <row r="6" spans="1:8" x14ac:dyDescent="0.25">
      <c r="A6" s="10" t="s">
        <v>71</v>
      </c>
      <c r="B6" s="10" t="s">
        <v>71</v>
      </c>
      <c r="C6" s="10" t="s">
        <v>229</v>
      </c>
      <c r="D6" s="10" t="s">
        <v>234</v>
      </c>
      <c r="E6" s="10"/>
    </row>
    <row r="7" spans="1:8" x14ac:dyDescent="0.25">
      <c r="A7" s="10" t="s">
        <v>72</v>
      </c>
      <c r="B7" s="10" t="s">
        <v>9</v>
      </c>
      <c r="C7" s="10" t="s">
        <v>230</v>
      </c>
      <c r="D7" s="10" t="s">
        <v>204</v>
      </c>
      <c r="E7" s="11">
        <v>13744</v>
      </c>
    </row>
    <row r="8" spans="1:8" x14ac:dyDescent="0.25">
      <c r="A8" s="10" t="s">
        <v>73</v>
      </c>
      <c r="B8" s="10" t="s">
        <v>9</v>
      </c>
      <c r="C8" s="10" t="s">
        <v>229</v>
      </c>
      <c r="D8" s="10" t="s">
        <v>234</v>
      </c>
      <c r="E8" s="10"/>
    </row>
    <row r="9" spans="1:8" x14ac:dyDescent="0.25">
      <c r="A9" s="10" t="s">
        <v>74</v>
      </c>
      <c r="B9" s="10" t="s">
        <v>75</v>
      </c>
      <c r="C9" s="10" t="s">
        <v>229</v>
      </c>
      <c r="D9" s="10" t="s">
        <v>75</v>
      </c>
      <c r="E9" s="11">
        <v>20223</v>
      </c>
    </row>
    <row r="10" spans="1:8" x14ac:dyDescent="0.25">
      <c r="A10" s="10" t="s">
        <v>76</v>
      </c>
      <c r="B10" s="10" t="s">
        <v>77</v>
      </c>
      <c r="C10" s="10" t="s">
        <v>229</v>
      </c>
      <c r="D10" s="10"/>
      <c r="E10" s="10"/>
    </row>
    <row r="11" spans="1:8" x14ac:dyDescent="0.25">
      <c r="A11" s="10" t="s">
        <v>205</v>
      </c>
      <c r="B11" s="10" t="s">
        <v>79</v>
      </c>
      <c r="C11" s="10" t="s">
        <v>229</v>
      </c>
      <c r="D11" s="10"/>
      <c r="E11" s="10"/>
    </row>
    <row r="12" spans="1:8" x14ac:dyDescent="0.25">
      <c r="A12" s="10" t="s">
        <v>80</v>
      </c>
      <c r="B12" s="10" t="s">
        <v>81</v>
      </c>
      <c r="C12" s="10" t="s">
        <v>229</v>
      </c>
      <c r="D12" s="10"/>
      <c r="E12" s="10"/>
    </row>
    <row r="13" spans="1:8" x14ac:dyDescent="0.25">
      <c r="A13" s="10" t="s">
        <v>82</v>
      </c>
      <c r="B13" s="10" t="s">
        <v>83</v>
      </c>
      <c r="C13" s="10" t="s">
        <v>229</v>
      </c>
      <c r="D13" s="10"/>
      <c r="E13" s="10"/>
    </row>
    <row r="14" spans="1:8" x14ac:dyDescent="0.25">
      <c r="A14" s="10" t="s">
        <v>84</v>
      </c>
      <c r="B14" s="10" t="s">
        <v>9</v>
      </c>
      <c r="C14" s="10" t="s">
        <v>229</v>
      </c>
      <c r="D14" s="10"/>
      <c r="E14" s="10"/>
    </row>
    <row r="15" spans="1:8" x14ac:dyDescent="0.25">
      <c r="A15" s="10" t="s">
        <v>85</v>
      </c>
      <c r="B15" s="10" t="s">
        <v>75</v>
      </c>
      <c r="C15" s="10" t="s">
        <v>229</v>
      </c>
      <c r="D15" s="10" t="s">
        <v>75</v>
      </c>
      <c r="E15" s="11">
        <v>20209</v>
      </c>
    </row>
    <row r="16" spans="1:8" x14ac:dyDescent="0.25">
      <c r="A16" s="10" t="s">
        <v>86</v>
      </c>
      <c r="B16" s="10" t="s">
        <v>87</v>
      </c>
      <c r="C16" s="10" t="s">
        <v>230</v>
      </c>
      <c r="D16" s="10" t="s">
        <v>236</v>
      </c>
      <c r="E16" s="10"/>
    </row>
    <row r="17" spans="1:5" x14ac:dyDescent="0.25">
      <c r="A17" s="10" t="s">
        <v>88</v>
      </c>
      <c r="B17" s="10" t="s">
        <v>87</v>
      </c>
      <c r="C17" s="10" t="s">
        <v>229</v>
      </c>
      <c r="D17" s="10"/>
      <c r="E17" s="10"/>
    </row>
    <row r="18" spans="1:5" x14ac:dyDescent="0.25">
      <c r="A18" s="10" t="s">
        <v>89</v>
      </c>
      <c r="B18" s="10" t="s">
        <v>87</v>
      </c>
      <c r="C18" s="10" t="s">
        <v>229</v>
      </c>
      <c r="D18" s="10"/>
      <c r="E18" s="10"/>
    </row>
    <row r="19" spans="1:5" x14ac:dyDescent="0.25">
      <c r="A19" s="10" t="s">
        <v>90</v>
      </c>
      <c r="B19" s="10" t="s">
        <v>91</v>
      </c>
      <c r="C19" s="10" t="s">
        <v>229</v>
      </c>
      <c r="D19" s="10"/>
      <c r="E19" s="10"/>
    </row>
    <row r="20" spans="1:5" x14ac:dyDescent="0.25">
      <c r="A20" s="10" t="s">
        <v>92</v>
      </c>
      <c r="B20" s="10" t="s">
        <v>93</v>
      </c>
      <c r="C20" s="10" t="s">
        <v>229</v>
      </c>
      <c r="D20" s="10"/>
      <c r="E20" s="10"/>
    </row>
    <row r="21" spans="1:5" x14ac:dyDescent="0.25">
      <c r="A21" s="10" t="s">
        <v>94</v>
      </c>
      <c r="B21" s="10" t="s">
        <v>38</v>
      </c>
      <c r="C21" s="10" t="s">
        <v>230</v>
      </c>
      <c r="D21" s="10" t="s">
        <v>238</v>
      </c>
      <c r="E21" s="11">
        <v>13775</v>
      </c>
    </row>
    <row r="22" spans="1:5" x14ac:dyDescent="0.25">
      <c r="A22" s="10" t="s">
        <v>95</v>
      </c>
      <c r="B22" s="10" t="s">
        <v>96</v>
      </c>
      <c r="C22" s="10" t="s">
        <v>229</v>
      </c>
      <c r="D22" s="10"/>
      <c r="E22" s="10"/>
    </row>
    <row r="23" spans="1:5" x14ac:dyDescent="0.25">
      <c r="A23" s="10" t="s">
        <v>206</v>
      </c>
      <c r="B23" s="10" t="s">
        <v>9</v>
      </c>
      <c r="C23" s="10" t="s">
        <v>229</v>
      </c>
      <c r="D23" s="10"/>
      <c r="E23" s="10"/>
    </row>
    <row r="24" spans="1:5" x14ac:dyDescent="0.25">
      <c r="A24" s="10" t="s">
        <v>98</v>
      </c>
      <c r="B24" s="10" t="s">
        <v>9</v>
      </c>
      <c r="C24" s="10" t="s">
        <v>229</v>
      </c>
      <c r="D24" s="10"/>
      <c r="E24" s="10"/>
    </row>
    <row r="25" spans="1:5" x14ac:dyDescent="0.25">
      <c r="A25" s="10" t="s">
        <v>99</v>
      </c>
      <c r="B25" s="10" t="s">
        <v>100</v>
      </c>
      <c r="C25" s="10" t="s">
        <v>230</v>
      </c>
      <c r="D25" s="10" t="s">
        <v>236</v>
      </c>
      <c r="E25" s="10"/>
    </row>
    <row r="26" spans="1:5" x14ac:dyDescent="0.25">
      <c r="A26" s="10" t="s">
        <v>101</v>
      </c>
      <c r="B26" s="10" t="s">
        <v>100</v>
      </c>
      <c r="C26" s="10" t="s">
        <v>229</v>
      </c>
      <c r="D26" s="10"/>
      <c r="E26" s="10"/>
    </row>
    <row r="27" spans="1:5" x14ac:dyDescent="0.25">
      <c r="A27" s="10" t="s">
        <v>102</v>
      </c>
      <c r="B27" s="10" t="s">
        <v>103</v>
      </c>
      <c r="C27" s="10" t="s">
        <v>229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229</v>
      </c>
      <c r="D28" s="10"/>
      <c r="E28" s="10"/>
    </row>
    <row r="29" spans="1:5" x14ac:dyDescent="0.25">
      <c r="A29" s="10" t="s">
        <v>106</v>
      </c>
      <c r="B29" s="10" t="s">
        <v>107</v>
      </c>
      <c r="C29" s="10" t="s">
        <v>229</v>
      </c>
      <c r="D29" s="10"/>
      <c r="E29" s="10"/>
    </row>
    <row r="30" spans="1:5" x14ac:dyDescent="0.25">
      <c r="A30" s="10" t="s">
        <v>108</v>
      </c>
      <c r="B30" s="10" t="s">
        <v>109</v>
      </c>
      <c r="C30" s="10" t="s">
        <v>230</v>
      </c>
      <c r="D30" s="10" t="s">
        <v>239</v>
      </c>
      <c r="E30" s="11">
        <v>13772</v>
      </c>
    </row>
    <row r="31" spans="1:5" x14ac:dyDescent="0.25">
      <c r="A31" s="10" t="s">
        <v>110</v>
      </c>
      <c r="B31" s="10" t="s">
        <v>111</v>
      </c>
      <c r="C31" s="10" t="s">
        <v>229</v>
      </c>
      <c r="D31" s="10" t="s">
        <v>111</v>
      </c>
      <c r="E31" s="11">
        <v>13748</v>
      </c>
    </row>
    <row r="32" spans="1:5" x14ac:dyDescent="0.25">
      <c r="A32" s="10" t="s">
        <v>112</v>
      </c>
      <c r="B32" s="10" t="s">
        <v>113</v>
      </c>
      <c r="C32" s="10" t="s">
        <v>229</v>
      </c>
      <c r="D32" s="10"/>
      <c r="E32" s="10"/>
    </row>
    <row r="33" spans="1:5" x14ac:dyDescent="0.25">
      <c r="A33" s="10" t="s">
        <v>114</v>
      </c>
      <c r="B33" s="10" t="s">
        <v>115</v>
      </c>
      <c r="C33" s="10" t="s">
        <v>229</v>
      </c>
      <c r="D33" s="10"/>
      <c r="E33" s="10"/>
    </row>
    <row r="34" spans="1:5" x14ac:dyDescent="0.25">
      <c r="A34" s="10" t="s">
        <v>116</v>
      </c>
      <c r="B34" s="10" t="s">
        <v>117</v>
      </c>
      <c r="C34" s="10" t="s">
        <v>229</v>
      </c>
      <c r="D34" s="10"/>
      <c r="E34" s="10"/>
    </row>
    <row r="35" spans="1:5" x14ac:dyDescent="0.25">
      <c r="A35" s="10" t="s">
        <v>118</v>
      </c>
      <c r="B35" s="10" t="s">
        <v>119</v>
      </c>
      <c r="C35" s="10" t="s">
        <v>229</v>
      </c>
      <c r="D35" s="10"/>
      <c r="E35" s="10"/>
    </row>
    <row r="36" spans="1:5" x14ac:dyDescent="0.25">
      <c r="A36" s="10" t="s">
        <v>120</v>
      </c>
      <c r="B36" s="10" t="s">
        <v>9</v>
      </c>
      <c r="C36" s="10" t="s">
        <v>229</v>
      </c>
      <c r="D36" s="10"/>
      <c r="E36" s="10"/>
    </row>
    <row r="37" spans="1:5" x14ac:dyDescent="0.25">
      <c r="A37" s="10" t="s">
        <v>121</v>
      </c>
      <c r="B37" s="10" t="s">
        <v>122</v>
      </c>
      <c r="C37" s="10" t="s">
        <v>229</v>
      </c>
      <c r="D37" s="10" t="s">
        <v>122</v>
      </c>
      <c r="E37" s="11">
        <v>13724</v>
      </c>
    </row>
    <row r="38" spans="1:5" x14ac:dyDescent="0.25">
      <c r="A38" s="10" t="s">
        <v>123</v>
      </c>
      <c r="B38" s="10" t="s">
        <v>123</v>
      </c>
      <c r="C38" s="10" t="s">
        <v>229</v>
      </c>
      <c r="D38" s="10"/>
      <c r="E38" s="10"/>
    </row>
    <row r="39" spans="1:5" x14ac:dyDescent="0.25">
      <c r="A39" s="10" t="s">
        <v>124</v>
      </c>
      <c r="B39" s="10" t="s">
        <v>125</v>
      </c>
      <c r="C39" s="10" t="s">
        <v>229</v>
      </c>
      <c r="D39" s="10" t="s">
        <v>125</v>
      </c>
      <c r="E39" s="11">
        <v>13780</v>
      </c>
    </row>
    <row r="40" spans="1:5" x14ac:dyDescent="0.25">
      <c r="A40" s="10" t="s">
        <v>126</v>
      </c>
      <c r="B40" s="10" t="s">
        <v>127</v>
      </c>
      <c r="C40" s="10" t="s">
        <v>230</v>
      </c>
      <c r="D40" s="10" t="s">
        <v>236</v>
      </c>
      <c r="E40" s="10"/>
    </row>
    <row r="41" spans="1:5" x14ac:dyDescent="0.25">
      <c r="A41" s="10" t="s">
        <v>128</v>
      </c>
      <c r="B41" s="10" t="s">
        <v>127</v>
      </c>
      <c r="C41" s="10" t="s">
        <v>229</v>
      </c>
      <c r="D41" s="10"/>
      <c r="E41" s="10"/>
    </row>
    <row r="42" spans="1:5" x14ac:dyDescent="0.25">
      <c r="A42" s="10" t="s">
        <v>129</v>
      </c>
      <c r="B42" s="10" t="s">
        <v>130</v>
      </c>
      <c r="C42" s="10" t="s">
        <v>229</v>
      </c>
      <c r="D42" s="10"/>
      <c r="E42" s="10"/>
    </row>
    <row r="43" spans="1:5" x14ac:dyDescent="0.25">
      <c r="A43" s="10" t="s">
        <v>131</v>
      </c>
      <c r="B43" s="10" t="s">
        <v>132</v>
      </c>
      <c r="C43" s="10" t="s">
        <v>229</v>
      </c>
      <c r="D43" s="10"/>
      <c r="E43" s="10"/>
    </row>
    <row r="44" spans="1:5" x14ac:dyDescent="0.25">
      <c r="A44" s="10" t="s">
        <v>133</v>
      </c>
      <c r="B44" s="10" t="s">
        <v>134</v>
      </c>
      <c r="C44" s="10" t="s">
        <v>229</v>
      </c>
      <c r="D44" s="10"/>
      <c r="E44" s="10"/>
    </row>
    <row r="45" spans="1:5" x14ac:dyDescent="0.25">
      <c r="A45" s="10" t="s">
        <v>135</v>
      </c>
      <c r="B45" s="10" t="s">
        <v>109</v>
      </c>
      <c r="C45" s="10" t="s">
        <v>229</v>
      </c>
      <c r="D45" s="10"/>
      <c r="E45" s="10"/>
    </row>
    <row r="46" spans="1:5" x14ac:dyDescent="0.25">
      <c r="A46" s="10" t="s">
        <v>136</v>
      </c>
      <c r="B46" s="10" t="s">
        <v>137</v>
      </c>
      <c r="C46" s="10" t="s">
        <v>229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/>
  </sheetViews>
  <sheetFormatPr defaultRowHeight="15" x14ac:dyDescent="0.25"/>
  <cols>
    <col min="1" max="1" width="52.5703125" customWidth="1"/>
    <col min="2" max="2" width="55.7109375" customWidth="1"/>
    <col min="3" max="3" width="11.28515625" customWidth="1"/>
    <col min="4" max="4" width="38.710937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28</v>
      </c>
    </row>
    <row r="2" spans="1:8" x14ac:dyDescent="0.25">
      <c r="A2" s="10" t="s">
        <v>138</v>
      </c>
      <c r="B2" s="10" t="s">
        <v>139</v>
      </c>
      <c r="C2" s="10" t="s">
        <v>229</v>
      </c>
      <c r="D2" s="10"/>
      <c r="E2" s="10"/>
      <c r="G2" s="6" t="s">
        <v>230</v>
      </c>
      <c r="H2" s="7">
        <f>COUNTIF(C:C,G2)</f>
        <v>8</v>
      </c>
    </row>
    <row r="3" spans="1:8" ht="15.75" thickBot="1" x14ac:dyDescent="0.3">
      <c r="A3" s="10" t="s">
        <v>140</v>
      </c>
      <c r="B3" s="10" t="s">
        <v>9</v>
      </c>
      <c r="C3" s="10" t="s">
        <v>229</v>
      </c>
      <c r="D3" s="10"/>
      <c r="E3" s="10"/>
      <c r="G3" s="8" t="s">
        <v>231</v>
      </c>
      <c r="H3" s="9">
        <f>H1/SUM(H1:H2)</f>
        <v>0.77777777777777779</v>
      </c>
    </row>
    <row r="4" spans="1:8" x14ac:dyDescent="0.25">
      <c r="A4" s="10" t="s">
        <v>141</v>
      </c>
      <c r="B4" s="10" t="s">
        <v>142</v>
      </c>
      <c r="C4" s="10" t="s">
        <v>229</v>
      </c>
      <c r="D4" s="10"/>
      <c r="E4" s="10"/>
    </row>
    <row r="5" spans="1:8" x14ac:dyDescent="0.25">
      <c r="A5" s="10" t="s">
        <v>143</v>
      </c>
      <c r="B5" s="10" t="s">
        <v>60</v>
      </c>
      <c r="C5" s="10" t="s">
        <v>229</v>
      </c>
      <c r="D5" s="10"/>
      <c r="E5" s="10"/>
    </row>
    <row r="6" spans="1:8" x14ac:dyDescent="0.25">
      <c r="A6" s="10" t="s">
        <v>17</v>
      </c>
      <c r="B6" s="10" t="s">
        <v>144</v>
      </c>
      <c r="C6" s="10" t="s">
        <v>229</v>
      </c>
      <c r="D6" s="10"/>
      <c r="E6" s="10"/>
    </row>
    <row r="7" spans="1:8" x14ac:dyDescent="0.25">
      <c r="A7" s="10" t="s">
        <v>145</v>
      </c>
      <c r="B7" s="10" t="s">
        <v>146</v>
      </c>
      <c r="C7" s="10" t="s">
        <v>229</v>
      </c>
      <c r="D7" s="10"/>
      <c r="E7" s="10"/>
    </row>
    <row r="8" spans="1:8" x14ac:dyDescent="0.25">
      <c r="A8" s="10" t="s">
        <v>147</v>
      </c>
      <c r="B8" s="10" t="s">
        <v>9</v>
      </c>
      <c r="C8" s="10" t="s">
        <v>229</v>
      </c>
      <c r="D8" s="10"/>
      <c r="E8" s="10"/>
    </row>
    <row r="9" spans="1:8" x14ac:dyDescent="0.25">
      <c r="A9" s="10" t="s">
        <v>148</v>
      </c>
      <c r="B9" s="10" t="s">
        <v>149</v>
      </c>
      <c r="C9" s="10" t="s">
        <v>229</v>
      </c>
      <c r="D9" s="10"/>
      <c r="E9" s="10"/>
    </row>
    <row r="10" spans="1:8" x14ac:dyDescent="0.25">
      <c r="A10" s="10" t="s">
        <v>150</v>
      </c>
      <c r="B10" s="10" t="s">
        <v>123</v>
      </c>
      <c r="C10" s="10" t="s">
        <v>229</v>
      </c>
      <c r="D10" s="10"/>
      <c r="E10" s="10"/>
    </row>
    <row r="11" spans="1:8" x14ac:dyDescent="0.25">
      <c r="A11" s="10" t="s">
        <v>151</v>
      </c>
      <c r="B11" s="10" t="s">
        <v>152</v>
      </c>
      <c r="C11" s="10" t="s">
        <v>230</v>
      </c>
      <c r="D11" s="10" t="s">
        <v>240</v>
      </c>
      <c r="E11" s="11">
        <v>30667</v>
      </c>
    </row>
    <row r="12" spans="1:8" x14ac:dyDescent="0.25">
      <c r="A12" s="10" t="s">
        <v>153</v>
      </c>
      <c r="B12" s="10" t="s">
        <v>154</v>
      </c>
      <c r="C12" s="10" t="s">
        <v>229</v>
      </c>
      <c r="D12" s="10"/>
      <c r="E12" s="10"/>
    </row>
    <row r="13" spans="1:8" x14ac:dyDescent="0.25">
      <c r="A13" s="10" t="s">
        <v>155</v>
      </c>
      <c r="B13" s="10" t="s">
        <v>156</v>
      </c>
      <c r="C13" s="10" t="s">
        <v>230</v>
      </c>
      <c r="D13" s="10" t="s">
        <v>154</v>
      </c>
      <c r="E13" s="11">
        <v>30518</v>
      </c>
    </row>
    <row r="14" spans="1:8" x14ac:dyDescent="0.25">
      <c r="A14" s="10" t="s">
        <v>157</v>
      </c>
      <c r="B14" s="10" t="s">
        <v>158</v>
      </c>
      <c r="C14" s="10" t="s">
        <v>230</v>
      </c>
      <c r="D14" s="10" t="s">
        <v>241</v>
      </c>
      <c r="E14" s="11">
        <v>30504</v>
      </c>
    </row>
    <row r="15" spans="1:8" x14ac:dyDescent="0.25">
      <c r="A15" s="10" t="s">
        <v>159</v>
      </c>
      <c r="B15" s="10" t="s">
        <v>160</v>
      </c>
      <c r="C15" s="10" t="s">
        <v>230</v>
      </c>
      <c r="D15" s="10" t="s">
        <v>242</v>
      </c>
      <c r="E15" s="11">
        <v>30431</v>
      </c>
    </row>
    <row r="16" spans="1:8" x14ac:dyDescent="0.25">
      <c r="A16" s="10" t="s">
        <v>161</v>
      </c>
      <c r="B16" s="10" t="s">
        <v>162</v>
      </c>
      <c r="C16" s="10" t="s">
        <v>229</v>
      </c>
      <c r="D16" s="10"/>
      <c r="E16" s="10"/>
    </row>
    <row r="17" spans="1:5" x14ac:dyDescent="0.25">
      <c r="A17" s="10" t="s">
        <v>163</v>
      </c>
      <c r="B17" s="10" t="s">
        <v>164</v>
      </c>
      <c r="C17" s="10" t="s">
        <v>229</v>
      </c>
      <c r="D17" s="10"/>
      <c r="E17" s="10"/>
    </row>
    <row r="18" spans="1:5" x14ac:dyDescent="0.25">
      <c r="A18" s="10" t="s">
        <v>165</v>
      </c>
      <c r="B18" s="10" t="s">
        <v>166</v>
      </c>
      <c r="C18" s="10" t="s">
        <v>229</v>
      </c>
      <c r="D18" s="10"/>
      <c r="E18" s="10"/>
    </row>
    <row r="19" spans="1:5" x14ac:dyDescent="0.25">
      <c r="A19" s="10" t="s">
        <v>167</v>
      </c>
      <c r="B19" s="10" t="s">
        <v>166</v>
      </c>
      <c r="C19" s="10" t="s">
        <v>229</v>
      </c>
      <c r="D19" s="10"/>
      <c r="E19" s="10"/>
    </row>
    <row r="20" spans="1:5" x14ac:dyDescent="0.25">
      <c r="A20" s="10" t="s">
        <v>168</v>
      </c>
      <c r="B20" s="10" t="s">
        <v>164</v>
      </c>
      <c r="C20" s="10" t="s">
        <v>229</v>
      </c>
      <c r="D20" s="10"/>
      <c r="E20" s="10"/>
    </row>
    <row r="21" spans="1:5" x14ac:dyDescent="0.25">
      <c r="A21" s="10" t="s">
        <v>169</v>
      </c>
      <c r="B21" s="10" t="s">
        <v>170</v>
      </c>
      <c r="C21" s="10" t="s">
        <v>230</v>
      </c>
      <c r="D21" s="10" t="s">
        <v>243</v>
      </c>
      <c r="E21" s="11">
        <v>30372</v>
      </c>
    </row>
    <row r="22" spans="1:5" x14ac:dyDescent="0.25">
      <c r="A22" s="10" t="s">
        <v>171</v>
      </c>
      <c r="B22" s="10" t="s">
        <v>172</v>
      </c>
      <c r="C22" s="10" t="s">
        <v>229</v>
      </c>
      <c r="D22" s="10"/>
      <c r="E22" s="10"/>
    </row>
    <row r="23" spans="1:5" x14ac:dyDescent="0.25">
      <c r="A23" s="10" t="s">
        <v>173</v>
      </c>
      <c r="B23" s="10" t="s">
        <v>170</v>
      </c>
      <c r="C23" s="10" t="s">
        <v>229</v>
      </c>
      <c r="D23" s="10"/>
      <c r="E23" s="10"/>
    </row>
    <row r="24" spans="1:5" x14ac:dyDescent="0.25">
      <c r="A24" s="10" t="s">
        <v>174</v>
      </c>
      <c r="B24" s="10" t="s">
        <v>9</v>
      </c>
      <c r="C24" s="10" t="s">
        <v>229</v>
      </c>
      <c r="D24" s="10"/>
      <c r="E24" s="10"/>
    </row>
    <row r="25" spans="1:5" x14ac:dyDescent="0.25">
      <c r="A25" s="10" t="s">
        <v>175</v>
      </c>
      <c r="B25" s="10" t="s">
        <v>176</v>
      </c>
      <c r="C25" s="10" t="s">
        <v>229</v>
      </c>
      <c r="D25" s="10"/>
      <c r="E25" s="10"/>
    </row>
    <row r="26" spans="1:5" x14ac:dyDescent="0.25">
      <c r="A26" s="10" t="s">
        <v>177</v>
      </c>
      <c r="B26" s="10" t="s">
        <v>178</v>
      </c>
      <c r="C26" s="10" t="s">
        <v>229</v>
      </c>
      <c r="D26" s="10"/>
      <c r="E26" s="10"/>
    </row>
    <row r="27" spans="1:5" x14ac:dyDescent="0.25">
      <c r="A27" s="10" t="s">
        <v>179</v>
      </c>
      <c r="B27" s="10" t="s">
        <v>60</v>
      </c>
      <c r="C27" s="10" t="s">
        <v>230</v>
      </c>
      <c r="D27" s="10" t="s">
        <v>179</v>
      </c>
      <c r="E27" s="11">
        <v>30485</v>
      </c>
    </row>
    <row r="28" spans="1:5" x14ac:dyDescent="0.25">
      <c r="A28" s="10" t="s">
        <v>180</v>
      </c>
      <c r="B28" s="10" t="s">
        <v>181</v>
      </c>
      <c r="C28" s="10" t="s">
        <v>229</v>
      </c>
      <c r="D28" s="10"/>
      <c r="E28" s="10"/>
    </row>
    <row r="29" spans="1:5" x14ac:dyDescent="0.25">
      <c r="A29" s="10" t="s">
        <v>182</v>
      </c>
      <c r="B29" s="10" t="s">
        <v>9</v>
      </c>
      <c r="C29" s="10" t="s">
        <v>229</v>
      </c>
      <c r="D29" s="10"/>
      <c r="E29" s="10"/>
    </row>
    <row r="30" spans="1:5" x14ac:dyDescent="0.25">
      <c r="A30" s="10" t="s">
        <v>183</v>
      </c>
      <c r="B30" s="10" t="s">
        <v>184</v>
      </c>
      <c r="C30" s="10" t="s">
        <v>229</v>
      </c>
      <c r="D30" s="10"/>
      <c r="E30" s="10"/>
    </row>
    <row r="31" spans="1:5" x14ac:dyDescent="0.25">
      <c r="A31" s="10" t="s">
        <v>185</v>
      </c>
      <c r="B31" s="10" t="s">
        <v>186</v>
      </c>
      <c r="C31" s="10" t="s">
        <v>229</v>
      </c>
      <c r="D31" s="10"/>
      <c r="E31" s="10"/>
    </row>
    <row r="32" spans="1:5" x14ac:dyDescent="0.25">
      <c r="A32" s="10" t="s">
        <v>187</v>
      </c>
      <c r="B32" s="10" t="s">
        <v>154</v>
      </c>
      <c r="C32" s="10" t="s">
        <v>230</v>
      </c>
      <c r="D32" s="10" t="s">
        <v>221</v>
      </c>
      <c r="E32" s="11">
        <v>17543</v>
      </c>
    </row>
    <row r="33" spans="1:5" x14ac:dyDescent="0.25">
      <c r="A33" s="10" t="s">
        <v>17</v>
      </c>
      <c r="B33" s="10" t="s">
        <v>144</v>
      </c>
      <c r="C33" s="10" t="s">
        <v>230</v>
      </c>
      <c r="D33" s="10" t="s">
        <v>244</v>
      </c>
      <c r="E33" s="11">
        <v>30484</v>
      </c>
    </row>
    <row r="34" spans="1:5" x14ac:dyDescent="0.25">
      <c r="A34" s="10" t="s">
        <v>188</v>
      </c>
      <c r="B34" s="10" t="s">
        <v>189</v>
      </c>
      <c r="C34" s="10" t="s">
        <v>229</v>
      </c>
      <c r="D34" s="10"/>
      <c r="E34" s="10"/>
    </row>
    <row r="35" spans="1:5" x14ac:dyDescent="0.25">
      <c r="A35" s="10" t="s">
        <v>190</v>
      </c>
      <c r="B35" s="10" t="s">
        <v>191</v>
      </c>
      <c r="C35" s="10" t="s">
        <v>229</v>
      </c>
      <c r="D35" s="10"/>
      <c r="E35" s="10"/>
    </row>
    <row r="36" spans="1:5" x14ac:dyDescent="0.25">
      <c r="A36" s="10" t="s">
        <v>192</v>
      </c>
      <c r="B36" s="10" t="s">
        <v>193</v>
      </c>
      <c r="C36" s="10" t="s">
        <v>229</v>
      </c>
      <c r="D36" s="10"/>
      <c r="E36" s="10"/>
    </row>
    <row r="37" spans="1:5" x14ac:dyDescent="0.25">
      <c r="A37" s="10" t="s">
        <v>194</v>
      </c>
      <c r="B37" s="10" t="s">
        <v>195</v>
      </c>
      <c r="C37" s="10" t="s">
        <v>229</v>
      </c>
      <c r="D37" s="10"/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workbookViewId="0"/>
  </sheetViews>
  <sheetFormatPr defaultRowHeight="15" x14ac:dyDescent="0.25"/>
  <cols>
    <col min="1" max="2" width="51.42578125" customWidth="1"/>
    <col min="3" max="3" width="10.85546875" customWidth="1"/>
    <col min="4" max="4" width="42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29</v>
      </c>
    </row>
    <row r="2" spans="1:8" x14ac:dyDescent="0.25">
      <c r="A2" s="10" t="s">
        <v>138</v>
      </c>
      <c r="B2" s="10" t="s">
        <v>139</v>
      </c>
      <c r="C2" s="10" t="s">
        <v>229</v>
      </c>
      <c r="D2" s="10"/>
      <c r="E2" s="10"/>
      <c r="G2" s="6" t="s">
        <v>230</v>
      </c>
      <c r="H2" s="7">
        <f>COUNTIF(C:C,G2)</f>
        <v>9</v>
      </c>
    </row>
    <row r="3" spans="1:8" ht="15.75" thickBot="1" x14ac:dyDescent="0.3">
      <c r="A3" s="10" t="s">
        <v>207</v>
      </c>
      <c r="B3" s="10" t="s">
        <v>9</v>
      </c>
      <c r="C3" s="10" t="s">
        <v>229</v>
      </c>
      <c r="D3" s="10"/>
      <c r="E3" s="10"/>
      <c r="G3" s="8" t="s">
        <v>231</v>
      </c>
      <c r="H3" s="9">
        <f>H1/SUM(H1:H2)</f>
        <v>0.76315789473684215</v>
      </c>
    </row>
    <row r="4" spans="1:8" x14ac:dyDescent="0.25">
      <c r="A4" s="10" t="s">
        <v>141</v>
      </c>
      <c r="B4" s="10" t="s">
        <v>142</v>
      </c>
      <c r="C4" s="10" t="s">
        <v>229</v>
      </c>
      <c r="D4" s="10"/>
      <c r="E4" s="10"/>
    </row>
    <row r="5" spans="1:8" x14ac:dyDescent="0.25">
      <c r="A5" s="10" t="s">
        <v>143</v>
      </c>
      <c r="B5" s="10" t="s">
        <v>60</v>
      </c>
      <c r="C5" s="10" t="s">
        <v>229</v>
      </c>
      <c r="D5" s="10"/>
      <c r="E5" s="10"/>
    </row>
    <row r="6" spans="1:8" x14ac:dyDescent="0.25">
      <c r="A6" s="10" t="s">
        <v>208</v>
      </c>
      <c r="B6" s="10" t="s">
        <v>209</v>
      </c>
      <c r="C6" s="10" t="s">
        <v>230</v>
      </c>
      <c r="D6" s="10" t="s">
        <v>245</v>
      </c>
      <c r="E6" s="11">
        <v>17542</v>
      </c>
    </row>
    <row r="7" spans="1:8" x14ac:dyDescent="0.25">
      <c r="A7" s="10" t="s">
        <v>17</v>
      </c>
      <c r="B7" s="10" t="s">
        <v>144</v>
      </c>
      <c r="C7" s="10" t="s">
        <v>229</v>
      </c>
      <c r="D7" s="10" t="s">
        <v>234</v>
      </c>
      <c r="E7" s="10"/>
    </row>
    <row r="8" spans="1:8" x14ac:dyDescent="0.25">
      <c r="A8" s="10" t="s">
        <v>145</v>
      </c>
      <c r="B8" s="10" t="s">
        <v>146</v>
      </c>
      <c r="C8" s="10" t="s">
        <v>229</v>
      </c>
      <c r="D8" s="10"/>
      <c r="E8" s="10"/>
    </row>
    <row r="9" spans="1:8" x14ac:dyDescent="0.25">
      <c r="A9" s="10" t="s">
        <v>210</v>
      </c>
      <c r="B9" s="10" t="s">
        <v>9</v>
      </c>
      <c r="C9" s="10" t="s">
        <v>229</v>
      </c>
      <c r="D9" s="10"/>
      <c r="E9" s="10"/>
    </row>
    <row r="10" spans="1:8" x14ac:dyDescent="0.25">
      <c r="A10" s="10" t="s">
        <v>150</v>
      </c>
      <c r="B10" s="10" t="s">
        <v>123</v>
      </c>
      <c r="C10" s="10" t="s">
        <v>229</v>
      </c>
      <c r="D10" s="10"/>
      <c r="E10" s="10"/>
    </row>
    <row r="11" spans="1:8" x14ac:dyDescent="0.25">
      <c r="A11" s="10" t="s">
        <v>211</v>
      </c>
      <c r="B11" s="10" t="s">
        <v>212</v>
      </c>
      <c r="C11" s="10" t="s">
        <v>229</v>
      </c>
      <c r="D11" s="10" t="s">
        <v>234</v>
      </c>
      <c r="E11" s="10"/>
    </row>
    <row r="12" spans="1:8" x14ac:dyDescent="0.25">
      <c r="A12" s="10" t="s">
        <v>213</v>
      </c>
      <c r="B12" s="10" t="s">
        <v>152</v>
      </c>
      <c r="C12" s="10" t="s">
        <v>229</v>
      </c>
      <c r="D12" s="10"/>
      <c r="E12" s="10"/>
    </row>
    <row r="13" spans="1:8" x14ac:dyDescent="0.25">
      <c r="A13" s="10" t="s">
        <v>153</v>
      </c>
      <c r="B13" s="10" t="s">
        <v>154</v>
      </c>
      <c r="C13" s="10" t="s">
        <v>229</v>
      </c>
      <c r="D13" s="10"/>
      <c r="E13" s="10"/>
    </row>
    <row r="14" spans="1:8" x14ac:dyDescent="0.25">
      <c r="A14" s="10" t="s">
        <v>155</v>
      </c>
      <c r="B14" s="10" t="s">
        <v>156</v>
      </c>
      <c r="C14" s="10" t="s">
        <v>230</v>
      </c>
      <c r="D14" s="10" t="s">
        <v>154</v>
      </c>
      <c r="E14" s="11">
        <v>30518</v>
      </c>
    </row>
    <row r="15" spans="1:8" x14ac:dyDescent="0.25">
      <c r="A15" s="10" t="s">
        <v>157</v>
      </c>
      <c r="B15" s="10" t="s">
        <v>158</v>
      </c>
      <c r="C15" s="10" t="s">
        <v>230</v>
      </c>
      <c r="D15" s="10" t="s">
        <v>241</v>
      </c>
      <c r="E15" s="11">
        <v>30504</v>
      </c>
    </row>
    <row r="16" spans="1:8" x14ac:dyDescent="0.25">
      <c r="A16" s="10" t="s">
        <v>161</v>
      </c>
      <c r="B16" s="10" t="s">
        <v>162</v>
      </c>
      <c r="C16" s="10" t="s">
        <v>229</v>
      </c>
      <c r="D16" s="10"/>
      <c r="E16" s="10"/>
    </row>
    <row r="17" spans="1:5" x14ac:dyDescent="0.25">
      <c r="A17" s="10" t="s">
        <v>163</v>
      </c>
      <c r="B17" s="10" t="s">
        <v>164</v>
      </c>
      <c r="C17" s="10" t="s">
        <v>229</v>
      </c>
      <c r="D17" s="10"/>
      <c r="E17" s="10"/>
    </row>
    <row r="18" spans="1:5" x14ac:dyDescent="0.25">
      <c r="A18" s="10" t="s">
        <v>214</v>
      </c>
      <c r="B18" s="10" t="s">
        <v>166</v>
      </c>
      <c r="C18" s="10" t="s">
        <v>229</v>
      </c>
      <c r="D18" s="10"/>
      <c r="E18" s="10"/>
    </row>
    <row r="19" spans="1:5" x14ac:dyDescent="0.25">
      <c r="A19" s="10" t="s">
        <v>215</v>
      </c>
      <c r="B19" s="10" t="s">
        <v>164</v>
      </c>
      <c r="C19" s="10" t="s">
        <v>229</v>
      </c>
      <c r="D19" s="10"/>
      <c r="E19" s="10"/>
    </row>
    <row r="20" spans="1:5" x14ac:dyDescent="0.25">
      <c r="A20" s="10" t="s">
        <v>169</v>
      </c>
      <c r="B20" s="10" t="s">
        <v>170</v>
      </c>
      <c r="C20" s="10" t="s">
        <v>230</v>
      </c>
      <c r="D20" s="10" t="s">
        <v>243</v>
      </c>
      <c r="E20" s="11">
        <v>30372</v>
      </c>
    </row>
    <row r="21" spans="1:5" x14ac:dyDescent="0.25">
      <c r="A21" s="10" t="s">
        <v>171</v>
      </c>
      <c r="B21" s="10" t="s">
        <v>172</v>
      </c>
      <c r="C21" s="10" t="s">
        <v>229</v>
      </c>
      <c r="D21" s="10"/>
      <c r="E21" s="10"/>
    </row>
    <row r="22" spans="1:5" x14ac:dyDescent="0.25">
      <c r="A22" s="10" t="s">
        <v>173</v>
      </c>
      <c r="B22" s="10" t="s">
        <v>170</v>
      </c>
      <c r="C22" s="10" t="s">
        <v>229</v>
      </c>
      <c r="D22" s="10"/>
      <c r="E22" s="10"/>
    </row>
    <row r="23" spans="1:5" x14ac:dyDescent="0.25">
      <c r="A23" s="10" t="s">
        <v>174</v>
      </c>
      <c r="B23" s="10" t="s">
        <v>9</v>
      </c>
      <c r="C23" s="10" t="s">
        <v>229</v>
      </c>
      <c r="D23" s="10"/>
      <c r="E23" s="10"/>
    </row>
    <row r="24" spans="1:5" x14ac:dyDescent="0.25">
      <c r="A24" s="10" t="s">
        <v>216</v>
      </c>
      <c r="B24" s="10" t="s">
        <v>176</v>
      </c>
      <c r="C24" s="10" t="s">
        <v>229</v>
      </c>
      <c r="D24" s="10"/>
      <c r="E24" s="10"/>
    </row>
    <row r="25" spans="1:5" x14ac:dyDescent="0.25">
      <c r="A25" s="10" t="s">
        <v>155</v>
      </c>
      <c r="B25" s="10" t="s">
        <v>156</v>
      </c>
      <c r="C25" s="10" t="s">
        <v>229</v>
      </c>
      <c r="D25" s="10"/>
      <c r="E25" s="10"/>
    </row>
    <row r="26" spans="1:5" x14ac:dyDescent="0.25">
      <c r="A26" s="10" t="s">
        <v>217</v>
      </c>
      <c r="B26" s="10" t="s">
        <v>218</v>
      </c>
      <c r="C26" s="10" t="s">
        <v>230</v>
      </c>
      <c r="D26" s="10" t="s">
        <v>246</v>
      </c>
      <c r="E26" s="11">
        <v>30476</v>
      </c>
    </row>
    <row r="27" spans="1:5" x14ac:dyDescent="0.25">
      <c r="A27" s="10" t="s">
        <v>219</v>
      </c>
      <c r="B27" s="10" t="s">
        <v>166</v>
      </c>
      <c r="C27" s="10" t="s">
        <v>230</v>
      </c>
      <c r="D27" s="10" t="s">
        <v>179</v>
      </c>
      <c r="E27" s="11">
        <v>30485</v>
      </c>
    </row>
    <row r="28" spans="1:5" x14ac:dyDescent="0.25">
      <c r="A28" s="10" t="s">
        <v>180</v>
      </c>
      <c r="B28" s="10" t="s">
        <v>181</v>
      </c>
      <c r="C28" s="10" t="s">
        <v>229</v>
      </c>
      <c r="D28" s="10"/>
      <c r="E28" s="10"/>
    </row>
    <row r="29" spans="1:5" x14ac:dyDescent="0.25">
      <c r="A29" s="10" t="s">
        <v>182</v>
      </c>
      <c r="B29" s="10" t="s">
        <v>9</v>
      </c>
      <c r="C29" s="10" t="s">
        <v>229</v>
      </c>
      <c r="D29" s="10"/>
      <c r="E29" s="10"/>
    </row>
    <row r="30" spans="1:5" x14ac:dyDescent="0.25">
      <c r="A30" s="10" t="s">
        <v>220</v>
      </c>
      <c r="B30" s="10" t="s">
        <v>221</v>
      </c>
      <c r="C30" s="10" t="s">
        <v>229</v>
      </c>
      <c r="D30" s="10"/>
      <c r="E30" s="10"/>
    </row>
    <row r="31" spans="1:5" x14ac:dyDescent="0.25">
      <c r="A31" s="10" t="s">
        <v>222</v>
      </c>
      <c r="B31" s="10" t="s">
        <v>154</v>
      </c>
      <c r="C31" s="10" t="s">
        <v>230</v>
      </c>
      <c r="D31" s="10" t="s">
        <v>221</v>
      </c>
      <c r="E31" s="11">
        <v>17543</v>
      </c>
    </row>
    <row r="32" spans="1:5" x14ac:dyDescent="0.25">
      <c r="A32" s="10" t="s">
        <v>223</v>
      </c>
      <c r="B32" s="10" t="s">
        <v>224</v>
      </c>
      <c r="C32" s="10" t="s">
        <v>230</v>
      </c>
      <c r="D32" s="10" t="s">
        <v>221</v>
      </c>
      <c r="E32" s="11">
        <v>17543</v>
      </c>
    </row>
    <row r="33" spans="1:5" x14ac:dyDescent="0.25">
      <c r="A33" s="10" t="s">
        <v>183</v>
      </c>
      <c r="B33" s="10" t="s">
        <v>184</v>
      </c>
      <c r="C33" s="10" t="s">
        <v>229</v>
      </c>
      <c r="D33" s="10"/>
      <c r="E33" s="10"/>
    </row>
    <row r="34" spans="1:5" x14ac:dyDescent="0.25">
      <c r="A34" s="10" t="s">
        <v>185</v>
      </c>
      <c r="B34" s="10" t="s">
        <v>186</v>
      </c>
      <c r="C34" s="10" t="s">
        <v>229</v>
      </c>
      <c r="D34" s="10"/>
      <c r="E34" s="10"/>
    </row>
    <row r="35" spans="1:5" x14ac:dyDescent="0.25">
      <c r="A35" s="10" t="s">
        <v>17</v>
      </c>
      <c r="B35" s="10" t="s">
        <v>144</v>
      </c>
      <c r="C35" s="10" t="s">
        <v>230</v>
      </c>
      <c r="D35" s="10" t="s">
        <v>244</v>
      </c>
      <c r="E35" s="11">
        <v>30484</v>
      </c>
    </row>
    <row r="36" spans="1:5" x14ac:dyDescent="0.25">
      <c r="A36" s="10" t="s">
        <v>188</v>
      </c>
      <c r="B36" s="10" t="s">
        <v>189</v>
      </c>
      <c r="C36" s="10" t="s">
        <v>229</v>
      </c>
      <c r="D36" s="10"/>
      <c r="E36" s="10"/>
    </row>
    <row r="37" spans="1:5" x14ac:dyDescent="0.25">
      <c r="A37" s="10" t="s">
        <v>225</v>
      </c>
      <c r="B37" s="10" t="s">
        <v>191</v>
      </c>
      <c r="C37" s="10" t="s">
        <v>229</v>
      </c>
      <c r="D37" s="10"/>
      <c r="E37" s="10"/>
    </row>
    <row r="38" spans="1:5" x14ac:dyDescent="0.25">
      <c r="A38" s="10" t="s">
        <v>192</v>
      </c>
      <c r="B38" s="10" t="s">
        <v>193</v>
      </c>
      <c r="C38" s="10" t="s">
        <v>229</v>
      </c>
      <c r="D38" s="10"/>
      <c r="E38" s="10"/>
    </row>
    <row r="39" spans="1:5" x14ac:dyDescent="0.25">
      <c r="A39" s="10" t="s">
        <v>194</v>
      </c>
      <c r="B39" s="10" t="s">
        <v>195</v>
      </c>
      <c r="C39" s="10" t="s">
        <v>229</v>
      </c>
      <c r="D39" s="10"/>
      <c r="E3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A8" sqref="A8"/>
    </sheetView>
  </sheetViews>
  <sheetFormatPr defaultRowHeight="15" x14ac:dyDescent="0.25"/>
  <cols>
    <col min="1" max="1" width="39" customWidth="1"/>
    <col min="2" max="2" width="40.5703125" customWidth="1"/>
    <col min="3" max="3" width="15" customWidth="1"/>
    <col min="4" max="4" width="33.5703125" customWidth="1"/>
    <col min="5" max="5" width="12" customWidth="1"/>
  </cols>
  <sheetData>
    <row r="1" spans="1:12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0</v>
      </c>
      <c r="I1" s="12" t="s">
        <v>247</v>
      </c>
      <c r="J1" s="12"/>
      <c r="K1" s="12"/>
      <c r="L1" s="12"/>
    </row>
    <row r="2" spans="1:12" x14ac:dyDescent="0.25">
      <c r="A2" s="10" t="s">
        <v>50</v>
      </c>
      <c r="B2" s="10" t="s">
        <v>48</v>
      </c>
      <c r="C2" s="10"/>
      <c r="D2" s="10"/>
      <c r="E2" s="10"/>
      <c r="G2" s="6" t="s">
        <v>230</v>
      </c>
      <c r="H2" s="7">
        <f>COUNTIF(C:C,G2)</f>
        <v>0</v>
      </c>
    </row>
    <row r="3" spans="1:12" ht="15.75" thickBot="1" x14ac:dyDescent="0.3">
      <c r="A3" s="10" t="s">
        <v>51</v>
      </c>
      <c r="B3" s="10" t="s">
        <v>48</v>
      </c>
      <c r="C3" s="10"/>
      <c r="D3" s="10"/>
      <c r="E3" s="10"/>
      <c r="G3" s="8" t="s">
        <v>231</v>
      </c>
      <c r="H3" s="9" t="e">
        <f>H1/SUM(H1:H2)</f>
        <v>#DIV/0!</v>
      </c>
    </row>
    <row r="4" spans="1:12" x14ac:dyDescent="0.25">
      <c r="A4" s="10" t="s">
        <v>52</v>
      </c>
      <c r="B4" s="10" t="s">
        <v>53</v>
      </c>
      <c r="C4" s="10"/>
      <c r="D4" s="10"/>
      <c r="E4" s="10"/>
    </row>
    <row r="5" spans="1:12" x14ac:dyDescent="0.25">
      <c r="A5" s="10" t="s">
        <v>54</v>
      </c>
      <c r="B5" s="10" t="s">
        <v>34</v>
      </c>
      <c r="C5" s="10"/>
      <c r="D5" s="10"/>
      <c r="E5" s="10"/>
    </row>
    <row r="6" spans="1:12" x14ac:dyDescent="0.25">
      <c r="A6" s="10" t="s">
        <v>50</v>
      </c>
      <c r="B6" s="10" t="s">
        <v>48</v>
      </c>
      <c r="C6" s="10"/>
      <c r="D6" s="10"/>
      <c r="E6" s="10"/>
    </row>
    <row r="7" spans="1:12" x14ac:dyDescent="0.25">
      <c r="A7" s="10" t="s">
        <v>51</v>
      </c>
      <c r="B7" s="10" t="s">
        <v>48</v>
      </c>
      <c r="C7" s="10"/>
      <c r="D7" s="10"/>
      <c r="E7" s="10"/>
    </row>
    <row r="8" spans="1:12" x14ac:dyDescent="0.25">
      <c r="A8" s="10" t="s">
        <v>55</v>
      </c>
      <c r="B8" s="10" t="s">
        <v>36</v>
      </c>
      <c r="C8" s="10"/>
      <c r="D8" s="10"/>
      <c r="E8" s="10"/>
    </row>
    <row r="9" spans="1:12" x14ac:dyDescent="0.25">
      <c r="A9" s="10" t="s">
        <v>56</v>
      </c>
      <c r="B9" s="10" t="s">
        <v>28</v>
      </c>
      <c r="C9" s="10"/>
      <c r="D9" s="10"/>
      <c r="E9" s="10"/>
    </row>
    <row r="10" spans="1:12" x14ac:dyDescent="0.25">
      <c r="A10" s="10" t="s">
        <v>57</v>
      </c>
      <c r="B10" s="10" t="s">
        <v>9</v>
      </c>
      <c r="C10" s="10"/>
      <c r="D10" s="10"/>
      <c r="E10" s="10"/>
    </row>
    <row r="11" spans="1:12" x14ac:dyDescent="0.25">
      <c r="A11" s="10" t="s">
        <v>58</v>
      </c>
      <c r="B11" s="10" t="s">
        <v>9</v>
      </c>
      <c r="C11" s="10"/>
      <c r="D11" s="10"/>
      <c r="E11" s="10"/>
    </row>
    <row r="12" spans="1:12" x14ac:dyDescent="0.25">
      <c r="A12" s="10" t="s">
        <v>59</v>
      </c>
      <c r="B12" s="10" t="s">
        <v>60</v>
      </c>
      <c r="C12" s="10"/>
      <c r="D12" s="10"/>
      <c r="E12" s="10"/>
    </row>
    <row r="13" spans="1:12" x14ac:dyDescent="0.25">
      <c r="A13" s="10" t="s">
        <v>61</v>
      </c>
      <c r="B13" s="10" t="s">
        <v>43</v>
      </c>
      <c r="C13" s="10"/>
      <c r="D13" s="10"/>
      <c r="E13" s="10"/>
    </row>
    <row r="14" spans="1:12" x14ac:dyDescent="0.25">
      <c r="A14" s="10" t="s">
        <v>62</v>
      </c>
      <c r="B14" s="10" t="s">
        <v>45</v>
      </c>
      <c r="C14" s="10"/>
      <c r="D14" s="10"/>
      <c r="E14" s="10"/>
    </row>
    <row r="15" spans="1:12" x14ac:dyDescent="0.25">
      <c r="A15" s="10" t="s">
        <v>63</v>
      </c>
      <c r="B15" s="10" t="s">
        <v>9</v>
      </c>
      <c r="C15" s="10"/>
      <c r="D15" s="10"/>
      <c r="E1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workbookViewId="0">
      <selection activeCell="C4" sqref="C4"/>
    </sheetView>
  </sheetViews>
  <sheetFormatPr defaultRowHeight="15" x14ac:dyDescent="0.25"/>
  <cols>
    <col min="1" max="1" width="54" customWidth="1"/>
    <col min="2" max="2" width="47.7109375" customWidth="1"/>
    <col min="3" max="3" width="11.7109375" customWidth="1"/>
    <col min="4" max="4" width="37.5703125" customWidth="1"/>
    <col min="5" max="5" width="12" customWidth="1"/>
  </cols>
  <sheetData>
    <row r="1" spans="1:12" x14ac:dyDescent="0.25">
      <c r="A1" s="1" t="s">
        <v>0</v>
      </c>
      <c r="B1" s="1" t="s">
        <v>1</v>
      </c>
      <c r="C1" s="2" t="s">
        <v>226</v>
      </c>
      <c r="D1" s="2" t="s">
        <v>227</v>
      </c>
      <c r="E1" s="3" t="s">
        <v>228</v>
      </c>
      <c r="G1" s="4" t="s">
        <v>229</v>
      </c>
      <c r="H1" s="5">
        <f>COUNTIF(C:C,G1)</f>
        <v>0</v>
      </c>
      <c r="I1" s="12" t="s">
        <v>247</v>
      </c>
      <c r="J1" s="12"/>
      <c r="K1" s="12"/>
      <c r="L1" s="12"/>
    </row>
    <row r="2" spans="1:12" x14ac:dyDescent="0.25">
      <c r="A2" s="10" t="s">
        <v>50</v>
      </c>
      <c r="B2" s="10" t="s">
        <v>48</v>
      </c>
      <c r="C2" s="10"/>
      <c r="D2" s="10"/>
      <c r="E2" s="10"/>
      <c r="G2" s="6" t="s">
        <v>230</v>
      </c>
      <c r="H2" s="7">
        <f>COUNTIF(C:C,G2)</f>
        <v>0</v>
      </c>
    </row>
    <row r="3" spans="1:12" ht="15.75" thickBot="1" x14ac:dyDescent="0.3">
      <c r="A3" s="10" t="s">
        <v>51</v>
      </c>
      <c r="B3" s="10" t="s">
        <v>48</v>
      </c>
      <c r="C3" s="10"/>
      <c r="D3" s="10"/>
      <c r="E3" s="10"/>
      <c r="G3" s="8" t="s">
        <v>231</v>
      </c>
      <c r="H3" s="9" t="e">
        <f>H1/SUM(H1:H2)</f>
        <v>#DIV/0!</v>
      </c>
    </row>
    <row r="4" spans="1:12" x14ac:dyDescent="0.25">
      <c r="A4" s="10" t="s">
        <v>202</v>
      </c>
      <c r="B4" s="10" t="s">
        <v>48</v>
      </c>
      <c r="C4" s="10"/>
      <c r="D4" s="10"/>
      <c r="E4" s="10"/>
    </row>
    <row r="5" spans="1:12" x14ac:dyDescent="0.25">
      <c r="A5" s="10" t="s">
        <v>52</v>
      </c>
      <c r="B5" s="10" t="s">
        <v>53</v>
      </c>
      <c r="C5" s="10"/>
      <c r="D5" s="10"/>
      <c r="E5" s="10"/>
    </row>
    <row r="6" spans="1:12" x14ac:dyDescent="0.25">
      <c r="A6" s="10" t="s">
        <v>54</v>
      </c>
      <c r="B6" s="10" t="s">
        <v>34</v>
      </c>
      <c r="C6" s="10"/>
      <c r="D6" s="10"/>
      <c r="E6" s="10"/>
    </row>
    <row r="7" spans="1:12" x14ac:dyDescent="0.25">
      <c r="A7" s="10" t="s">
        <v>203</v>
      </c>
      <c r="B7" s="10" t="s">
        <v>48</v>
      </c>
      <c r="C7" s="10"/>
      <c r="D7" s="10"/>
      <c r="E7" s="10"/>
    </row>
    <row r="8" spans="1:12" x14ac:dyDescent="0.25">
      <c r="A8" s="10" t="s">
        <v>202</v>
      </c>
      <c r="B8" s="10" t="s">
        <v>48</v>
      </c>
      <c r="C8" s="10"/>
      <c r="D8" s="10"/>
      <c r="E8" s="10"/>
    </row>
    <row r="9" spans="1:12" x14ac:dyDescent="0.25">
      <c r="A9" s="10" t="s">
        <v>56</v>
      </c>
      <c r="B9" s="10" t="s">
        <v>28</v>
      </c>
      <c r="C9" s="10"/>
      <c r="D9" s="10"/>
      <c r="E9" s="10"/>
    </row>
    <row r="10" spans="1:12" x14ac:dyDescent="0.25">
      <c r="A10" s="10" t="s">
        <v>57</v>
      </c>
      <c r="B10" s="10" t="s">
        <v>9</v>
      </c>
      <c r="C10" s="10"/>
      <c r="D10" s="10"/>
      <c r="E10" s="10"/>
    </row>
    <row r="11" spans="1:12" x14ac:dyDescent="0.25">
      <c r="A11" s="10" t="s">
        <v>203</v>
      </c>
      <c r="B11" s="10" t="s">
        <v>48</v>
      </c>
      <c r="C11" s="10"/>
      <c r="D11" s="10"/>
      <c r="E11" s="10"/>
    </row>
    <row r="12" spans="1:12" x14ac:dyDescent="0.25">
      <c r="A12" s="10" t="s">
        <v>202</v>
      </c>
      <c r="B12" s="10" t="s">
        <v>48</v>
      </c>
      <c r="C12" s="10"/>
      <c r="D12" s="10"/>
      <c r="E12" s="10"/>
    </row>
    <row r="13" spans="1:12" x14ac:dyDescent="0.25">
      <c r="A13" s="10" t="s">
        <v>55</v>
      </c>
      <c r="B13" s="10" t="s">
        <v>36</v>
      </c>
      <c r="C13" s="10"/>
      <c r="D13" s="10"/>
      <c r="E13" s="10"/>
    </row>
    <row r="14" spans="1:12" x14ac:dyDescent="0.25">
      <c r="A14" s="10" t="s">
        <v>63</v>
      </c>
      <c r="B14" s="10" t="s">
        <v>9</v>
      </c>
      <c r="C14" s="10"/>
      <c r="D14" s="10"/>
      <c r="E14" s="10"/>
    </row>
    <row r="15" spans="1:12" x14ac:dyDescent="0.25">
      <c r="A15" s="10" t="s">
        <v>58</v>
      </c>
      <c r="B15" s="10" t="s">
        <v>9</v>
      </c>
      <c r="C15" s="10"/>
      <c r="D15" s="10"/>
      <c r="E15" s="10"/>
    </row>
    <row r="16" spans="1:12" x14ac:dyDescent="0.25">
      <c r="A16" s="10" t="s">
        <v>203</v>
      </c>
      <c r="B16" s="10" t="s">
        <v>48</v>
      </c>
      <c r="C16" s="10"/>
      <c r="D16" s="10"/>
      <c r="E16" s="10"/>
    </row>
    <row r="17" spans="1:5" x14ac:dyDescent="0.25">
      <c r="A17" s="10" t="s">
        <v>202</v>
      </c>
      <c r="B17" s="10" t="s">
        <v>48</v>
      </c>
      <c r="C17" s="10"/>
      <c r="D17" s="10"/>
      <c r="E17" s="10"/>
    </row>
    <row r="18" spans="1:5" x14ac:dyDescent="0.25">
      <c r="A18" s="10" t="s">
        <v>55</v>
      </c>
      <c r="B18" s="10" t="s">
        <v>36</v>
      </c>
      <c r="C18" s="10"/>
      <c r="D18" s="10"/>
      <c r="E18" s="10"/>
    </row>
    <row r="19" spans="1:5" x14ac:dyDescent="0.25">
      <c r="A19" s="10" t="s">
        <v>63</v>
      </c>
      <c r="B19" s="10" t="s">
        <v>9</v>
      </c>
      <c r="C19" s="10"/>
      <c r="D19" s="10"/>
      <c r="E19" s="10"/>
    </row>
    <row r="20" spans="1:5" x14ac:dyDescent="0.25">
      <c r="A20" s="10" t="s">
        <v>59</v>
      </c>
      <c r="B20" s="10" t="s">
        <v>60</v>
      </c>
      <c r="C20" s="10"/>
      <c r="D20" s="10"/>
      <c r="E20" s="10"/>
    </row>
    <row r="21" spans="1:5" x14ac:dyDescent="0.25">
      <c r="A21" s="10" t="s">
        <v>61</v>
      </c>
      <c r="B21" s="10" t="s">
        <v>43</v>
      </c>
      <c r="C21" s="10"/>
      <c r="D21" s="10"/>
      <c r="E21" s="10"/>
    </row>
    <row r="22" spans="1:5" x14ac:dyDescent="0.25">
      <c r="A22" s="10" t="s">
        <v>62</v>
      </c>
      <c r="B22" s="10" t="s">
        <v>45</v>
      </c>
      <c r="C22" s="10"/>
      <c r="D22" s="10"/>
      <c r="E22" s="10"/>
    </row>
    <row r="23" spans="1:5" x14ac:dyDescent="0.25">
      <c r="A23" s="10" t="s">
        <v>204</v>
      </c>
      <c r="B23" s="10" t="s">
        <v>9</v>
      </c>
      <c r="C23" s="10"/>
      <c r="D23" s="10"/>
      <c r="E23" s="10"/>
    </row>
    <row r="24" spans="1:5" x14ac:dyDescent="0.25">
      <c r="A24" s="10" t="s">
        <v>63</v>
      </c>
      <c r="B24" s="10" t="s">
        <v>9</v>
      </c>
      <c r="C24" s="10"/>
      <c r="D24" s="10"/>
      <c r="E2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2026-03-25T17:10:15Z</dcterms:created>
  <dcterms:modified xsi:type="dcterms:W3CDTF">2026-04-06T08:43:45Z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2026-04-01T05:00:22Z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8b53bad9-9130-463c-9aee-50800169030b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