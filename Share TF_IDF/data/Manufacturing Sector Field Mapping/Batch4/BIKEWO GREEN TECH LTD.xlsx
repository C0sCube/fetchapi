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E09DB79B-9AF4-4DEC-8BA2-F937E0413AB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Standalone Balance Sheet" sheetId="3" r:id="rId2"/>
    <sheet name="Standalone Cash Flow" sheetId="2" r:id="rId3"/>
  </sheets>
  <definedNames>
    <definedName name="_xlnm._FilterDatabase" localSheetId="2" hidden="1">'Standalone Cash Flow'!$A$1:$H$34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2" l="1"/>
  <c r="H3" i="3"/>
  <c r="H3" i="1"/>
</calcChain>
</file>

<file path=xl/sharedStrings.xml><?xml version="1.0" encoding="utf-8"?>
<sst xmlns="http://schemas.openxmlformats.org/spreadsheetml/2006/main" count="335" uniqueCount="172">
  <si>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</si>
  <si>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</si>
  <si>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</si>
  <si>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</si>
  <si>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</si>
  <si>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</si>
  <si>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</si>
  <si>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</si>
  <si>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Expenditure</t>
  </si>
  <si>
    <t>Lable</t>
  </si>
  <si>
    <t>Purchases of stock - in - trade</t>
  </si>
  <si>
    <t>Purchase of Stock-in-Trade</t>
  </si>
  <si>
    <t>Changes in inventories of fi nished goods work - in progress and stock - in - trade</t>
  </si>
  <si>
    <t>Changes in Inventories of Finished Goods, Work-In-Progress and Stock-In-Trade</t>
  </si>
  <si>
    <t>Employee benefit expenses</t>
  </si>
  <si>
    <t>Employee Benefit Expense</t>
  </si>
  <si>
    <t>Finance cost</t>
  </si>
  <si>
    <t>Finance Costs</t>
  </si>
  <si>
    <t>Depreciation &amp; amortization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</si>
  <si>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</si>
  <si>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</si>
  <si>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</si>
  <si>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</si>
  <si>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</si>
  <si>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Profit/(Loss) before exceptional items and tax</t>
  </si>
  <si>
    <t>Profit/(Loss) from Ordinary Activities after Finance Costs but before Exceptional Items</t>
  </si>
  <si>
    <t>Exceptional items</t>
  </si>
  <si>
    <t>Other Exceptional Items</t>
  </si>
  <si>
    <t>Profit/(Loss) before tax</t>
  </si>
  <si>
    <t>Tax expense:</t>
  </si>
  <si>
    <t>Tax expense for current year</t>
  </si>
  <si>
    <t>Tax Expense</t>
  </si>
  <si>
    <t>Short/(Excess) provision of earlier year</t>
  </si>
  <si>
    <t>Deferred tax</t>
  </si>
  <si>
    <t>Deferred Tax</t>
  </si>
  <si>
    <t>Net current tax expenses</t>
  </si>
  <si>
    <t>Profit/(Loss) for the period from continuing</t>
  </si>
  <si>
    <t>Profit/(Loss) for the Period from Continuing Operations</t>
  </si>
  <si>
    <t>Other comprehensive income</t>
  </si>
  <si>
    <t>Items that will not be reclassified to profit or loss</t>
  </si>
  <si>
    <t>Items that will not be reclassified to Profit or Loss</t>
  </si>
  <si>
    <t>Total comprehensive income for the period</t>
  </si>
  <si>
    <t>Total Comprehensive Gain (Loss) For the Year</t>
  </si>
  <si>
    <t>Earnings per share I nominal value of INR 10 per</t>
  </si>
  <si>
    <t xml:space="preserve">Basic </t>
  </si>
  <si>
    <t>Diluted</t>
  </si>
  <si>
    <t>Net Profit before tax</t>
  </si>
  <si>
    <t>Net Profit Before Tax And Exceptional Item</t>
  </si>
  <si>
    <t>Adjustment for</t>
  </si>
  <si>
    <t>Depreciation</t>
  </si>
  <si>
    <t>Depreciation and Amortisation Expense</t>
  </si>
  <si>
    <t>Interest Expense</t>
  </si>
  <si>
    <t>Operating profit before working capital changes</t>
  </si>
  <si>
    <t>Operating Profit Before Working Capital Changes</t>
  </si>
  <si>
    <t>Changes in Working Capital</t>
  </si>
  <si>
    <t>(Increase)/Decrease in inventories</t>
  </si>
  <si>
    <t>Inventories</t>
  </si>
  <si>
    <t>(lncrease)/Decrease in trade receivables</t>
  </si>
  <si>
    <t>Trade And Other Receivables</t>
  </si>
  <si>
    <t>(Increase)/Decrease in short term loans &amp; advances</t>
  </si>
  <si>
    <t>Short Term Loans And Advances</t>
  </si>
  <si>
    <t>(Increase)/Decrease in other current assets</t>
  </si>
  <si>
    <t>Other Current and Non Current Assets</t>
  </si>
  <si>
    <t>(lncrease)/Decrease in non current assets</t>
  </si>
  <si>
    <t>Purchase Of Investments</t>
  </si>
  <si>
    <t>Increase/(Decrease) in trade payables</t>
  </si>
  <si>
    <t>Trade Payables And Others</t>
  </si>
  <si>
    <t>lncrease/(Decrease) in other current liabilities</t>
  </si>
  <si>
    <t>Other Current and Non Current Liabilities</t>
  </si>
  <si>
    <t>lnerease/(Decrease) in provisions</t>
  </si>
  <si>
    <t>Provisions</t>
  </si>
  <si>
    <t>lncrease/(Decrease) in short term borrowings</t>
  </si>
  <si>
    <t>Proceeds From Short Term Borrowings</t>
  </si>
  <si>
    <t>Cash generated from operations before tax and exceptional item</t>
  </si>
  <si>
    <t>Cash Generated From Operations</t>
  </si>
  <si>
    <t>Income tax paid / payable (net)</t>
  </si>
  <si>
    <t>Income Tax Paid</t>
  </si>
  <si>
    <t>Cash flow before exceptional item</t>
  </si>
  <si>
    <t>Net Cash From Operating Activities Before EOI</t>
  </si>
  <si>
    <t>Others-Before Working Capital Changes</t>
  </si>
  <si>
    <t>Net cash flow from operating activities</t>
  </si>
  <si>
    <t>Net Cash Flow From Operating Activities</t>
  </si>
  <si>
    <t>Cash Flow From Investing Activities :</t>
  </si>
  <si>
    <t>Purchase/Sale of property, plant and equipment</t>
  </si>
  <si>
    <t>Purchase Of Fixed Assets (Tangible / Intangible)</t>
  </si>
  <si>
    <t>Purchase of intangible assets</t>
  </si>
  <si>
    <t>Net cash flow from investing activities</t>
  </si>
  <si>
    <t>Net Cash Flow From Investing Activities</t>
  </si>
  <si>
    <t>Cash Flow From Financing Activities :</t>
  </si>
  <si>
    <t>Issue of shares</t>
  </si>
  <si>
    <t>Proceeds From Issue Of Equity Shares (Inclu Share Premium)</t>
  </si>
  <si>
    <t>Issue Expenses</t>
  </si>
  <si>
    <t>lncrease/(Decrease) in long term borrowings</t>
  </si>
  <si>
    <t>Proceeds From Long Term Borrowings</t>
  </si>
  <si>
    <t>Interest Paid</t>
  </si>
  <si>
    <t>Net cash flow from financing activities</t>
  </si>
  <si>
    <t>Net Cash Flow From Financing Activities</t>
  </si>
  <si>
    <t>Net Inerease/(Decrease) In Cash &amp; Cash equivalents</t>
  </si>
  <si>
    <t>Net Increase in Cash and Cash Equivalents</t>
  </si>
  <si>
    <t>Cash equivalents at the beginning of the year</t>
  </si>
  <si>
    <t>Cash and Cash Equivalents at the Beginning of the Year</t>
  </si>
  <si>
    <t>Cash equi va lents at the end of the year</t>
  </si>
  <si>
    <t>Cash and Cash Equivalents at the End of the Year</t>
  </si>
  <si>
    <t>Non Current Assets</t>
  </si>
  <si>
    <t>Property, plant and equ ipment</t>
  </si>
  <si>
    <t>Capital work-in-progress</t>
  </si>
  <si>
    <t>Capital Work-In-Progress</t>
  </si>
  <si>
    <t>Other intangible assets</t>
  </si>
  <si>
    <t>Other Intangible Assets</t>
  </si>
  <si>
    <t>Deferred tax assets (net)</t>
  </si>
  <si>
    <t>Deferred Tax Assets (Net)</t>
  </si>
  <si>
    <t>Other non - current assets</t>
  </si>
  <si>
    <t>Other Non-Current Assets</t>
  </si>
  <si>
    <t>Total</t>
  </si>
  <si>
    <t>Total Equity And Liabilities</t>
  </si>
  <si>
    <t>Current Assets</t>
  </si>
  <si>
    <t>Inventori es</t>
  </si>
  <si>
    <t>Property, Plant &amp; Equipment</t>
  </si>
  <si>
    <t>Financial assets</t>
  </si>
  <si>
    <t>Trade receivables</t>
  </si>
  <si>
    <t>Trade Receivables</t>
  </si>
  <si>
    <t>Cash and cash equ ivalents</t>
  </si>
  <si>
    <t>Cash And Cash Equivalents</t>
  </si>
  <si>
    <t>Short-term loans and advances</t>
  </si>
  <si>
    <t>Loans, Current</t>
  </si>
  <si>
    <t>Other current assets</t>
  </si>
  <si>
    <t>Other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</si>
  <si>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</si>
  <si>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</si>
  <si>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</si>
  <si>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</si>
  <si>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</si>
  <si>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</si>
  <si>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</si>
  <si>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</si>
  <si>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Non-Current Liabilities</t>
  </si>
  <si>
    <t>Financial liabilities</t>
  </si>
  <si>
    <t>Borrowings</t>
  </si>
  <si>
    <t>Deferred tax liability</t>
  </si>
  <si>
    <t>Deferred Tax Liability (Net)</t>
  </si>
  <si>
    <t>Current Liabilities</t>
  </si>
  <si>
    <t>Trade payables</t>
  </si>
  <si>
    <t>Trade Payables</t>
  </si>
  <si>
    <t>total outstanding dues of micro enterprises and small enterprises; and</t>
  </si>
  <si>
    <t>total outstanding dues of creditors other than micro enterprises and small enterprises</t>
  </si>
  <si>
    <t>Other current liabilities</t>
  </si>
  <si>
    <t>Other liabilities</t>
  </si>
  <si>
    <t>Current tax liabilities (net)</t>
  </si>
  <si>
    <t>Current Tax Liabilities (Net)</t>
  </si>
  <si>
    <t>Total Equity and Liabilities</t>
  </si>
  <si>
    <t>Correct</t>
  </si>
  <si>
    <t>Incorrect</t>
  </si>
  <si>
    <t>Accuracy %</t>
  </si>
  <si>
    <t>Status</t>
  </si>
  <si>
    <t>Correct Field Mapping</t>
  </si>
  <si>
    <t>Field id</t>
  </si>
  <si>
    <t>incorrect</t>
  </si>
  <si>
    <t>Profit/(Loss) From Ordinary Activities before Tax</t>
  </si>
  <si>
    <t>Calculated Field</t>
  </si>
  <si>
    <t>correct</t>
  </si>
  <si>
    <t>Basic EPS</t>
  </si>
  <si>
    <t>Diluted EPS</t>
  </si>
  <si>
    <t>Label</t>
  </si>
  <si>
    <t>Increase/Decrease In Borrowings</t>
  </si>
  <si>
    <t>Other Extra-Ordinary Income/Expense</t>
  </si>
  <si>
    <t>Repayment Of Long Term Borrowings</t>
  </si>
  <si>
    <t>Total Non-Current Liabilities</t>
  </si>
  <si>
    <t>Total Current Liabilities</t>
  </si>
  <si>
    <t>Total Share Holder's Funds</t>
  </si>
  <si>
    <t>Total Current Assets</t>
  </si>
  <si>
    <t>Total Non-Current Assets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</si>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</sst>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zoomScaleNormal="100" workbookViewId="0">
      <selection activeCell="B21" sqref="B21"/>
    </sheetView>
  </sheetViews>
  <sheetFormatPr defaultRowHeight="15" x14ac:dyDescent="0.25"/>
  <cols>
    <col min="1" max="1" width="57.85546875" customWidth="1"/>
    <col min="2" max="2" width="62.28515625" customWidth="1"/>
    <col min="3" max="3" width="12" customWidth="1"/>
    <col min="4" max="4" width="21.8554687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153</v>
      </c>
      <c r="D1" s="8" t="s">
        <v>154</v>
      </c>
      <c r="E1" s="9" t="s">
        <v>155</v>
      </c>
      <c r="G1" s="2" t="s">
        <v>150</v>
      </c>
      <c r="H1" s="3">
        <f>COUNTIF(C:C,G1)</f>
        <v>22</v>
      </c>
    </row>
    <row r="2" spans="1:8" x14ac:dyDescent="0.25">
      <c r="A2" s="10" t="s">
        <v>2</v>
      </c>
      <c r="B2" s="10" t="s">
        <v>3</v>
      </c>
      <c r="C2" s="10" t="s">
        <v>150</v>
      </c>
      <c r="D2" s="10"/>
      <c r="E2" s="10"/>
      <c r="G2" s="4" t="s">
        <v>151</v>
      </c>
      <c r="H2" s="5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150</v>
      </c>
      <c r="D3" s="10"/>
      <c r="E3" s="10"/>
      <c r="G3" s="6" t="s">
        <v>152</v>
      </c>
      <c r="H3" s="7">
        <f>H1/SUM(H1:H2)</f>
        <v>0.88</v>
      </c>
    </row>
    <row r="4" spans="1:8" x14ac:dyDescent="0.25">
      <c r="A4" s="10" t="s">
        <v>6</v>
      </c>
      <c r="B4" s="10" t="s">
        <v>7</v>
      </c>
      <c r="C4" s="10" t="s">
        <v>150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150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150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150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150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150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150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150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150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150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150</v>
      </c>
      <c r="D14" s="10"/>
      <c r="E14" s="10"/>
    </row>
    <row r="15" spans="1:8" x14ac:dyDescent="0.25">
      <c r="A15" s="10" t="s">
        <v>28</v>
      </c>
      <c r="B15" s="10" t="s">
        <v>9</v>
      </c>
      <c r="C15" s="10" t="s">
        <v>156</v>
      </c>
      <c r="D15" s="10" t="s">
        <v>157</v>
      </c>
      <c r="E15" s="11">
        <v>296</v>
      </c>
    </row>
    <row r="16" spans="1:8" x14ac:dyDescent="0.25">
      <c r="A16" s="10" t="s">
        <v>29</v>
      </c>
      <c r="B16" s="10" t="s">
        <v>9</v>
      </c>
      <c r="C16" s="10" t="s">
        <v>150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150</v>
      </c>
      <c r="D17" s="10"/>
      <c r="E17" s="10"/>
    </row>
    <row r="18" spans="1:5" x14ac:dyDescent="0.25">
      <c r="A18" s="10" t="s">
        <v>32</v>
      </c>
      <c r="B18" s="10" t="s">
        <v>31</v>
      </c>
      <c r="C18" s="10" t="s">
        <v>150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150</v>
      </c>
      <c r="D19" s="10"/>
      <c r="E19" s="10"/>
    </row>
    <row r="20" spans="1:5" x14ac:dyDescent="0.25">
      <c r="A20" s="10" t="s">
        <v>35</v>
      </c>
      <c r="B20" s="10" t="s">
        <v>31</v>
      </c>
      <c r="C20" s="10"/>
      <c r="D20" s="10" t="s">
        <v>158</v>
      </c>
      <c r="E20" s="10"/>
    </row>
    <row r="21" spans="1:5" x14ac:dyDescent="0.25">
      <c r="A21" s="10" t="s">
        <v>36</v>
      </c>
      <c r="B21" s="10" t="s">
        <v>37</v>
      </c>
      <c r="C21" s="10" t="s">
        <v>150</v>
      </c>
      <c r="D21" s="10"/>
      <c r="E21" s="10"/>
    </row>
    <row r="22" spans="1:5" x14ac:dyDescent="0.25">
      <c r="A22" s="10" t="s">
        <v>38</v>
      </c>
      <c r="B22" s="10" t="s">
        <v>9</v>
      </c>
      <c r="C22" s="10" t="s">
        <v>159</v>
      </c>
      <c r="D22" s="10"/>
      <c r="E22" s="11"/>
    </row>
    <row r="23" spans="1:5" x14ac:dyDescent="0.25">
      <c r="A23" s="10" t="s">
        <v>39</v>
      </c>
      <c r="B23" s="10" t="s">
        <v>40</v>
      </c>
      <c r="C23" s="10" t="s">
        <v>150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150</v>
      </c>
      <c r="D24" s="10"/>
      <c r="E24" s="10"/>
    </row>
    <row r="25" spans="1:5" x14ac:dyDescent="0.25">
      <c r="A25" s="10" t="s">
        <v>43</v>
      </c>
      <c r="B25" s="10" t="s">
        <v>9</v>
      </c>
      <c r="C25" s="10" t="s">
        <v>150</v>
      </c>
      <c r="D25" s="10"/>
      <c r="E25" s="10"/>
    </row>
    <row r="26" spans="1:5" x14ac:dyDescent="0.25">
      <c r="A26" s="10" t="s">
        <v>44</v>
      </c>
      <c r="B26" s="10" t="s">
        <v>9</v>
      </c>
      <c r="C26" s="10" t="s">
        <v>156</v>
      </c>
      <c r="D26" s="10" t="s">
        <v>160</v>
      </c>
      <c r="E26" s="11">
        <v>222</v>
      </c>
    </row>
    <row r="27" spans="1:5" x14ac:dyDescent="0.25">
      <c r="A27" s="10" t="s">
        <v>45</v>
      </c>
      <c r="B27" s="10" t="s">
        <v>9</v>
      </c>
      <c r="C27" s="10" t="s">
        <v>156</v>
      </c>
      <c r="D27" s="10" t="s">
        <v>161</v>
      </c>
      <c r="E27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zoomScaleNormal="100" workbookViewId="0">
      <selection activeCell="A28" sqref="A28"/>
    </sheetView>
  </sheetViews>
  <sheetFormatPr defaultRowHeight="15" x14ac:dyDescent="0.25"/>
  <cols>
    <col min="1" max="1" width="43.28515625" customWidth="1"/>
    <col min="2" max="2" width="47.85546875" customWidth="1"/>
    <col min="3" max="3" width="8.85546875" bestFit="1" customWidth="1"/>
    <col min="4" max="4" width="26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153</v>
      </c>
      <c r="D1" s="8" t="s">
        <v>154</v>
      </c>
      <c r="E1" s="9" t="s">
        <v>155</v>
      </c>
      <c r="G1" s="2" t="s">
        <v>150</v>
      </c>
      <c r="H1" s="3">
        <f>COUNTIF(C:C,G1)</f>
        <v>29</v>
      </c>
    </row>
    <row r="2" spans="1:8" x14ac:dyDescent="0.25">
      <c r="A2" s="10" t="s">
        <v>103</v>
      </c>
      <c r="B2" s="10" t="s">
        <v>9</v>
      </c>
      <c r="C2" s="10" t="s">
        <v>150</v>
      </c>
      <c r="D2" s="10"/>
      <c r="E2" s="10"/>
      <c r="G2" s="4" t="s">
        <v>151</v>
      </c>
      <c r="H2" s="5">
        <f>COUNTIF(C:C,G2)</f>
        <v>8</v>
      </c>
    </row>
    <row r="3" spans="1:8" ht="15.75" thickBot="1" x14ac:dyDescent="0.3">
      <c r="A3" s="10" t="s">
        <v>104</v>
      </c>
      <c r="B3" s="10" t="s">
        <v>9</v>
      </c>
      <c r="C3" s="10" t="s">
        <v>151</v>
      </c>
      <c r="D3" s="10" t="s">
        <v>117</v>
      </c>
      <c r="E3" s="11">
        <v>20222</v>
      </c>
      <c r="G3" s="6" t="s">
        <v>152</v>
      </c>
      <c r="H3" s="7">
        <f>H1/SUM(H1:H2)</f>
        <v>0.78378378378378377</v>
      </c>
    </row>
    <row r="4" spans="1:8" x14ac:dyDescent="0.25">
      <c r="A4" s="10" t="s">
        <v>105</v>
      </c>
      <c r="B4" s="10" t="s">
        <v>106</v>
      </c>
      <c r="C4" s="10" t="s">
        <v>150</v>
      </c>
      <c r="D4" s="10"/>
      <c r="E4" s="10"/>
    </row>
    <row r="5" spans="1:8" x14ac:dyDescent="0.25">
      <c r="A5" s="10" t="s">
        <v>107</v>
      </c>
      <c r="B5" s="10" t="s">
        <v>108</v>
      </c>
      <c r="C5" s="10" t="s">
        <v>150</v>
      </c>
      <c r="D5" s="10"/>
      <c r="E5" s="10"/>
    </row>
    <row r="6" spans="1:8" x14ac:dyDescent="0.25">
      <c r="A6" s="10" t="s">
        <v>109</v>
      </c>
      <c r="B6" s="10" t="s">
        <v>110</v>
      </c>
      <c r="C6" s="10" t="s">
        <v>150</v>
      </c>
      <c r="D6" s="10"/>
      <c r="E6" s="10"/>
    </row>
    <row r="7" spans="1:8" x14ac:dyDescent="0.25">
      <c r="A7" s="10" t="s">
        <v>111</v>
      </c>
      <c r="B7" s="10" t="s">
        <v>112</v>
      </c>
      <c r="C7" s="10" t="s">
        <v>150</v>
      </c>
      <c r="D7" s="10"/>
      <c r="E7" s="10"/>
    </row>
    <row r="8" spans="1:8" x14ac:dyDescent="0.25">
      <c r="A8" s="10" t="s">
        <v>113</v>
      </c>
      <c r="B8" s="10" t="s">
        <v>114</v>
      </c>
      <c r="C8" s="10" t="s">
        <v>151</v>
      </c>
      <c r="D8" s="10" t="s">
        <v>170</v>
      </c>
      <c r="E8" s="11">
        <v>13777</v>
      </c>
    </row>
    <row r="9" spans="1:8" x14ac:dyDescent="0.25">
      <c r="A9" s="10" t="s">
        <v>115</v>
      </c>
      <c r="B9" s="10" t="s">
        <v>9</v>
      </c>
      <c r="C9" s="10" t="s">
        <v>150</v>
      </c>
      <c r="D9" s="10"/>
      <c r="E9" s="10"/>
    </row>
    <row r="10" spans="1:8" x14ac:dyDescent="0.25">
      <c r="A10" s="10" t="s">
        <v>116</v>
      </c>
      <c r="B10" s="10" t="s">
        <v>117</v>
      </c>
      <c r="C10" s="10" t="s">
        <v>151</v>
      </c>
      <c r="D10" s="10" t="s">
        <v>56</v>
      </c>
      <c r="E10" s="11">
        <v>13737</v>
      </c>
    </row>
    <row r="11" spans="1:8" x14ac:dyDescent="0.25">
      <c r="A11" s="10" t="s">
        <v>118</v>
      </c>
      <c r="B11" s="10" t="s">
        <v>9</v>
      </c>
      <c r="C11" s="10" t="s">
        <v>150</v>
      </c>
      <c r="D11" s="10"/>
      <c r="E11" s="10"/>
    </row>
    <row r="12" spans="1:8" x14ac:dyDescent="0.25">
      <c r="A12" s="10" t="s">
        <v>119</v>
      </c>
      <c r="B12" s="10" t="s">
        <v>120</v>
      </c>
      <c r="C12" s="10" t="s">
        <v>150</v>
      </c>
      <c r="D12" s="10" t="s">
        <v>120</v>
      </c>
      <c r="E12" s="11">
        <v>13780</v>
      </c>
    </row>
    <row r="13" spans="1:8" x14ac:dyDescent="0.25">
      <c r="A13" s="10" t="s">
        <v>121</v>
      </c>
      <c r="B13" s="10" t="s">
        <v>122</v>
      </c>
      <c r="C13" s="10" t="s">
        <v>150</v>
      </c>
      <c r="D13" s="10"/>
      <c r="E13" s="10"/>
    </row>
    <row r="14" spans="1:8" x14ac:dyDescent="0.25">
      <c r="A14" s="10" t="s">
        <v>123</v>
      </c>
      <c r="B14" s="10" t="s">
        <v>124</v>
      </c>
      <c r="C14" s="10" t="s">
        <v>150</v>
      </c>
      <c r="D14" s="10"/>
      <c r="E14" s="11"/>
    </row>
    <row r="15" spans="1:8" x14ac:dyDescent="0.25">
      <c r="A15" s="10" t="s">
        <v>125</v>
      </c>
      <c r="B15" s="10" t="s">
        <v>126</v>
      </c>
      <c r="C15" s="10" t="s">
        <v>150</v>
      </c>
      <c r="D15" s="10"/>
      <c r="E15" s="10"/>
    </row>
    <row r="16" spans="1:8" x14ac:dyDescent="0.25">
      <c r="A16" s="10" t="s">
        <v>113</v>
      </c>
      <c r="B16" s="10" t="s">
        <v>114</v>
      </c>
      <c r="C16" s="10" t="s">
        <v>151</v>
      </c>
      <c r="D16" s="10" t="s">
        <v>169</v>
      </c>
      <c r="E16" s="11">
        <v>13774</v>
      </c>
    </row>
    <row r="17" spans="1:5" x14ac:dyDescent="0.25">
      <c r="A17" s="10" t="s">
        <v>127</v>
      </c>
      <c r="B17" s="10" t="s">
        <v>127</v>
      </c>
      <c r="C17" s="10" t="s">
        <v>150</v>
      </c>
      <c r="D17" s="10"/>
      <c r="E17" s="10"/>
    </row>
    <row r="18" spans="1:5" x14ac:dyDescent="0.25">
      <c r="A18" s="10" t="s">
        <v>128</v>
      </c>
      <c r="B18" s="10" t="s">
        <v>9</v>
      </c>
      <c r="C18" s="10" t="s">
        <v>150</v>
      </c>
      <c r="D18" s="10"/>
      <c r="E18" s="10"/>
    </row>
    <row r="19" spans="1:5" x14ac:dyDescent="0.25">
      <c r="A19" s="10" t="s">
        <v>129</v>
      </c>
      <c r="B19" s="10" t="s">
        <v>9</v>
      </c>
      <c r="C19" s="10" t="s">
        <v>150</v>
      </c>
      <c r="D19" s="10"/>
      <c r="E19" s="10"/>
    </row>
    <row r="20" spans="1:5" x14ac:dyDescent="0.25">
      <c r="A20" s="10" t="s">
        <v>130</v>
      </c>
      <c r="B20" s="10" t="s">
        <v>131</v>
      </c>
      <c r="C20" s="10" t="s">
        <v>150</v>
      </c>
      <c r="D20" s="10"/>
      <c r="E20" s="10"/>
    </row>
    <row r="21" spans="1:5" x14ac:dyDescent="0.25">
      <c r="A21" s="10" t="s">
        <v>132</v>
      </c>
      <c r="B21" s="10" t="s">
        <v>133</v>
      </c>
      <c r="C21" s="10" t="s">
        <v>150</v>
      </c>
      <c r="D21" s="10"/>
      <c r="E21" s="10"/>
    </row>
    <row r="22" spans="1:5" x14ac:dyDescent="0.25">
      <c r="A22" s="10" t="s">
        <v>113</v>
      </c>
      <c r="B22" s="10" t="s">
        <v>114</v>
      </c>
      <c r="C22" s="10" t="s">
        <v>151</v>
      </c>
      <c r="D22" s="10" t="s">
        <v>168</v>
      </c>
      <c r="E22" s="11">
        <v>13773</v>
      </c>
    </row>
    <row r="23" spans="1:5" x14ac:dyDescent="0.25">
      <c r="A23" s="10" t="s">
        <v>134</v>
      </c>
      <c r="B23" s="10" t="s">
        <v>9</v>
      </c>
      <c r="C23" s="10" t="s">
        <v>150</v>
      </c>
      <c r="D23" s="10"/>
      <c r="E23" s="10"/>
    </row>
    <row r="24" spans="1:5" x14ac:dyDescent="0.25">
      <c r="A24" s="10" t="s">
        <v>135</v>
      </c>
      <c r="B24" s="10" t="s">
        <v>9</v>
      </c>
      <c r="C24" s="10" t="s">
        <v>150</v>
      </c>
      <c r="D24" s="10"/>
      <c r="E24" s="10"/>
    </row>
    <row r="25" spans="1:5" x14ac:dyDescent="0.25">
      <c r="A25" s="10" t="s">
        <v>136</v>
      </c>
      <c r="B25" s="10" t="s">
        <v>9</v>
      </c>
      <c r="C25" s="10" t="s">
        <v>150</v>
      </c>
      <c r="D25" s="10"/>
      <c r="E25" s="10"/>
    </row>
    <row r="26" spans="1:5" x14ac:dyDescent="0.25">
      <c r="A26" s="10" t="s">
        <v>137</v>
      </c>
      <c r="B26" s="10" t="s">
        <v>137</v>
      </c>
      <c r="C26" s="10" t="s">
        <v>150</v>
      </c>
      <c r="D26" s="10" t="s">
        <v>137</v>
      </c>
      <c r="E26" s="11">
        <v>20223</v>
      </c>
    </row>
    <row r="27" spans="1:5" x14ac:dyDescent="0.25">
      <c r="A27" s="10" t="s">
        <v>138</v>
      </c>
      <c r="B27" s="10" t="s">
        <v>139</v>
      </c>
      <c r="C27" s="10" t="s">
        <v>150</v>
      </c>
      <c r="D27" s="10"/>
      <c r="E27" s="10"/>
    </row>
    <row r="28" spans="1:5" x14ac:dyDescent="0.25">
      <c r="A28" s="10" t="s">
        <v>113</v>
      </c>
      <c r="B28" s="10" t="s">
        <v>114</v>
      </c>
      <c r="C28" s="10" t="s">
        <v>151</v>
      </c>
      <c r="D28" s="10" t="s">
        <v>166</v>
      </c>
      <c r="E28" s="11">
        <v>13778</v>
      </c>
    </row>
    <row r="29" spans="1:5" x14ac:dyDescent="0.25">
      <c r="A29" s="10" t="s">
        <v>140</v>
      </c>
      <c r="B29" s="10" t="s">
        <v>9</v>
      </c>
      <c r="C29" s="10" t="s">
        <v>150</v>
      </c>
      <c r="D29" s="10"/>
      <c r="E29" s="10"/>
    </row>
    <row r="30" spans="1:5" x14ac:dyDescent="0.25">
      <c r="A30" s="10" t="s">
        <v>136</v>
      </c>
      <c r="B30" s="10" t="s">
        <v>9</v>
      </c>
      <c r="C30" s="10" t="s">
        <v>150</v>
      </c>
      <c r="D30" s="10"/>
      <c r="E30" s="10"/>
    </row>
    <row r="31" spans="1:5" x14ac:dyDescent="0.25">
      <c r="A31" s="10" t="s">
        <v>137</v>
      </c>
      <c r="B31" s="10" t="s">
        <v>137</v>
      </c>
      <c r="C31" s="10" t="s">
        <v>150</v>
      </c>
      <c r="D31" s="10" t="s">
        <v>137</v>
      </c>
      <c r="E31" s="11">
        <v>20209</v>
      </c>
    </row>
    <row r="32" spans="1:5" x14ac:dyDescent="0.25">
      <c r="A32" s="10" t="s">
        <v>141</v>
      </c>
      <c r="B32" s="10" t="s">
        <v>142</v>
      </c>
      <c r="C32" s="10" t="s">
        <v>151</v>
      </c>
      <c r="D32" s="10" t="s">
        <v>162</v>
      </c>
      <c r="E32" s="10"/>
    </row>
    <row r="33" spans="1:5" x14ac:dyDescent="0.25">
      <c r="A33" s="10" t="s">
        <v>143</v>
      </c>
      <c r="B33" s="10" t="s">
        <v>142</v>
      </c>
      <c r="C33" s="10" t="s">
        <v>150</v>
      </c>
      <c r="D33" s="10" t="s">
        <v>142</v>
      </c>
      <c r="E33" s="11">
        <v>13779</v>
      </c>
    </row>
    <row r="34" spans="1:5" x14ac:dyDescent="0.25">
      <c r="A34" s="10" t="s">
        <v>144</v>
      </c>
      <c r="B34" s="10" t="s">
        <v>142</v>
      </c>
      <c r="C34" s="10" t="s">
        <v>150</v>
      </c>
      <c r="D34" s="10" t="s">
        <v>142</v>
      </c>
      <c r="E34" s="11">
        <v>13779</v>
      </c>
    </row>
    <row r="35" spans="1:5" x14ac:dyDescent="0.25">
      <c r="A35" s="10" t="s">
        <v>145</v>
      </c>
      <c r="B35" s="10" t="s">
        <v>146</v>
      </c>
      <c r="C35" s="10" t="s">
        <v>150</v>
      </c>
      <c r="D35" s="10"/>
      <c r="E35" s="10"/>
    </row>
    <row r="36" spans="1:5" x14ac:dyDescent="0.25">
      <c r="A36" s="10" t="s">
        <v>147</v>
      </c>
      <c r="B36" s="10" t="s">
        <v>148</v>
      </c>
      <c r="C36" s="10" t="s">
        <v>150</v>
      </c>
      <c r="D36" s="10"/>
      <c r="E36" s="10"/>
    </row>
    <row r="37" spans="1:5" x14ac:dyDescent="0.25">
      <c r="A37" s="10" t="s">
        <v>113</v>
      </c>
      <c r="B37" s="10" t="s">
        <v>114</v>
      </c>
      <c r="C37" s="10" t="s">
        <v>151</v>
      </c>
      <c r="D37" s="10" t="s">
        <v>167</v>
      </c>
      <c r="E37" s="11">
        <v>13775</v>
      </c>
    </row>
    <row r="38" spans="1:5" x14ac:dyDescent="0.25">
      <c r="A38" s="10" t="s">
        <v>149</v>
      </c>
      <c r="B38" s="10" t="s">
        <v>114</v>
      </c>
      <c r="C38" s="10" t="s">
        <v>150</v>
      </c>
      <c r="D38" s="10" t="s">
        <v>114</v>
      </c>
      <c r="E38" s="1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zoomScaleNormal="100" workbookViewId="0"/>
  </sheetViews>
  <sheetFormatPr defaultRowHeight="15" x14ac:dyDescent="0.25"/>
  <cols>
    <col min="1" max="1" width="54.7109375" bestFit="1" customWidth="1"/>
    <col min="2" max="2" width="50.5703125" bestFit="1" customWidth="1"/>
    <col min="3" max="3" width="8.85546875" bestFit="1" customWidth="1"/>
    <col min="4" max="4" width="42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153</v>
      </c>
      <c r="D1" s="8" t="s">
        <v>154</v>
      </c>
      <c r="E1" s="9" t="s">
        <v>155</v>
      </c>
      <c r="G1" s="2" t="s">
        <v>150</v>
      </c>
      <c r="H1" s="3">
        <f>COUNTIF(C:C,G1)</f>
        <v>28</v>
      </c>
    </row>
    <row r="2" spans="1:8" x14ac:dyDescent="0.25">
      <c r="A2" s="10" t="s">
        <v>46</v>
      </c>
      <c r="B2" s="10" t="s">
        <v>47</v>
      </c>
      <c r="C2" s="10" t="s">
        <v>150</v>
      </c>
      <c r="D2" s="10"/>
      <c r="E2" s="10"/>
      <c r="G2" s="4" t="s">
        <v>151</v>
      </c>
      <c r="H2" s="5">
        <f>COUNTIF(C:C,G2)</f>
        <v>5</v>
      </c>
    </row>
    <row r="3" spans="1:8" ht="15.75" thickBot="1" x14ac:dyDescent="0.3">
      <c r="A3" s="10" t="s">
        <v>48</v>
      </c>
      <c r="B3" s="10" t="s">
        <v>9</v>
      </c>
      <c r="C3" s="10" t="s">
        <v>150</v>
      </c>
      <c r="D3" s="10"/>
      <c r="E3" s="10"/>
      <c r="G3" s="6" t="s">
        <v>152</v>
      </c>
      <c r="H3" s="7">
        <f>H1/SUM(H1:H2)</f>
        <v>0.84848484848484851</v>
      </c>
    </row>
    <row r="4" spans="1:8" x14ac:dyDescent="0.25">
      <c r="A4" s="10" t="s">
        <v>49</v>
      </c>
      <c r="B4" s="10" t="s">
        <v>50</v>
      </c>
      <c r="C4" s="10" t="s">
        <v>150</v>
      </c>
      <c r="D4" s="10"/>
      <c r="E4" s="10"/>
    </row>
    <row r="5" spans="1:8" x14ac:dyDescent="0.25">
      <c r="A5" s="10" t="s">
        <v>16</v>
      </c>
      <c r="B5" s="10" t="s">
        <v>51</v>
      </c>
      <c r="C5" s="10" t="s">
        <v>150</v>
      </c>
      <c r="D5" s="10"/>
      <c r="E5" s="10"/>
    </row>
    <row r="6" spans="1:8" x14ac:dyDescent="0.25">
      <c r="A6" s="10" t="s">
        <v>52</v>
      </c>
      <c r="B6" s="10" t="s">
        <v>53</v>
      </c>
      <c r="C6" s="10" t="s">
        <v>150</v>
      </c>
      <c r="D6" s="10"/>
      <c r="E6" s="10"/>
    </row>
    <row r="7" spans="1:8" x14ac:dyDescent="0.25">
      <c r="A7" s="10" t="s">
        <v>54</v>
      </c>
      <c r="B7" s="10" t="s">
        <v>9</v>
      </c>
      <c r="C7" s="10" t="s">
        <v>150</v>
      </c>
      <c r="D7" s="10"/>
      <c r="E7" s="10"/>
    </row>
    <row r="8" spans="1:8" x14ac:dyDescent="0.25">
      <c r="A8" s="10" t="s">
        <v>55</v>
      </c>
      <c r="B8" s="10" t="s">
        <v>56</v>
      </c>
      <c r="C8" s="10" t="s">
        <v>150</v>
      </c>
      <c r="D8" s="10"/>
      <c r="E8" s="10"/>
    </row>
    <row r="9" spans="1:8" x14ac:dyDescent="0.25">
      <c r="A9" s="10" t="s">
        <v>57</v>
      </c>
      <c r="B9" s="10" t="s">
        <v>58</v>
      </c>
      <c r="C9" s="10" t="s">
        <v>150</v>
      </c>
      <c r="D9" s="10"/>
      <c r="E9" s="10"/>
    </row>
    <row r="10" spans="1:8" x14ac:dyDescent="0.25">
      <c r="A10" s="10" t="s">
        <v>59</v>
      </c>
      <c r="B10" s="10" t="s">
        <v>60</v>
      </c>
      <c r="C10" s="10" t="s">
        <v>150</v>
      </c>
      <c r="D10" s="10"/>
      <c r="E10" s="10"/>
    </row>
    <row r="11" spans="1:8" x14ac:dyDescent="0.25">
      <c r="A11" s="10" t="s">
        <v>61</v>
      </c>
      <c r="B11" s="10" t="s">
        <v>62</v>
      </c>
      <c r="C11" s="10" t="s">
        <v>150</v>
      </c>
      <c r="D11" s="10"/>
      <c r="E11" s="10"/>
    </row>
    <row r="12" spans="1:8" x14ac:dyDescent="0.25">
      <c r="A12" s="10" t="s">
        <v>63</v>
      </c>
      <c r="B12" s="10" t="s">
        <v>64</v>
      </c>
      <c r="C12" s="10" t="s">
        <v>151</v>
      </c>
      <c r="D12" s="10" t="s">
        <v>62</v>
      </c>
      <c r="E12" s="11">
        <v>30518</v>
      </c>
    </row>
    <row r="13" spans="1:8" x14ac:dyDescent="0.25">
      <c r="A13" s="10" t="s">
        <v>65</v>
      </c>
      <c r="B13" s="10" t="s">
        <v>66</v>
      </c>
      <c r="C13" s="10" t="s">
        <v>150</v>
      </c>
      <c r="D13" s="10"/>
      <c r="E13" s="10"/>
    </row>
    <row r="14" spans="1:8" x14ac:dyDescent="0.25">
      <c r="A14" s="10" t="s">
        <v>67</v>
      </c>
      <c r="B14" s="10" t="s">
        <v>68</v>
      </c>
      <c r="C14" s="10" t="s">
        <v>150</v>
      </c>
      <c r="D14" s="10"/>
      <c r="E14" s="10"/>
    </row>
    <row r="15" spans="1:8" x14ac:dyDescent="0.25">
      <c r="A15" s="10" t="s">
        <v>69</v>
      </c>
      <c r="B15" s="10" t="s">
        <v>70</v>
      </c>
      <c r="C15" s="10" t="s">
        <v>150</v>
      </c>
      <c r="D15" s="10"/>
      <c r="E15" s="10"/>
    </row>
    <row r="16" spans="1:8" x14ac:dyDescent="0.25">
      <c r="A16" s="10" t="s">
        <v>71</v>
      </c>
      <c r="B16" s="10" t="s">
        <v>72</v>
      </c>
      <c r="C16" s="10" t="s">
        <v>151</v>
      </c>
      <c r="D16" s="10" t="s">
        <v>163</v>
      </c>
      <c r="E16" s="11">
        <v>30430</v>
      </c>
    </row>
    <row r="17" spans="1:5" x14ac:dyDescent="0.25">
      <c r="A17" s="10" t="s">
        <v>73</v>
      </c>
      <c r="B17" s="10" t="s">
        <v>74</v>
      </c>
      <c r="C17" s="10" t="s">
        <v>150</v>
      </c>
      <c r="D17" s="10"/>
      <c r="E17" s="10"/>
    </row>
    <row r="18" spans="1:5" x14ac:dyDescent="0.25">
      <c r="A18" s="10" t="s">
        <v>75</v>
      </c>
      <c r="B18" s="10" t="s">
        <v>76</v>
      </c>
      <c r="C18" s="10" t="s">
        <v>150</v>
      </c>
      <c r="D18" s="10"/>
      <c r="E18" s="10"/>
    </row>
    <row r="19" spans="1:5" x14ac:dyDescent="0.25">
      <c r="A19" s="10" t="s">
        <v>77</v>
      </c>
      <c r="B19" s="10" t="s">
        <v>78</v>
      </c>
      <c r="C19" s="10" t="s">
        <v>150</v>
      </c>
      <c r="D19" s="10" t="s">
        <v>78</v>
      </c>
      <c r="E19" s="11">
        <v>30508</v>
      </c>
    </row>
    <row r="20" spans="1:5" x14ac:dyDescent="0.25">
      <c r="A20" s="10" t="s">
        <v>26</v>
      </c>
      <c r="B20" s="10" t="s">
        <v>79</v>
      </c>
      <c r="C20" s="10" t="s">
        <v>151</v>
      </c>
      <c r="D20" s="10" t="s">
        <v>164</v>
      </c>
      <c r="E20" s="11">
        <v>17547</v>
      </c>
    </row>
    <row r="21" spans="1:5" x14ac:dyDescent="0.25">
      <c r="A21" s="10" t="s">
        <v>80</v>
      </c>
      <c r="B21" s="10" t="s">
        <v>81</v>
      </c>
      <c r="C21" s="10" t="s">
        <v>150</v>
      </c>
      <c r="D21" s="10"/>
      <c r="E21" s="10"/>
    </row>
    <row r="22" spans="1:5" x14ac:dyDescent="0.25">
      <c r="A22" s="10" t="s">
        <v>82</v>
      </c>
      <c r="B22" s="10" t="s">
        <v>9</v>
      </c>
      <c r="C22" s="10" t="s">
        <v>150</v>
      </c>
      <c r="D22" s="10"/>
      <c r="E22" s="10"/>
    </row>
    <row r="23" spans="1:5" x14ac:dyDescent="0.25">
      <c r="A23" s="10" t="s">
        <v>83</v>
      </c>
      <c r="B23" s="10" t="s">
        <v>84</v>
      </c>
      <c r="C23" s="10" t="s">
        <v>150</v>
      </c>
      <c r="D23" s="10"/>
      <c r="E23" s="10"/>
    </row>
    <row r="24" spans="1:5" x14ac:dyDescent="0.25">
      <c r="A24" s="10" t="s">
        <v>85</v>
      </c>
      <c r="B24" s="10" t="s">
        <v>84</v>
      </c>
      <c r="C24" s="10" t="s">
        <v>150</v>
      </c>
      <c r="D24" s="10"/>
      <c r="E24" s="10"/>
    </row>
    <row r="25" spans="1:5" x14ac:dyDescent="0.25">
      <c r="A25" s="10" t="s">
        <v>86</v>
      </c>
      <c r="B25" s="10" t="s">
        <v>87</v>
      </c>
      <c r="C25" s="10" t="s">
        <v>150</v>
      </c>
      <c r="D25" s="10"/>
      <c r="E25" s="10"/>
    </row>
    <row r="26" spans="1:5" x14ac:dyDescent="0.25">
      <c r="A26" s="10" t="s">
        <v>88</v>
      </c>
      <c r="B26" s="10" t="s">
        <v>9</v>
      </c>
      <c r="C26" s="10" t="s">
        <v>150</v>
      </c>
      <c r="D26" s="10"/>
      <c r="E26" s="10"/>
    </row>
    <row r="27" spans="1:5" x14ac:dyDescent="0.25">
      <c r="A27" s="10" t="s">
        <v>89</v>
      </c>
      <c r="B27" s="10" t="s">
        <v>90</v>
      </c>
      <c r="C27" s="10" t="s">
        <v>150</v>
      </c>
      <c r="D27" s="10"/>
      <c r="E27" s="10"/>
    </row>
    <row r="28" spans="1:5" x14ac:dyDescent="0.25">
      <c r="A28" s="10" t="s">
        <v>91</v>
      </c>
      <c r="B28" s="10" t="s">
        <v>90</v>
      </c>
      <c r="C28" s="10" t="s">
        <v>151</v>
      </c>
      <c r="D28" s="10" t="s">
        <v>171</v>
      </c>
      <c r="E28" s="11">
        <v>17543</v>
      </c>
    </row>
    <row r="29" spans="1:5" x14ac:dyDescent="0.25">
      <c r="A29" s="10" t="s">
        <v>92</v>
      </c>
      <c r="B29" s="10" t="s">
        <v>93</v>
      </c>
      <c r="C29" s="10" t="s">
        <v>151</v>
      </c>
      <c r="D29" s="10" t="s">
        <v>165</v>
      </c>
      <c r="E29" s="11">
        <v>30658</v>
      </c>
    </row>
    <row r="30" spans="1:5" x14ac:dyDescent="0.25">
      <c r="A30" s="10" t="s">
        <v>94</v>
      </c>
      <c r="B30" s="10" t="s">
        <v>94</v>
      </c>
      <c r="C30" s="10" t="s">
        <v>150</v>
      </c>
      <c r="D30" s="10"/>
      <c r="E30" s="10"/>
    </row>
    <row r="31" spans="1:5" x14ac:dyDescent="0.25">
      <c r="A31" s="10" t="s">
        <v>95</v>
      </c>
      <c r="B31" s="10" t="s">
        <v>96</v>
      </c>
      <c r="C31" s="10" t="s">
        <v>150</v>
      </c>
      <c r="D31" s="10"/>
      <c r="E31" s="10"/>
    </row>
    <row r="32" spans="1:5" x14ac:dyDescent="0.25">
      <c r="A32" s="10" t="s">
        <v>97</v>
      </c>
      <c r="B32" s="10" t="s">
        <v>98</v>
      </c>
      <c r="C32" s="10" t="s">
        <v>150</v>
      </c>
      <c r="D32" s="10"/>
      <c r="E32" s="10"/>
    </row>
    <row r="33" spans="1:5" x14ac:dyDescent="0.25">
      <c r="A33" s="10" t="s">
        <v>99</v>
      </c>
      <c r="B33" s="10" t="s">
        <v>100</v>
      </c>
      <c r="C33" s="10" t="s">
        <v>150</v>
      </c>
      <c r="D33" s="10"/>
      <c r="E33" s="10"/>
    </row>
    <row r="34" spans="1:5" x14ac:dyDescent="0.25">
      <c r="A34" s="10" t="s">
        <v>101</v>
      </c>
      <c r="B34" s="10" t="s">
        <v>102</v>
      </c>
      <c r="C34" s="10" t="s">
        <v>150</v>
      </c>
      <c r="D34" s="10"/>
      <c r="E3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2026-03-25T17:01:44Z</dcterms:created>
  <dcterms:modified xsi:type="dcterms:W3CDTF">2026-04-02T09:54:36Z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2026-04-01T03:09:42Z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0aad751c-d9b1-445e-a040-dfb18f080f24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