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056ED27B-EB6F-4F33-83E2-F8D6662474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2" i="1"/>
  <c r="H1" i="1"/>
  <c r="H2" i="2"/>
  <c r="H1" i="2"/>
  <c r="H2" i="3"/>
  <c r="H1" i="3"/>
  <c r="H3" i="3" s="1"/>
  <c r="H2" i="5"/>
  <c r="H1" i="5"/>
  <c r="H3" i="5" s="1"/>
  <c r="H2" i="6" l="1"/>
  <c r="H1" i="6"/>
  <c r="H3" i="6" s="1"/>
  <c r="H1" i="4"/>
  <c r="H3" i="4" s="1"/>
  <c r="H3" i="2"/>
  <c r="H3" i="1"/>
</calcChain>
</file>

<file path=xl/sharedStrings.xml><?xml version="1.0" encoding="utf-8"?>
<sst xmlns="http://schemas.openxmlformats.org/spreadsheetml/2006/main" count="930" uniqueCount="236">
  <si>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</si>
  <si>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</si>
  <si>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</si>
  <si>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</si>
  <si>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</si>
  <si>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</si>
  <si>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</si>
  <si>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</si>
  <si>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</si>
  <si>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Purchases of stock - in - trade</t>
  </si>
  <si>
    <t>Purchase of Stock-in-Trade</t>
  </si>
  <si>
    <t>Changes in inventories of stock - in trade - Decrease / ( Increase )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</si>
  <si>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</si>
  <si>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</si>
  <si>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</si>
  <si>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</si>
  <si>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</si>
  <si>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</si>
  <si>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</si>
  <si>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</si>
  <si>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</si>
  <si>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</si>
  <si>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/ ( Loss ) before exceptional items and tax</t>
  </si>
  <si>
    <t>Profit/(Loss) from Ordinary Activities after Finance Costs but before Exceptional Items</t>
  </si>
  <si>
    <t>Exceptional items</t>
  </si>
  <si>
    <t>Other Exceptional Items</t>
  </si>
  <si>
    <t>Profit / ( Loss ) before tax</t>
  </si>
  <si>
    <t>Tax expenses</t>
  </si>
  <si>
    <t>Current tax</t>
  </si>
  <si>
    <t>Tax Expense</t>
  </si>
  <si>
    <t>Tax adjustment of earlier years</t>
  </si>
  <si>
    <t>Deferred tax</t>
  </si>
  <si>
    <t>Deferred Tax</t>
  </si>
  <si>
    <t>Net Profit / ( Loss ) for the period</t>
  </si>
  <si>
    <t>Net Profit/(Loss) for the Period</t>
  </si>
  <si>
    <t>Other Comprehensive Income / ( loss )</t>
  </si>
  <si>
    <t>Other Comprehensive Income</t>
  </si>
  <si>
    <t>Items that will not be reclassified to profit or loss :</t>
  </si>
  <si>
    <t>Remeasurement of employee defined benefit obligation</t>
  </si>
  <si>
    <t>Items that will not be reclassified to Profit or Loss</t>
  </si>
  <si>
    <t>Income tax relating to above</t>
  </si>
  <si>
    <t>Total other comprehensive income / (loss)</t>
  </si>
  <si>
    <t>Total Comprehensive Income / ( loss ) for the period</t>
  </si>
  <si>
    <t>Total Comprehensive Gain (Loss) For the Year</t>
  </si>
  <si>
    <t>Profit / ( Loss ) for the period attributable to :</t>
  </si>
  <si>
    <t>Profit (Loss) Attributable To [Total]</t>
  </si>
  <si>
    <t>Owners of the Company</t>
  </si>
  <si>
    <t>Owners of the company</t>
  </si>
  <si>
    <t>Non - controlling interests</t>
  </si>
  <si>
    <t>Non-Controlling Interests</t>
  </si>
  <si>
    <t>Other comprehensive income / ( loss ) for the period attributable to :</t>
  </si>
  <si>
    <t>Comprehensive Income Attributable To [Total]</t>
  </si>
  <si>
    <t>Total comprehensive income / ( loss ) for the period attributable to :</t>
  </si>
  <si>
    <t>Total Comprehensive Income Attributable To</t>
  </si>
  <si>
    <t>Paid-up equity share capital (Face value of Rs.5/- Per Share)</t>
  </si>
  <si>
    <t>Paid-Up Equity Share Capital</t>
  </si>
  <si>
    <t>Other equity</t>
  </si>
  <si>
    <t>Reserve excluding Revaluation Reserves (as per Balance Sheet of Previous Accounting Year)</t>
  </si>
  <si>
    <t>Earnings per share (In Rs .) (not annulised for quarters)</t>
  </si>
  <si>
    <t>Basic</t>
  </si>
  <si>
    <t>Diluted</t>
  </si>
  <si>
    <t>NON - CURRENT ASSETS</t>
  </si>
  <si>
    <t>Property, Plant and Equipement</t>
  </si>
  <si>
    <t>Property, Plant &amp; Equipment</t>
  </si>
  <si>
    <t>Capital work in progress</t>
  </si>
  <si>
    <t>Capital Work-In-Progress</t>
  </si>
  <si>
    <t>Other Intangible Assets</t>
  </si>
  <si>
    <t>Intangible assets under development</t>
  </si>
  <si>
    <t>Right of Use Assets</t>
  </si>
  <si>
    <t>Right-of-use asset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</si>
  <si>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</si>
  <si>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</si>
  <si>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</si>
  <si>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</si>
  <si>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</si>
  <si>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</si>
  <si>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</si>
  <si>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</si>
  <si>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</si>
  <si>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</si>
  <si>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</si>
  <si>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</si>
  <si>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</si>
  <si>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Financial assets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</si>
  <si>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</si>
  <si>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</si>
  <si>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</si>
  <si>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</si>
  <si>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</si>
  <si>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</si>
  <si>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</si>
  <si>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Other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</si>
  <si>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</si>
  <si>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</si>
  <si>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</si>
  <si>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</si>
  <si>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</si>
  <si>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</si>
  <si>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</si>
  <si>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</si>
  <si>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</si>
  <si>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</si>
  <si>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</si>
  <si>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</si>
  <si>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</si>
  <si>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</si>
  <si>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</si>
  <si>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</si>
  <si>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</si>
  <si>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</si>
  <si>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</si>
  <si>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</si>
  <si>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</si>
  <si>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</si>
  <si>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 due to :</t>
  </si>
  <si>
    <t>Total outstanding dues of mirco enterprises and small enterprises</t>
  </si>
  <si>
    <t>Trade Payables</t>
  </si>
  <si>
    <t>Total outstanding dues of creditors other than mirco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</si>
  <si>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</si>
  <si>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</si>
  <si>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</si>
  <si>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</si>
  <si>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liabilities(net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</si>
  <si>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</si>
  <si>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</si>
  <si>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</si>
  <si>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</si>
  <si>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</si>
  <si>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</si>
  <si>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</si>
  <si>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Net profit / ( loss ) after exceptional item and before tax</t>
  </si>
  <si>
    <t>Net Profit Before Tax And Exceptional Item</t>
  </si>
  <si>
    <t>Adjustments to reconcile profit / ( loss ) before tax to net cashflow :</t>
  </si>
  <si>
    <t>Depreciation and amortisation</t>
  </si>
  <si>
    <t>Depreciation and Amortisation Expense</t>
  </si>
  <si>
    <t>Allowance for doubtful debts / advances</t>
  </si>
  <si>
    <t>Provision For Doubtful Debts</t>
  </si>
  <si>
    <t>Others-Before Working Capital Changes</t>
  </si>
  <si>
    <t>Share - based payment expense</t>
  </si>
  <si>
    <t>Employees Stock Options Grants</t>
  </si>
  <si>
    <t>Finance costs</t>
  </si>
  <si>
    <t>Interest Expense</t>
  </si>
  <si>
    <t>Profit on sale of property,plant and equipment</t>
  </si>
  <si>
    <t>Profit On Sale Of Fixed Assets</t>
  </si>
  <si>
    <t>Fair value changes in investment</t>
  </si>
  <si>
    <t>Gain on account of remeasurement in lease term</t>
  </si>
  <si>
    <t>Profit on sale of mutual fund investments</t>
  </si>
  <si>
    <t>Profit On Sale Of Investments</t>
  </si>
  <si>
    <t>Interest(time value ) recognised on interest free lease deposit</t>
  </si>
  <si>
    <t>Interest Income</t>
  </si>
  <si>
    <t>Interest income</t>
  </si>
  <si>
    <t>Interest Received</t>
  </si>
  <si>
    <t>Operating profit before working capital changes</t>
  </si>
  <si>
    <t>Operating Profit Before Working Capital Changes</t>
  </si>
  <si>
    <t>Working capital adjustment :</t>
  </si>
  <si>
    <t>(Increase ) / Decrease in inventories</t>
  </si>
  <si>
    <t>(Increase ) / Decrease in trade receivables</t>
  </si>
  <si>
    <t>Trade And Other Receivables</t>
  </si>
  <si>
    <t>Increase ) / Decrease in Financial assets &amp; non - current assets</t>
  </si>
  <si>
    <t>Adjustments for other financial assets, non-current</t>
  </si>
  <si>
    <t>(Increase ) / Decrease in Lease deposits</t>
  </si>
  <si>
    <t>Others-Investing Activities</t>
  </si>
  <si>
    <t>Increase / ( Decrease ) in provisions</t>
  </si>
  <si>
    <t>Increase /(Decrease)in Trade payables, other financial liabilities and other current liabilities</t>
  </si>
  <si>
    <t>Trade Payables And Others</t>
  </si>
  <si>
    <t>Cash generated from operations</t>
  </si>
  <si>
    <t>Cash Generated From Operations</t>
  </si>
  <si>
    <t>Income taxes paid ( net of refunds )</t>
  </si>
  <si>
    <t>Income Tax Paid</t>
  </si>
  <si>
    <t>Net cash from operating activities</t>
  </si>
  <si>
    <t>Net Cash Flow From Operating Activities</t>
  </si>
  <si>
    <t>Cash flow from investing activities</t>
  </si>
  <si>
    <t>Net Cash Flow From Investing Activities</t>
  </si>
  <si>
    <t>Purchase of property,plant and equipment</t>
  </si>
  <si>
    <t>Purchase Of Fixed Assets (Tangible / Intangible)</t>
  </si>
  <si>
    <t>Proceeds from disposal of property,plant and equipment</t>
  </si>
  <si>
    <t>Sale Of Fixed Assets (Tangible / Intangible)</t>
  </si>
  <si>
    <t>Redemption of fixed deposits with banks</t>
  </si>
  <si>
    <t>Fixed Deposits</t>
  </si>
  <si>
    <t>Investment in fixed deposits with bank</t>
  </si>
  <si>
    <t>Purchase of preference shares of subsidiary Company</t>
  </si>
  <si>
    <t>Investment In Subsidiaries</t>
  </si>
  <si>
    <t>Purchase of investments in mutual funds</t>
  </si>
  <si>
    <t>Investments in Mutual Funds</t>
  </si>
  <si>
    <t>Proceeds from sale of investments in mutual funds</t>
  </si>
  <si>
    <t>Sale Of Investments</t>
  </si>
  <si>
    <t>Finance Income ( Interest received )</t>
  </si>
  <si>
    <t>Net cash used in investing activities</t>
  </si>
  <si>
    <t>Cash flows from financing activities</t>
  </si>
  <si>
    <t>Proceeds from issue of equity shares</t>
  </si>
  <si>
    <t>Proceeds From Issue Of Equity Shares (Inclu Share Premium)</t>
  </si>
  <si>
    <t>Securities premium on issue of equity shares</t>
  </si>
  <si>
    <t>Proceeds from Share Premium</t>
  </si>
  <si>
    <t>Share application money received pending allotment</t>
  </si>
  <si>
    <t>Share Application Money</t>
  </si>
  <si>
    <t>Repayment of lease liability - Principle</t>
  </si>
  <si>
    <t>Payments of lease liabilities</t>
  </si>
  <si>
    <t>Repayment of lease liability - Interest</t>
  </si>
  <si>
    <t>Proceeds from long term borrowings</t>
  </si>
  <si>
    <t>Proceeds From Long Term Borrowings</t>
  </si>
  <si>
    <t>Repayment of long term borrowings</t>
  </si>
  <si>
    <t>Repayment Of Long Term Borrowings</t>
  </si>
  <si>
    <t>Proceeds from Short terms borrowings</t>
  </si>
  <si>
    <t>Proceeds from short term borrowings</t>
  </si>
  <si>
    <t>Finance costs paid</t>
  </si>
  <si>
    <t>Interest Paid</t>
  </si>
  <si>
    <t>Net cash used in financing activities</t>
  </si>
  <si>
    <t>Net Cash Flow From Financing Activities</t>
  </si>
  <si>
    <t>Net ( Decrease ) / Increase in cash and cash equivalents</t>
  </si>
  <si>
    <t>Net increase (decrease) in cash and cash equivalents before effect of exchange rate changes</t>
  </si>
  <si>
    <t>Cash and cash equivalents as at beginning of the year</t>
  </si>
  <si>
    <t>Cash and Cash Equivalents at the Beginning of the Year</t>
  </si>
  <si>
    <t>Cash and cash equivalents as at the end of the year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</si>
  <si>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</si>
  <si>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</si>
  <si>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</si>
  <si>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</si>
  <si>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</si>
  <si>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</si>
  <si>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</si>
  <si>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 xml:space="preserve"> </t>
  </si>
  <si>
    <t>Profit/(Loss) From Ordinary Activities before Tax</t>
  </si>
  <si>
    <t>Label</t>
  </si>
  <si>
    <t>Income Tax related to items that will not be reclassified to Profit or Loss</t>
  </si>
  <si>
    <t>Basic EPS</t>
  </si>
  <si>
    <t>Diluted EPS</t>
  </si>
  <si>
    <t>Ignore this Field,It is a Consolidated Field</t>
  </si>
  <si>
    <t>Current Investments</t>
  </si>
  <si>
    <t>Other Current Financial Assets</t>
  </si>
  <si>
    <t>Other Current Financial Liabilities</t>
  </si>
  <si>
    <t>Short-Term Provisions</t>
  </si>
  <si>
    <t>Calculated Field</t>
  </si>
  <si>
    <t>Net Increase in Cash and Cash Equivalents</t>
  </si>
  <si>
    <t>It is a Consolidated Field</t>
  </si>
  <si>
    <t>Profit / Loss from Deployment in Mutual Funds</t>
  </si>
  <si>
    <t>Others-From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</si>
</sst>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2" borderId="1" xfId="0" applyFont="1" applyFill="1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/>
  </sheetViews>
  <sheetFormatPr defaultRowHeight="15" x14ac:dyDescent="0.25"/>
  <cols>
    <col min="1" max="1" width="49.28515625" customWidth="1"/>
    <col min="2" max="2" width="52.5703125" customWidth="1"/>
    <col min="3" max="3" width="10.140625" customWidth="1"/>
    <col min="4" max="4" width="41.7109375" customWidth="1"/>
    <col min="5" max="5" width="9.8554687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217</v>
      </c>
      <c r="D2" s="10"/>
      <c r="E2" s="10"/>
      <c r="G2" s="6" t="s">
        <v>218</v>
      </c>
      <c r="H2" s="7">
        <f>COUNTIF(C:C,G2)</f>
        <v>5</v>
      </c>
    </row>
    <row r="3" spans="1:8" ht="15.75" thickBot="1" x14ac:dyDescent="0.3">
      <c r="A3" s="10" t="s">
        <v>4</v>
      </c>
      <c r="B3" s="10" t="s">
        <v>5</v>
      </c>
      <c r="C3" s="10" t="s">
        <v>217</v>
      </c>
      <c r="D3" s="10"/>
      <c r="E3" s="10"/>
      <c r="G3" s="8" t="s">
        <v>219</v>
      </c>
      <c r="H3" s="9">
        <f>H1/SUM(H1:H2)</f>
        <v>0.83333333333333337</v>
      </c>
    </row>
    <row r="4" spans="1:8" x14ac:dyDescent="0.25">
      <c r="A4" s="10" t="s">
        <v>6</v>
      </c>
      <c r="B4" s="10" t="s">
        <v>6</v>
      </c>
      <c r="C4" s="10" t="s">
        <v>217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217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217</v>
      </c>
      <c r="D8" s="10"/>
      <c r="E8" s="10"/>
    </row>
    <row r="9" spans="1:8" x14ac:dyDescent="0.25">
      <c r="A9" s="10" t="s">
        <v>15</v>
      </c>
      <c r="B9" s="10" t="s">
        <v>15</v>
      </c>
      <c r="C9" s="10" t="s">
        <v>217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217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217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217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217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217</v>
      </c>
      <c r="D14" s="10"/>
      <c r="E14" s="10"/>
    </row>
    <row r="15" spans="1:8" x14ac:dyDescent="0.25">
      <c r="A15" s="10" t="s">
        <v>26</v>
      </c>
      <c r="B15" s="10" t="s">
        <v>8</v>
      </c>
      <c r="C15" s="10" t="s">
        <v>218</v>
      </c>
      <c r="D15" s="10" t="s">
        <v>221</v>
      </c>
      <c r="E15" s="12">
        <v>296</v>
      </c>
    </row>
    <row r="16" spans="1:8" x14ac:dyDescent="0.25">
      <c r="A16" s="10" t="s">
        <v>27</v>
      </c>
      <c r="B16" s="10" t="s">
        <v>8</v>
      </c>
      <c r="C16" s="10" t="s">
        <v>217</v>
      </c>
      <c r="D16" s="10"/>
      <c r="E16" s="10"/>
    </row>
    <row r="17" spans="1:6" x14ac:dyDescent="0.25">
      <c r="A17" s="10" t="s">
        <v>28</v>
      </c>
      <c r="B17" s="10" t="s">
        <v>29</v>
      </c>
      <c r="C17" s="10" t="s">
        <v>217</v>
      </c>
      <c r="D17" s="10"/>
      <c r="E17" s="10"/>
    </row>
    <row r="18" spans="1:6" x14ac:dyDescent="0.25">
      <c r="A18" s="10" t="s">
        <v>30</v>
      </c>
      <c r="B18" s="10" t="s">
        <v>29</v>
      </c>
      <c r="C18" s="10" t="s">
        <v>217</v>
      </c>
      <c r="D18" s="10"/>
      <c r="E18" s="10"/>
    </row>
    <row r="19" spans="1:6" x14ac:dyDescent="0.25">
      <c r="A19" s="10" t="s">
        <v>31</v>
      </c>
      <c r="B19" s="10" t="s">
        <v>32</v>
      </c>
      <c r="C19" s="10" t="s">
        <v>217</v>
      </c>
      <c r="D19" s="10"/>
      <c r="E19" s="10"/>
    </row>
    <row r="20" spans="1:6" x14ac:dyDescent="0.25">
      <c r="A20" s="10" t="s">
        <v>33</v>
      </c>
      <c r="B20" s="10" t="s">
        <v>34</v>
      </c>
      <c r="C20" s="10" t="s">
        <v>217</v>
      </c>
      <c r="D20" s="10"/>
      <c r="E20" s="10"/>
    </row>
    <row r="21" spans="1:6" x14ac:dyDescent="0.25">
      <c r="A21" s="10" t="s">
        <v>35</v>
      </c>
      <c r="B21" s="10" t="s">
        <v>36</v>
      </c>
      <c r="C21" s="10" t="s">
        <v>218</v>
      </c>
      <c r="D21" s="10" t="s">
        <v>222</v>
      </c>
      <c r="E21" s="10"/>
    </row>
    <row r="22" spans="1:6" x14ac:dyDescent="0.25">
      <c r="A22" s="10" t="s">
        <v>37</v>
      </c>
      <c r="B22" s="10" t="s">
        <v>8</v>
      </c>
      <c r="C22" s="10" t="s">
        <v>217</v>
      </c>
      <c r="D22" s="10"/>
      <c r="E22" s="10"/>
    </row>
    <row r="23" spans="1:6" x14ac:dyDescent="0.25">
      <c r="A23" s="10" t="s">
        <v>38</v>
      </c>
      <c r="B23" s="10" t="s">
        <v>39</v>
      </c>
      <c r="C23" s="10" t="s">
        <v>217</v>
      </c>
      <c r="D23" s="10"/>
      <c r="E23" s="10"/>
    </row>
    <row r="24" spans="1:6" x14ac:dyDescent="0.25">
      <c r="A24" s="10" t="s">
        <v>40</v>
      </c>
      <c r="B24" s="10" t="s">
        <v>8</v>
      </c>
      <c r="C24" s="10" t="s">
        <v>218</v>
      </c>
      <c r="D24" s="10" t="s">
        <v>223</v>
      </c>
      <c r="E24" s="12">
        <v>22295</v>
      </c>
    </row>
    <row r="25" spans="1:6" x14ac:dyDescent="0.25">
      <c r="A25" s="10" t="s">
        <v>41</v>
      </c>
      <c r="B25" s="10" t="s">
        <v>36</v>
      </c>
      <c r="C25" s="10" t="s">
        <v>217</v>
      </c>
      <c r="D25" s="10"/>
      <c r="E25" s="10"/>
    </row>
    <row r="26" spans="1:6" x14ac:dyDescent="0.25">
      <c r="A26" s="10" t="s">
        <v>42</v>
      </c>
      <c r="B26" s="10" t="s">
        <v>43</v>
      </c>
      <c r="C26" s="10" t="s">
        <v>217</v>
      </c>
      <c r="D26" s="10"/>
      <c r="E26" s="10"/>
    </row>
    <row r="27" spans="1:6" x14ac:dyDescent="0.25">
      <c r="A27" s="10" t="s">
        <v>44</v>
      </c>
      <c r="B27" s="10" t="s">
        <v>45</v>
      </c>
      <c r="C27" s="10"/>
      <c r="D27" s="10" t="s">
        <v>226</v>
      </c>
      <c r="E27" s="10"/>
      <c r="F27" t="s">
        <v>233</v>
      </c>
    </row>
    <row r="28" spans="1:6" x14ac:dyDescent="0.25">
      <c r="A28" s="10" t="s">
        <v>46</v>
      </c>
      <c r="B28" s="10" t="s">
        <v>47</v>
      </c>
      <c r="C28" s="10"/>
      <c r="D28" s="10" t="s">
        <v>226</v>
      </c>
      <c r="E28" s="10"/>
      <c r="F28" t="s">
        <v>233</v>
      </c>
    </row>
    <row r="29" spans="1:6" x14ac:dyDescent="0.25">
      <c r="A29" s="10" t="s">
        <v>48</v>
      </c>
      <c r="B29" s="10" t="s">
        <v>49</v>
      </c>
      <c r="C29" s="10"/>
      <c r="D29" s="10" t="s">
        <v>226</v>
      </c>
      <c r="E29" s="10"/>
      <c r="F29" t="s">
        <v>233</v>
      </c>
    </row>
    <row r="30" spans="1:6" x14ac:dyDescent="0.25">
      <c r="A30" s="10" t="s">
        <v>50</v>
      </c>
      <c r="B30" s="10" t="s">
        <v>51</v>
      </c>
      <c r="C30" s="10"/>
      <c r="D30" s="10" t="s">
        <v>226</v>
      </c>
      <c r="E30" s="10"/>
      <c r="F30" t="s">
        <v>233</v>
      </c>
    </row>
    <row r="31" spans="1:6" x14ac:dyDescent="0.25">
      <c r="A31" s="10" t="s">
        <v>46</v>
      </c>
      <c r="B31" s="10" t="s">
        <v>47</v>
      </c>
      <c r="C31" s="10"/>
      <c r="D31" s="10" t="s">
        <v>226</v>
      </c>
      <c r="E31" s="10"/>
      <c r="F31" t="s">
        <v>233</v>
      </c>
    </row>
    <row r="32" spans="1:6" x14ac:dyDescent="0.25">
      <c r="A32" s="10" t="s">
        <v>48</v>
      </c>
      <c r="B32" s="10" t="s">
        <v>49</v>
      </c>
      <c r="C32" s="10"/>
      <c r="D32" s="10" t="s">
        <v>226</v>
      </c>
      <c r="E32" s="10"/>
      <c r="F32" t="s">
        <v>233</v>
      </c>
    </row>
    <row r="33" spans="1:6" x14ac:dyDescent="0.25">
      <c r="A33" s="10" t="s">
        <v>52</v>
      </c>
      <c r="B33" s="10" t="s">
        <v>53</v>
      </c>
      <c r="C33" s="10"/>
      <c r="D33" s="10" t="s">
        <v>226</v>
      </c>
      <c r="E33" s="10"/>
      <c r="F33" t="s">
        <v>233</v>
      </c>
    </row>
    <row r="34" spans="1:6" x14ac:dyDescent="0.25">
      <c r="A34" s="10" t="s">
        <v>46</v>
      </c>
      <c r="B34" s="10" t="s">
        <v>47</v>
      </c>
      <c r="C34" s="10"/>
      <c r="D34" s="10" t="s">
        <v>226</v>
      </c>
      <c r="E34" s="10"/>
      <c r="F34" t="s">
        <v>233</v>
      </c>
    </row>
    <row r="35" spans="1:6" x14ac:dyDescent="0.25">
      <c r="A35" s="10" t="s">
        <v>48</v>
      </c>
      <c r="B35" s="10" t="s">
        <v>49</v>
      </c>
      <c r="C35" s="10"/>
      <c r="D35" s="10" t="s">
        <v>226</v>
      </c>
      <c r="E35" s="10"/>
      <c r="F35" t="s">
        <v>233</v>
      </c>
    </row>
    <row r="36" spans="1:6" x14ac:dyDescent="0.25">
      <c r="A36" s="10" t="s">
        <v>54</v>
      </c>
      <c r="B36" s="10" t="s">
        <v>55</v>
      </c>
      <c r="C36" s="10" t="s">
        <v>217</v>
      </c>
      <c r="D36" s="10"/>
      <c r="E36" s="10"/>
    </row>
    <row r="37" spans="1:6" x14ac:dyDescent="0.25">
      <c r="A37" s="10" t="s">
        <v>56</v>
      </c>
      <c r="B37" s="10" t="s">
        <v>57</v>
      </c>
      <c r="C37" s="10" t="s">
        <v>217</v>
      </c>
      <c r="D37" s="10"/>
      <c r="E37" s="10"/>
    </row>
    <row r="38" spans="1:6" x14ac:dyDescent="0.25">
      <c r="A38" s="10" t="s">
        <v>58</v>
      </c>
      <c r="B38" s="10" t="s">
        <v>8</v>
      </c>
      <c r="C38" s="10" t="s">
        <v>217</v>
      </c>
      <c r="D38" s="10"/>
      <c r="E38" s="10"/>
    </row>
    <row r="39" spans="1:6" x14ac:dyDescent="0.25">
      <c r="A39" s="10" t="s">
        <v>59</v>
      </c>
      <c r="B39" s="10" t="s">
        <v>8</v>
      </c>
      <c r="C39" s="10" t="s">
        <v>218</v>
      </c>
      <c r="D39" s="10" t="s">
        <v>224</v>
      </c>
      <c r="E39" s="12">
        <v>222</v>
      </c>
    </row>
    <row r="40" spans="1:6" x14ac:dyDescent="0.25">
      <c r="A40" s="10" t="s">
        <v>60</v>
      </c>
      <c r="B40" s="10" t="s">
        <v>8</v>
      </c>
      <c r="C40" s="10" t="s">
        <v>218</v>
      </c>
      <c r="D40" s="10" t="s">
        <v>225</v>
      </c>
      <c r="E40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5" x14ac:dyDescent="0.25"/>
  <cols>
    <col min="1" max="1" width="52.7109375" customWidth="1"/>
    <col min="2" max="2" width="50.85546875" customWidth="1"/>
    <col min="3" max="3" width="12" customWidth="1"/>
    <col min="4" max="4" width="41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31</v>
      </c>
    </row>
    <row r="2" spans="1:8" x14ac:dyDescent="0.25">
      <c r="A2" s="10" t="s">
        <v>2</v>
      </c>
      <c r="B2" s="10" t="s">
        <v>3</v>
      </c>
      <c r="C2" s="10" t="s">
        <v>217</v>
      </c>
      <c r="D2" s="10"/>
      <c r="E2" s="10"/>
      <c r="G2" s="6" t="s">
        <v>218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217</v>
      </c>
      <c r="D3" s="10"/>
      <c r="E3" s="10"/>
      <c r="G3" s="8" t="s">
        <v>219</v>
      </c>
      <c r="H3" s="9">
        <f>H1/SUM(H1:H2)</f>
        <v>0.79487179487179482</v>
      </c>
    </row>
    <row r="4" spans="1:8" x14ac:dyDescent="0.25">
      <c r="A4" s="10" t="s">
        <v>6</v>
      </c>
      <c r="B4" s="10" t="s">
        <v>6</v>
      </c>
      <c r="C4" s="10" t="s">
        <v>217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217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217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217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217</v>
      </c>
      <c r="D8" s="10"/>
      <c r="E8" s="10"/>
    </row>
    <row r="9" spans="1:8" x14ac:dyDescent="0.25">
      <c r="A9" s="10" t="s">
        <v>15</v>
      </c>
      <c r="B9" s="10" t="s">
        <v>15</v>
      </c>
      <c r="C9" s="10" t="s">
        <v>217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217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217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217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217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217</v>
      </c>
      <c r="D14" s="10"/>
      <c r="E14" s="10"/>
    </row>
    <row r="15" spans="1:8" x14ac:dyDescent="0.25">
      <c r="A15" s="10" t="s">
        <v>26</v>
      </c>
      <c r="B15" s="10" t="s">
        <v>8</v>
      </c>
      <c r="C15" s="10" t="s">
        <v>218</v>
      </c>
      <c r="D15" s="2" t="s">
        <v>221</v>
      </c>
      <c r="E15" s="11">
        <v>296</v>
      </c>
    </row>
    <row r="16" spans="1:8" x14ac:dyDescent="0.25">
      <c r="A16" s="10" t="s">
        <v>27</v>
      </c>
      <c r="B16" s="10" t="s">
        <v>8</v>
      </c>
      <c r="C16" s="10" t="s">
        <v>217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217</v>
      </c>
      <c r="D17" s="10"/>
      <c r="E17" s="10"/>
    </row>
    <row r="18" spans="1:5" x14ac:dyDescent="0.25">
      <c r="A18" s="10" t="s">
        <v>30</v>
      </c>
      <c r="B18" s="10" t="s">
        <v>29</v>
      </c>
      <c r="C18" s="10" t="s">
        <v>217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217</v>
      </c>
      <c r="D19" s="10"/>
      <c r="E19" s="10"/>
    </row>
    <row r="20" spans="1:5" x14ac:dyDescent="0.25">
      <c r="A20" s="10" t="s">
        <v>33</v>
      </c>
      <c r="B20" s="10" t="s">
        <v>34</v>
      </c>
      <c r="C20" s="10" t="s">
        <v>217</v>
      </c>
      <c r="D20" s="10"/>
      <c r="E20" s="10"/>
    </row>
    <row r="21" spans="1:5" x14ac:dyDescent="0.25">
      <c r="A21" s="10" t="s">
        <v>35</v>
      </c>
      <c r="B21" s="10" t="s">
        <v>36</v>
      </c>
      <c r="C21" s="10" t="s">
        <v>218</v>
      </c>
      <c r="D21" s="10" t="s">
        <v>222</v>
      </c>
      <c r="E21" s="10"/>
    </row>
    <row r="22" spans="1:5" x14ac:dyDescent="0.25">
      <c r="A22" s="10" t="s">
        <v>37</v>
      </c>
      <c r="B22" s="10" t="s">
        <v>8</v>
      </c>
      <c r="C22" s="10" t="s">
        <v>217</v>
      </c>
      <c r="D22" s="10"/>
      <c r="E22" s="10"/>
    </row>
    <row r="23" spans="1:5" x14ac:dyDescent="0.25">
      <c r="A23" s="10" t="s">
        <v>38</v>
      </c>
      <c r="B23" s="10" t="s">
        <v>39</v>
      </c>
      <c r="C23" s="10" t="s">
        <v>217</v>
      </c>
      <c r="D23" s="10"/>
      <c r="E23" s="10"/>
    </row>
    <row r="24" spans="1:5" x14ac:dyDescent="0.25">
      <c r="A24" s="10" t="s">
        <v>40</v>
      </c>
      <c r="B24" s="10" t="s">
        <v>8</v>
      </c>
      <c r="C24" s="10" t="s">
        <v>218</v>
      </c>
      <c r="D24" s="10" t="s">
        <v>223</v>
      </c>
      <c r="E24" s="12">
        <v>22295</v>
      </c>
    </row>
    <row r="25" spans="1:5" x14ac:dyDescent="0.25">
      <c r="A25" s="10" t="s">
        <v>41</v>
      </c>
      <c r="B25" s="10" t="s">
        <v>36</v>
      </c>
      <c r="C25" s="10" t="s">
        <v>217</v>
      </c>
      <c r="D25" s="2" t="s">
        <v>36</v>
      </c>
      <c r="E25" s="11">
        <v>16484</v>
      </c>
    </row>
    <row r="26" spans="1:5" x14ac:dyDescent="0.25">
      <c r="A26" s="10" t="s">
        <v>42</v>
      </c>
      <c r="B26" s="10" t="s">
        <v>43</v>
      </c>
      <c r="C26" s="10" t="s">
        <v>217</v>
      </c>
      <c r="D26" s="2" t="s">
        <v>43</v>
      </c>
      <c r="E26" s="11">
        <v>20019</v>
      </c>
    </row>
    <row r="27" spans="1:5" x14ac:dyDescent="0.25">
      <c r="A27" s="10" t="s">
        <v>44</v>
      </c>
      <c r="B27" s="10" t="s">
        <v>45</v>
      </c>
      <c r="C27" s="10" t="s">
        <v>218</v>
      </c>
      <c r="D27" s="10" t="s">
        <v>222</v>
      </c>
      <c r="E27" s="10"/>
    </row>
    <row r="28" spans="1:5" x14ac:dyDescent="0.25">
      <c r="A28" s="10" t="s">
        <v>46</v>
      </c>
      <c r="B28" s="10" t="s">
        <v>47</v>
      </c>
      <c r="C28" s="10" t="s">
        <v>217</v>
      </c>
      <c r="D28" s="10" t="s">
        <v>47</v>
      </c>
      <c r="E28" s="12">
        <v>22299</v>
      </c>
    </row>
    <row r="29" spans="1:5" x14ac:dyDescent="0.25">
      <c r="A29" s="10" t="s">
        <v>48</v>
      </c>
      <c r="B29" s="10" t="s">
        <v>49</v>
      </c>
      <c r="C29" s="10" t="s">
        <v>217</v>
      </c>
      <c r="D29" s="10" t="s">
        <v>49</v>
      </c>
      <c r="E29" s="12">
        <v>22298</v>
      </c>
    </row>
    <row r="30" spans="1:5" x14ac:dyDescent="0.25">
      <c r="A30" s="10" t="s">
        <v>50</v>
      </c>
      <c r="B30" s="10" t="s">
        <v>51</v>
      </c>
      <c r="C30" s="10" t="s">
        <v>218</v>
      </c>
      <c r="D30" s="10" t="s">
        <v>222</v>
      </c>
      <c r="E30" s="10"/>
    </row>
    <row r="31" spans="1:5" x14ac:dyDescent="0.25">
      <c r="A31" s="10" t="s">
        <v>46</v>
      </c>
      <c r="B31" s="10" t="s">
        <v>47</v>
      </c>
      <c r="C31" s="10" t="s">
        <v>217</v>
      </c>
      <c r="D31" s="10" t="s">
        <v>47</v>
      </c>
      <c r="E31" s="12">
        <v>22291</v>
      </c>
    </row>
    <row r="32" spans="1:5" x14ac:dyDescent="0.25">
      <c r="A32" s="10" t="s">
        <v>48</v>
      </c>
      <c r="B32" s="10" t="s">
        <v>49</v>
      </c>
      <c r="C32" s="10" t="s">
        <v>217</v>
      </c>
      <c r="D32" s="10" t="s">
        <v>49</v>
      </c>
      <c r="E32" s="12">
        <v>22290</v>
      </c>
    </row>
    <row r="33" spans="1:5" x14ac:dyDescent="0.25">
      <c r="A33" s="10" t="s">
        <v>52</v>
      </c>
      <c r="B33" s="10" t="s">
        <v>53</v>
      </c>
      <c r="C33" s="10" t="s">
        <v>218</v>
      </c>
      <c r="D33" s="10" t="s">
        <v>222</v>
      </c>
      <c r="E33" s="10"/>
    </row>
    <row r="34" spans="1:5" x14ac:dyDescent="0.25">
      <c r="A34" s="10" t="s">
        <v>46</v>
      </c>
      <c r="B34" s="10" t="s">
        <v>47</v>
      </c>
      <c r="C34" s="10" t="s">
        <v>217</v>
      </c>
      <c r="D34" s="10" t="s">
        <v>47</v>
      </c>
      <c r="E34" s="12">
        <v>22303</v>
      </c>
    </row>
    <row r="35" spans="1:5" x14ac:dyDescent="0.25">
      <c r="A35" s="10" t="s">
        <v>48</v>
      </c>
      <c r="B35" s="10" t="s">
        <v>49</v>
      </c>
      <c r="C35" s="10" t="s">
        <v>217</v>
      </c>
      <c r="D35" s="10" t="s">
        <v>49</v>
      </c>
      <c r="E35" s="12">
        <v>22302</v>
      </c>
    </row>
    <row r="36" spans="1:5" x14ac:dyDescent="0.25">
      <c r="A36" s="10" t="s">
        <v>54</v>
      </c>
      <c r="B36" s="10" t="s">
        <v>55</v>
      </c>
      <c r="C36" s="10" t="s">
        <v>217</v>
      </c>
      <c r="D36" s="10"/>
      <c r="E36" s="10"/>
    </row>
    <row r="37" spans="1:5" x14ac:dyDescent="0.25">
      <c r="A37" s="10" t="s">
        <v>56</v>
      </c>
      <c r="B37" s="10" t="s">
        <v>57</v>
      </c>
      <c r="C37" s="10" t="s">
        <v>217</v>
      </c>
      <c r="D37" s="10"/>
      <c r="E37" s="10"/>
    </row>
    <row r="38" spans="1:5" x14ac:dyDescent="0.25">
      <c r="A38" s="10" t="s">
        <v>58</v>
      </c>
      <c r="B38" s="10" t="s">
        <v>8</v>
      </c>
      <c r="C38" s="10" t="s">
        <v>217</v>
      </c>
      <c r="D38" s="10"/>
      <c r="E38" s="10"/>
    </row>
    <row r="39" spans="1:5" x14ac:dyDescent="0.25">
      <c r="A39" s="10" t="s">
        <v>59</v>
      </c>
      <c r="B39" s="10" t="s">
        <v>8</v>
      </c>
      <c r="C39" s="10" t="s">
        <v>218</v>
      </c>
      <c r="D39" s="10" t="s">
        <v>224</v>
      </c>
      <c r="E39" s="12">
        <v>222</v>
      </c>
    </row>
    <row r="40" spans="1:5" x14ac:dyDescent="0.25">
      <c r="A40" s="10" t="s">
        <v>60</v>
      </c>
      <c r="B40" s="10" t="s">
        <v>8</v>
      </c>
      <c r="C40" s="10" t="s">
        <v>218</v>
      </c>
      <c r="D40" s="10" t="s">
        <v>225</v>
      </c>
      <c r="E40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48.140625" customWidth="1"/>
    <col min="2" max="2" width="46.5703125" customWidth="1"/>
    <col min="3" max="3" width="11.5703125" customWidth="1"/>
    <col min="4" max="4" width="40.42578125" customWidth="1"/>
    <col min="5" max="5" width="12.710937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43</v>
      </c>
    </row>
    <row r="2" spans="1:8" x14ac:dyDescent="0.25">
      <c r="A2" s="10" t="s">
        <v>61</v>
      </c>
      <c r="B2" s="10" t="s">
        <v>8</v>
      </c>
      <c r="C2" s="10" t="s">
        <v>217</v>
      </c>
      <c r="D2" s="10"/>
      <c r="E2" s="10"/>
      <c r="G2" s="6" t="s">
        <v>218</v>
      </c>
      <c r="H2" s="7">
        <f>COUNTIF(C:C,G2)</f>
        <v>4</v>
      </c>
    </row>
    <row r="3" spans="1:8" ht="15.75" thickBot="1" x14ac:dyDescent="0.3">
      <c r="A3" s="10" t="s">
        <v>62</v>
      </c>
      <c r="B3" s="10" t="s">
        <v>63</v>
      </c>
      <c r="C3" s="10" t="s">
        <v>217</v>
      </c>
      <c r="D3" s="10"/>
      <c r="E3" s="10"/>
      <c r="G3" s="8" t="s">
        <v>219</v>
      </c>
      <c r="H3" s="9">
        <f>H1/SUM(H1:H2)</f>
        <v>0.91489361702127658</v>
      </c>
    </row>
    <row r="4" spans="1:8" x14ac:dyDescent="0.25">
      <c r="A4" s="10" t="s">
        <v>64</v>
      </c>
      <c r="B4" s="10" t="s">
        <v>65</v>
      </c>
      <c r="C4" s="10" t="s">
        <v>217</v>
      </c>
      <c r="D4" s="10"/>
      <c r="E4" s="10"/>
    </row>
    <row r="5" spans="1:8" x14ac:dyDescent="0.25">
      <c r="A5" s="10" t="s">
        <v>66</v>
      </c>
      <c r="B5" s="10" t="s">
        <v>66</v>
      </c>
      <c r="C5" s="10" t="s">
        <v>217</v>
      </c>
      <c r="D5" s="10"/>
      <c r="E5" s="10"/>
    </row>
    <row r="6" spans="1:8" x14ac:dyDescent="0.25">
      <c r="A6" s="10" t="s">
        <v>67</v>
      </c>
      <c r="B6" s="10" t="s">
        <v>67</v>
      </c>
      <c r="C6" s="10" t="s">
        <v>217</v>
      </c>
      <c r="D6" s="10"/>
      <c r="E6" s="10"/>
    </row>
    <row r="7" spans="1:8" x14ac:dyDescent="0.25">
      <c r="A7" s="10" t="s">
        <v>68</v>
      </c>
      <c r="B7" s="10" t="s">
        <v>69</v>
      </c>
      <c r="C7" s="10" t="s">
        <v>217</v>
      </c>
      <c r="D7" s="10"/>
      <c r="E7" s="10"/>
    </row>
    <row r="8" spans="1:8" x14ac:dyDescent="0.25">
      <c r="A8" s="10" t="s">
        <v>70</v>
      </c>
      <c r="B8" s="10" t="s">
        <v>8</v>
      </c>
      <c r="C8" s="10" t="s">
        <v>217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217</v>
      </c>
      <c r="D9" s="10" t="s">
        <v>72</v>
      </c>
      <c r="E9" s="12">
        <v>13748</v>
      </c>
      <c r="F9" t="s">
        <v>220</v>
      </c>
    </row>
    <row r="10" spans="1:8" x14ac:dyDescent="0.25">
      <c r="A10" s="10" t="s">
        <v>73</v>
      </c>
      <c r="B10" s="10" t="s">
        <v>74</v>
      </c>
      <c r="C10" s="10" t="s">
        <v>217</v>
      </c>
      <c r="D10" s="10" t="s">
        <v>74</v>
      </c>
      <c r="E10" s="12">
        <v>20216</v>
      </c>
    </row>
    <row r="11" spans="1:8" x14ac:dyDescent="0.25">
      <c r="A11" s="10" t="s">
        <v>75</v>
      </c>
      <c r="B11" s="10" t="s">
        <v>76</v>
      </c>
      <c r="C11" s="10" t="s">
        <v>217</v>
      </c>
      <c r="D11" s="10"/>
      <c r="E11" s="10"/>
    </row>
    <row r="12" spans="1:8" x14ac:dyDescent="0.25">
      <c r="A12" s="10" t="s">
        <v>77</v>
      </c>
      <c r="B12" s="10" t="s">
        <v>78</v>
      </c>
      <c r="C12" s="10" t="s">
        <v>217</v>
      </c>
      <c r="D12" s="10"/>
      <c r="E12" s="10"/>
    </row>
    <row r="13" spans="1:8" x14ac:dyDescent="0.25">
      <c r="A13" s="10" t="s">
        <v>79</v>
      </c>
      <c r="B13" s="10" t="s">
        <v>80</v>
      </c>
      <c r="C13" s="10" t="s">
        <v>217</v>
      </c>
      <c r="D13" s="10"/>
      <c r="E13" s="10"/>
    </row>
    <row r="14" spans="1:8" x14ac:dyDescent="0.25">
      <c r="A14" s="10" t="s">
        <v>81</v>
      </c>
      <c r="B14" s="10" t="s">
        <v>8</v>
      </c>
      <c r="C14" s="10" t="s">
        <v>217</v>
      </c>
      <c r="D14" s="10"/>
      <c r="E14" s="10"/>
    </row>
    <row r="15" spans="1:8" x14ac:dyDescent="0.25">
      <c r="A15" s="10" t="s">
        <v>82</v>
      </c>
      <c r="B15" s="10" t="s">
        <v>82</v>
      </c>
      <c r="C15" s="10" t="s">
        <v>217</v>
      </c>
      <c r="D15" s="10"/>
      <c r="E15" s="10"/>
    </row>
    <row r="16" spans="1:8" x14ac:dyDescent="0.25">
      <c r="A16" s="10" t="s">
        <v>83</v>
      </c>
      <c r="B16" s="10" t="s">
        <v>8</v>
      </c>
      <c r="C16" s="10" t="s">
        <v>217</v>
      </c>
      <c r="D16" s="10"/>
      <c r="E16" s="10"/>
    </row>
    <row r="17" spans="1:5" x14ac:dyDescent="0.25">
      <c r="A17" s="10" t="s">
        <v>71</v>
      </c>
      <c r="B17" s="10" t="s">
        <v>72</v>
      </c>
      <c r="C17" s="10" t="s">
        <v>218</v>
      </c>
      <c r="D17" s="10" t="s">
        <v>227</v>
      </c>
      <c r="E17" s="12">
        <v>13724</v>
      </c>
    </row>
    <row r="18" spans="1:5" x14ac:dyDescent="0.25">
      <c r="A18" s="10" t="s">
        <v>84</v>
      </c>
      <c r="B18" s="10" t="s">
        <v>84</v>
      </c>
      <c r="C18" s="10" t="s">
        <v>217</v>
      </c>
      <c r="D18" s="10" t="s">
        <v>84</v>
      </c>
      <c r="E18" s="12">
        <v>13780</v>
      </c>
    </row>
    <row r="19" spans="1:5" x14ac:dyDescent="0.25">
      <c r="A19" s="10" t="s">
        <v>85</v>
      </c>
      <c r="B19" s="10" t="s">
        <v>86</v>
      </c>
      <c r="C19" s="10" t="s">
        <v>217</v>
      </c>
      <c r="D19" s="10"/>
      <c r="E19" s="10"/>
    </row>
    <row r="20" spans="1:5" x14ac:dyDescent="0.25">
      <c r="A20" s="10" t="s">
        <v>87</v>
      </c>
      <c r="B20" s="10" t="s">
        <v>88</v>
      </c>
      <c r="C20" s="10" t="s">
        <v>217</v>
      </c>
      <c r="D20" s="10"/>
      <c r="E20" s="10"/>
    </row>
    <row r="21" spans="1:5" x14ac:dyDescent="0.25">
      <c r="A21" s="10" t="s">
        <v>89</v>
      </c>
      <c r="B21" s="10" t="s">
        <v>90</v>
      </c>
      <c r="C21" s="10" t="s">
        <v>217</v>
      </c>
      <c r="D21" s="10"/>
      <c r="E21" s="10"/>
    </row>
    <row r="22" spans="1:5" x14ac:dyDescent="0.25">
      <c r="A22" s="10" t="s">
        <v>91</v>
      </c>
      <c r="B22" s="10" t="s">
        <v>74</v>
      </c>
      <c r="C22" s="10" t="s">
        <v>218</v>
      </c>
      <c r="D22" s="10" t="s">
        <v>228</v>
      </c>
      <c r="E22" s="12">
        <v>20231</v>
      </c>
    </row>
    <row r="23" spans="1:5" x14ac:dyDescent="0.25">
      <c r="A23" s="10" t="s">
        <v>92</v>
      </c>
      <c r="B23" s="10" t="s">
        <v>93</v>
      </c>
      <c r="C23" s="10" t="s">
        <v>217</v>
      </c>
      <c r="D23" s="10"/>
      <c r="E23" s="10"/>
    </row>
    <row r="24" spans="1:5" x14ac:dyDescent="0.25">
      <c r="A24" s="10" t="s">
        <v>94</v>
      </c>
      <c r="B24" s="10" t="s">
        <v>95</v>
      </c>
      <c r="C24" s="10" t="s">
        <v>217</v>
      </c>
      <c r="D24" s="10"/>
      <c r="E24" s="10"/>
    </row>
    <row r="25" spans="1:5" x14ac:dyDescent="0.25">
      <c r="A25" s="10" t="s">
        <v>96</v>
      </c>
      <c r="B25" s="10" t="s">
        <v>97</v>
      </c>
      <c r="C25" s="10" t="s">
        <v>217</v>
      </c>
      <c r="D25" s="10"/>
      <c r="E25" s="10"/>
    </row>
    <row r="26" spans="1:5" x14ac:dyDescent="0.25">
      <c r="A26" s="10" t="s">
        <v>98</v>
      </c>
      <c r="B26" s="10" t="s">
        <v>8</v>
      </c>
      <c r="C26" s="10" t="s">
        <v>217</v>
      </c>
      <c r="D26" s="10"/>
      <c r="E26" s="10"/>
    </row>
    <row r="27" spans="1:5" x14ac:dyDescent="0.25">
      <c r="A27" s="10" t="s">
        <v>99</v>
      </c>
      <c r="B27" s="10" t="s">
        <v>100</v>
      </c>
      <c r="C27" s="10" t="s">
        <v>217</v>
      </c>
      <c r="D27" s="10"/>
      <c r="E27" s="10"/>
    </row>
    <row r="28" spans="1:5" x14ac:dyDescent="0.25">
      <c r="A28" s="10" t="s">
        <v>101</v>
      </c>
      <c r="B28" s="10" t="s">
        <v>102</v>
      </c>
      <c r="C28" s="10" t="s">
        <v>217</v>
      </c>
      <c r="D28" s="10"/>
      <c r="E28" s="10"/>
    </row>
    <row r="29" spans="1:5" x14ac:dyDescent="0.25">
      <c r="A29" s="10" t="s">
        <v>103</v>
      </c>
      <c r="B29" s="10" t="s">
        <v>104</v>
      </c>
      <c r="C29" s="10" t="s">
        <v>217</v>
      </c>
      <c r="D29" s="10"/>
      <c r="E29" s="10"/>
    </row>
    <row r="30" spans="1:5" x14ac:dyDescent="0.25">
      <c r="A30" s="10" t="s">
        <v>105</v>
      </c>
      <c r="B30" s="10" t="s">
        <v>8</v>
      </c>
      <c r="C30" s="10" t="s">
        <v>217</v>
      </c>
      <c r="D30" s="10"/>
      <c r="E30" s="10"/>
    </row>
    <row r="31" spans="1:5" x14ac:dyDescent="0.25">
      <c r="A31" s="10" t="s">
        <v>106</v>
      </c>
      <c r="B31" s="10" t="s">
        <v>8</v>
      </c>
      <c r="C31" s="10" t="s">
        <v>217</v>
      </c>
      <c r="D31" s="10"/>
      <c r="E31" s="10"/>
    </row>
    <row r="32" spans="1:5" x14ac:dyDescent="0.25">
      <c r="A32" s="10" t="s">
        <v>107</v>
      </c>
      <c r="B32" s="10" t="s">
        <v>107</v>
      </c>
      <c r="C32" s="10" t="s">
        <v>217</v>
      </c>
      <c r="D32" s="10" t="s">
        <v>107</v>
      </c>
      <c r="E32" s="12">
        <v>20223</v>
      </c>
    </row>
    <row r="33" spans="1:5" x14ac:dyDescent="0.25">
      <c r="A33" s="10" t="s">
        <v>108</v>
      </c>
      <c r="B33" s="10" t="s">
        <v>108</v>
      </c>
      <c r="C33" s="10" t="s">
        <v>217</v>
      </c>
      <c r="D33" s="10" t="s">
        <v>108</v>
      </c>
      <c r="E33" s="12">
        <v>30340</v>
      </c>
    </row>
    <row r="34" spans="1:5" x14ac:dyDescent="0.25">
      <c r="A34" s="10" t="s">
        <v>109</v>
      </c>
      <c r="B34" s="10" t="s">
        <v>110</v>
      </c>
      <c r="C34" s="10" t="s">
        <v>217</v>
      </c>
      <c r="D34" s="10"/>
      <c r="E34" s="10"/>
    </row>
    <row r="35" spans="1:5" x14ac:dyDescent="0.25">
      <c r="A35" s="10" t="s">
        <v>111</v>
      </c>
      <c r="B35" s="10" t="s">
        <v>112</v>
      </c>
      <c r="C35" s="10" t="s">
        <v>217</v>
      </c>
      <c r="D35" s="10"/>
      <c r="E35" s="10"/>
    </row>
    <row r="36" spans="1:5" x14ac:dyDescent="0.25">
      <c r="A36" s="10" t="s">
        <v>113</v>
      </c>
      <c r="B36" s="10" t="s">
        <v>8</v>
      </c>
      <c r="C36" s="10" t="s">
        <v>217</v>
      </c>
      <c r="D36" s="10"/>
      <c r="E36" s="10"/>
    </row>
    <row r="37" spans="1:5" x14ac:dyDescent="0.25">
      <c r="A37" s="10" t="s">
        <v>106</v>
      </c>
      <c r="B37" s="10" t="s">
        <v>8</v>
      </c>
      <c r="C37" s="10" t="s">
        <v>217</v>
      </c>
      <c r="D37" s="10"/>
      <c r="E37" s="10"/>
    </row>
    <row r="38" spans="1:5" x14ac:dyDescent="0.25">
      <c r="A38" s="10" t="s">
        <v>107</v>
      </c>
      <c r="B38" s="10" t="s">
        <v>107</v>
      </c>
      <c r="C38" s="10" t="s">
        <v>217</v>
      </c>
      <c r="D38" s="10" t="s">
        <v>107</v>
      </c>
      <c r="E38" s="12">
        <v>20209</v>
      </c>
    </row>
    <row r="39" spans="1:5" x14ac:dyDescent="0.25">
      <c r="A39" s="10" t="s">
        <v>108</v>
      </c>
      <c r="B39" s="10" t="s">
        <v>108</v>
      </c>
      <c r="C39" s="10" t="s">
        <v>217</v>
      </c>
      <c r="D39" s="10" t="s">
        <v>108</v>
      </c>
      <c r="E39" s="12">
        <v>25716</v>
      </c>
    </row>
    <row r="40" spans="1:5" x14ac:dyDescent="0.25">
      <c r="A40" s="10" t="s">
        <v>114</v>
      </c>
      <c r="B40" s="10" t="s">
        <v>8</v>
      </c>
      <c r="C40" s="10" t="s">
        <v>217</v>
      </c>
      <c r="D40" s="10"/>
      <c r="E40" s="12"/>
    </row>
    <row r="41" spans="1:5" x14ac:dyDescent="0.25">
      <c r="A41" s="10" t="s">
        <v>115</v>
      </c>
      <c r="B41" s="10" t="s">
        <v>116</v>
      </c>
      <c r="C41" s="10" t="s">
        <v>217</v>
      </c>
      <c r="D41" s="10" t="s">
        <v>116</v>
      </c>
      <c r="E41" s="12">
        <v>13779</v>
      </c>
    </row>
    <row r="42" spans="1:5" x14ac:dyDescent="0.25">
      <c r="A42" s="10" t="s">
        <v>117</v>
      </c>
      <c r="B42" s="10" t="s">
        <v>116</v>
      </c>
      <c r="C42" s="10" t="s">
        <v>217</v>
      </c>
      <c r="D42" s="10" t="s">
        <v>116</v>
      </c>
      <c r="E42" s="12">
        <v>13779</v>
      </c>
    </row>
    <row r="43" spans="1:5" x14ac:dyDescent="0.25">
      <c r="A43" s="10" t="s">
        <v>118</v>
      </c>
      <c r="B43" s="10" t="s">
        <v>119</v>
      </c>
      <c r="C43" s="10" t="s">
        <v>218</v>
      </c>
      <c r="D43" s="10" t="s">
        <v>229</v>
      </c>
      <c r="E43" s="12">
        <v>20214</v>
      </c>
    </row>
    <row r="44" spans="1:5" x14ac:dyDescent="0.25">
      <c r="A44" s="10" t="s">
        <v>120</v>
      </c>
      <c r="B44" s="10" t="s">
        <v>121</v>
      </c>
      <c r="C44" s="10" t="s">
        <v>217</v>
      </c>
      <c r="D44" s="10"/>
      <c r="E44" s="10"/>
    </row>
    <row r="45" spans="1:5" x14ac:dyDescent="0.25">
      <c r="A45" s="10" t="s">
        <v>109</v>
      </c>
      <c r="B45" s="10" t="s">
        <v>110</v>
      </c>
      <c r="C45" s="10" t="s">
        <v>218</v>
      </c>
      <c r="D45" s="10" t="s">
        <v>230</v>
      </c>
      <c r="E45" s="12">
        <v>13767</v>
      </c>
    </row>
    <row r="46" spans="1:5" x14ac:dyDescent="0.25">
      <c r="A46" s="10" t="s">
        <v>122</v>
      </c>
      <c r="B46" s="10" t="s">
        <v>123</v>
      </c>
      <c r="C46" s="10" t="s">
        <v>217</v>
      </c>
      <c r="D46" s="10"/>
      <c r="E46" s="10"/>
    </row>
    <row r="47" spans="1:5" x14ac:dyDescent="0.25">
      <c r="A47" s="10" t="s">
        <v>124</v>
      </c>
      <c r="B47" s="10" t="s">
        <v>125</v>
      </c>
      <c r="C47" s="10" t="s">
        <v>217</v>
      </c>
      <c r="D47" s="10"/>
      <c r="E47" s="10"/>
    </row>
    <row r="48" spans="1:5" x14ac:dyDescent="0.25">
      <c r="A48" s="10" t="s">
        <v>126</v>
      </c>
      <c r="B48" s="10" t="s">
        <v>127</v>
      </c>
      <c r="C48" s="10"/>
      <c r="D48" s="10" t="s">
        <v>231</v>
      </c>
      <c r="E48" s="10"/>
    </row>
    <row r="49" spans="1:5" x14ac:dyDescent="0.25">
      <c r="A49" s="10" t="s">
        <v>128</v>
      </c>
      <c r="B49" s="10" t="s">
        <v>129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/>
  </sheetViews>
  <sheetFormatPr defaultRowHeight="15" x14ac:dyDescent="0.25"/>
  <cols>
    <col min="1" max="1" width="47.85546875" customWidth="1"/>
    <col min="2" max="2" width="49.42578125" customWidth="1"/>
    <col min="3" max="3" width="10.7109375" customWidth="1"/>
    <col min="4" max="4" width="40.140625" customWidth="1"/>
    <col min="5" max="5" width="11.4257812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43</v>
      </c>
    </row>
    <row r="2" spans="1:8" x14ac:dyDescent="0.25">
      <c r="A2" s="10" t="s">
        <v>61</v>
      </c>
      <c r="B2" s="10" t="s">
        <v>8</v>
      </c>
      <c r="C2" s="10" t="s">
        <v>217</v>
      </c>
      <c r="D2" s="10"/>
      <c r="E2" s="10"/>
      <c r="G2" s="6" t="s">
        <v>218</v>
      </c>
      <c r="H2" s="7">
        <f>COUNTIF(C:C,G2)</f>
        <v>4</v>
      </c>
    </row>
    <row r="3" spans="1:8" ht="15.75" thickBot="1" x14ac:dyDescent="0.3">
      <c r="A3" s="10" t="s">
        <v>62</v>
      </c>
      <c r="B3" s="10" t="s">
        <v>63</v>
      </c>
      <c r="C3" s="10" t="s">
        <v>217</v>
      </c>
      <c r="D3" s="10"/>
      <c r="E3" s="10"/>
      <c r="G3" s="8" t="s">
        <v>219</v>
      </c>
      <c r="H3" s="9">
        <f>H1/SUM(H1:H2)</f>
        <v>0.91489361702127658</v>
      </c>
    </row>
    <row r="4" spans="1:8" x14ac:dyDescent="0.25">
      <c r="A4" s="10" t="s">
        <v>64</v>
      </c>
      <c r="B4" s="10" t="s">
        <v>65</v>
      </c>
      <c r="C4" s="10" t="s">
        <v>217</v>
      </c>
      <c r="D4" s="10"/>
      <c r="E4" s="10"/>
    </row>
    <row r="5" spans="1:8" x14ac:dyDescent="0.25">
      <c r="A5" s="10" t="s">
        <v>66</v>
      </c>
      <c r="B5" s="10" t="s">
        <v>66</v>
      </c>
      <c r="C5" s="10" t="s">
        <v>217</v>
      </c>
      <c r="D5" s="10"/>
      <c r="E5" s="10"/>
    </row>
    <row r="6" spans="1:8" x14ac:dyDescent="0.25">
      <c r="A6" s="10" t="s">
        <v>67</v>
      </c>
      <c r="B6" s="10" t="s">
        <v>67</v>
      </c>
      <c r="C6" s="10" t="s">
        <v>217</v>
      </c>
      <c r="D6" s="10"/>
      <c r="E6" s="10"/>
    </row>
    <row r="7" spans="1:8" x14ac:dyDescent="0.25">
      <c r="A7" s="10" t="s">
        <v>68</v>
      </c>
      <c r="B7" s="10" t="s">
        <v>69</v>
      </c>
      <c r="C7" s="10" t="s">
        <v>217</v>
      </c>
      <c r="D7" s="10" t="s">
        <v>220</v>
      </c>
      <c r="E7" s="10"/>
    </row>
    <row r="8" spans="1:8" x14ac:dyDescent="0.25">
      <c r="A8" s="10" t="s">
        <v>70</v>
      </c>
      <c r="B8" s="10" t="s">
        <v>8</v>
      </c>
      <c r="C8" s="10" t="s">
        <v>217</v>
      </c>
      <c r="D8" s="10"/>
      <c r="E8" s="10"/>
    </row>
    <row r="9" spans="1:8" x14ac:dyDescent="0.25">
      <c r="A9" s="10" t="s">
        <v>71</v>
      </c>
      <c r="B9" s="10" t="s">
        <v>72</v>
      </c>
      <c r="C9" s="10" t="s">
        <v>217</v>
      </c>
      <c r="D9" s="10" t="s">
        <v>72</v>
      </c>
      <c r="E9" s="12">
        <v>13748</v>
      </c>
    </row>
    <row r="10" spans="1:8" x14ac:dyDescent="0.25">
      <c r="A10" s="10" t="s">
        <v>73</v>
      </c>
      <c r="B10" s="10" t="s">
        <v>74</v>
      </c>
      <c r="C10" s="10" t="s">
        <v>217</v>
      </c>
      <c r="D10" s="10" t="s">
        <v>74</v>
      </c>
      <c r="E10" s="12">
        <v>20216</v>
      </c>
    </row>
    <row r="11" spans="1:8" x14ac:dyDescent="0.25">
      <c r="A11" s="10" t="s">
        <v>75</v>
      </c>
      <c r="B11" s="10" t="s">
        <v>76</v>
      </c>
      <c r="C11" s="10" t="s">
        <v>217</v>
      </c>
      <c r="D11" s="10"/>
      <c r="E11" s="10"/>
    </row>
    <row r="12" spans="1:8" x14ac:dyDescent="0.25">
      <c r="A12" s="10" t="s">
        <v>77</v>
      </c>
      <c r="B12" s="10" t="s">
        <v>78</v>
      </c>
      <c r="C12" s="10" t="s">
        <v>217</v>
      </c>
      <c r="D12" s="10"/>
      <c r="E12" s="10"/>
    </row>
    <row r="13" spans="1:8" x14ac:dyDescent="0.25">
      <c r="A13" s="10" t="s">
        <v>79</v>
      </c>
      <c r="B13" s="10" t="s">
        <v>80</v>
      </c>
      <c r="C13" s="10" t="s">
        <v>217</v>
      </c>
      <c r="D13" s="10"/>
      <c r="E13" s="10"/>
    </row>
    <row r="14" spans="1:8" x14ac:dyDescent="0.25">
      <c r="A14" s="10" t="s">
        <v>81</v>
      </c>
      <c r="B14" s="10" t="s">
        <v>8</v>
      </c>
      <c r="C14" s="10" t="s">
        <v>217</v>
      </c>
      <c r="D14" s="10"/>
      <c r="E14" s="10"/>
    </row>
    <row r="15" spans="1:8" x14ac:dyDescent="0.25">
      <c r="A15" s="10" t="s">
        <v>82</v>
      </c>
      <c r="B15" s="10" t="s">
        <v>82</v>
      </c>
      <c r="C15" s="10" t="s">
        <v>217</v>
      </c>
      <c r="D15" s="10"/>
      <c r="E15" s="10"/>
    </row>
    <row r="16" spans="1:8" x14ac:dyDescent="0.25">
      <c r="A16" s="10" t="s">
        <v>83</v>
      </c>
      <c r="B16" s="10" t="s">
        <v>8</v>
      </c>
      <c r="C16" s="10" t="s">
        <v>217</v>
      </c>
      <c r="D16" s="10"/>
      <c r="E16" s="10"/>
    </row>
    <row r="17" spans="1:5" x14ac:dyDescent="0.25">
      <c r="A17" s="10" t="s">
        <v>71</v>
      </c>
      <c r="B17" s="10" t="s">
        <v>72</v>
      </c>
      <c r="C17" s="10" t="s">
        <v>218</v>
      </c>
      <c r="D17" s="10" t="s">
        <v>227</v>
      </c>
      <c r="E17" s="12">
        <v>13724</v>
      </c>
    </row>
    <row r="18" spans="1:5" x14ac:dyDescent="0.25">
      <c r="A18" s="10" t="s">
        <v>84</v>
      </c>
      <c r="B18" s="10" t="s">
        <v>84</v>
      </c>
      <c r="C18" s="10" t="s">
        <v>217</v>
      </c>
      <c r="D18" s="10" t="s">
        <v>84</v>
      </c>
      <c r="E18" s="12">
        <v>13780</v>
      </c>
    </row>
    <row r="19" spans="1:5" x14ac:dyDescent="0.25">
      <c r="A19" s="10" t="s">
        <v>85</v>
      </c>
      <c r="B19" s="10" t="s">
        <v>86</v>
      </c>
      <c r="C19" s="10" t="s">
        <v>217</v>
      </c>
      <c r="D19" s="10"/>
      <c r="E19" s="10"/>
    </row>
    <row r="20" spans="1:5" x14ac:dyDescent="0.25">
      <c r="A20" s="10" t="s">
        <v>87</v>
      </c>
      <c r="B20" s="10" t="s">
        <v>88</v>
      </c>
      <c r="C20" s="10" t="s">
        <v>217</v>
      </c>
      <c r="D20" s="10"/>
      <c r="E20" s="10"/>
    </row>
    <row r="21" spans="1:5" x14ac:dyDescent="0.25">
      <c r="A21" s="10" t="s">
        <v>89</v>
      </c>
      <c r="B21" s="10" t="s">
        <v>90</v>
      </c>
      <c r="C21" s="10" t="s">
        <v>217</v>
      </c>
      <c r="D21" s="10"/>
      <c r="E21" s="10"/>
    </row>
    <row r="22" spans="1:5" x14ac:dyDescent="0.25">
      <c r="A22" s="10" t="s">
        <v>91</v>
      </c>
      <c r="B22" s="10" t="s">
        <v>74</v>
      </c>
      <c r="C22" s="10" t="s">
        <v>218</v>
      </c>
      <c r="D22" s="10" t="s">
        <v>228</v>
      </c>
      <c r="E22" s="12">
        <v>20231</v>
      </c>
    </row>
    <row r="23" spans="1:5" x14ac:dyDescent="0.25">
      <c r="A23" s="10" t="s">
        <v>92</v>
      </c>
      <c r="B23" s="10" t="s">
        <v>93</v>
      </c>
      <c r="C23" s="10" t="s">
        <v>217</v>
      </c>
      <c r="D23" s="10"/>
      <c r="E23" s="10"/>
    </row>
    <row r="24" spans="1:5" x14ac:dyDescent="0.25">
      <c r="A24" s="10" t="s">
        <v>94</v>
      </c>
      <c r="B24" s="10" t="s">
        <v>95</v>
      </c>
      <c r="C24" s="10" t="s">
        <v>217</v>
      </c>
      <c r="D24" s="10"/>
      <c r="E24" s="10"/>
    </row>
    <row r="25" spans="1:5" x14ac:dyDescent="0.25">
      <c r="A25" s="10" t="s">
        <v>96</v>
      </c>
      <c r="B25" s="10" t="s">
        <v>97</v>
      </c>
      <c r="C25" s="10" t="s">
        <v>217</v>
      </c>
      <c r="D25" s="10"/>
      <c r="E25" s="10"/>
    </row>
    <row r="26" spans="1:5" x14ac:dyDescent="0.25">
      <c r="A26" s="10" t="s">
        <v>98</v>
      </c>
      <c r="B26" s="10" t="s">
        <v>8</v>
      </c>
      <c r="C26" s="10" t="s">
        <v>217</v>
      </c>
      <c r="D26" s="10"/>
      <c r="E26" s="10"/>
    </row>
    <row r="27" spans="1:5" x14ac:dyDescent="0.25">
      <c r="A27" s="10" t="s">
        <v>99</v>
      </c>
      <c r="B27" s="10" t="s">
        <v>100</v>
      </c>
      <c r="C27" s="10" t="s">
        <v>217</v>
      </c>
      <c r="D27" s="10"/>
      <c r="E27" s="10"/>
    </row>
    <row r="28" spans="1:5" x14ac:dyDescent="0.25">
      <c r="A28" s="10" t="s">
        <v>101</v>
      </c>
      <c r="B28" s="10" t="s">
        <v>102</v>
      </c>
      <c r="C28" s="10" t="s">
        <v>217</v>
      </c>
      <c r="D28" s="10"/>
      <c r="E28" s="10"/>
    </row>
    <row r="29" spans="1:5" x14ac:dyDescent="0.25">
      <c r="A29" s="10" t="s">
        <v>103</v>
      </c>
      <c r="B29" s="10" t="s">
        <v>104</v>
      </c>
      <c r="C29" s="10" t="s">
        <v>217</v>
      </c>
      <c r="D29" s="10"/>
      <c r="E29" s="10"/>
    </row>
    <row r="30" spans="1:5" x14ac:dyDescent="0.25">
      <c r="A30" s="10" t="s">
        <v>105</v>
      </c>
      <c r="B30" s="10" t="s">
        <v>8</v>
      </c>
      <c r="C30" s="10" t="s">
        <v>217</v>
      </c>
      <c r="D30" s="10"/>
      <c r="E30" s="10"/>
    </row>
    <row r="31" spans="1:5" x14ac:dyDescent="0.25">
      <c r="A31" s="10" t="s">
        <v>106</v>
      </c>
      <c r="B31" s="10" t="s">
        <v>8</v>
      </c>
      <c r="C31" s="10" t="s">
        <v>217</v>
      </c>
      <c r="D31" s="10"/>
      <c r="E31" s="10"/>
    </row>
    <row r="32" spans="1:5" x14ac:dyDescent="0.25">
      <c r="A32" s="10" t="s">
        <v>107</v>
      </c>
      <c r="B32" s="10" t="s">
        <v>107</v>
      </c>
      <c r="C32" s="10" t="s">
        <v>217</v>
      </c>
      <c r="D32" s="10" t="s">
        <v>107</v>
      </c>
      <c r="E32" s="12">
        <v>20223</v>
      </c>
    </row>
    <row r="33" spans="1:5" x14ac:dyDescent="0.25">
      <c r="A33" s="10" t="s">
        <v>108</v>
      </c>
      <c r="B33" s="10" t="s">
        <v>108</v>
      </c>
      <c r="C33" s="10" t="s">
        <v>217</v>
      </c>
      <c r="D33" s="10" t="s">
        <v>108</v>
      </c>
      <c r="E33" s="12">
        <v>30340</v>
      </c>
    </row>
    <row r="34" spans="1:5" x14ac:dyDescent="0.25">
      <c r="A34" s="10" t="s">
        <v>109</v>
      </c>
      <c r="B34" s="10" t="s">
        <v>110</v>
      </c>
      <c r="C34" s="10" t="s">
        <v>217</v>
      </c>
      <c r="D34" s="10"/>
      <c r="E34" s="10"/>
    </row>
    <row r="35" spans="1:5" x14ac:dyDescent="0.25">
      <c r="A35" s="10" t="s">
        <v>111</v>
      </c>
      <c r="B35" s="10" t="s">
        <v>112</v>
      </c>
      <c r="C35" s="10" t="s">
        <v>217</v>
      </c>
      <c r="D35" s="10"/>
      <c r="E35" s="10"/>
    </row>
    <row r="36" spans="1:5" x14ac:dyDescent="0.25">
      <c r="A36" s="10" t="s">
        <v>113</v>
      </c>
      <c r="B36" s="10" t="s">
        <v>8</v>
      </c>
      <c r="C36" s="10" t="s">
        <v>217</v>
      </c>
      <c r="D36" s="10"/>
      <c r="E36" s="10"/>
    </row>
    <row r="37" spans="1:5" x14ac:dyDescent="0.25">
      <c r="A37" s="10" t="s">
        <v>106</v>
      </c>
      <c r="B37" s="10" t="s">
        <v>8</v>
      </c>
      <c r="C37" s="10" t="s">
        <v>217</v>
      </c>
      <c r="D37" s="10"/>
      <c r="E37" s="10"/>
    </row>
    <row r="38" spans="1:5" x14ac:dyDescent="0.25">
      <c r="A38" s="10" t="s">
        <v>107</v>
      </c>
      <c r="B38" s="10" t="s">
        <v>107</v>
      </c>
      <c r="C38" s="10" t="s">
        <v>217</v>
      </c>
      <c r="D38" s="10" t="s">
        <v>107</v>
      </c>
      <c r="E38" s="12">
        <v>20209</v>
      </c>
    </row>
    <row r="39" spans="1:5" x14ac:dyDescent="0.25">
      <c r="A39" s="10" t="s">
        <v>108</v>
      </c>
      <c r="B39" s="10" t="s">
        <v>108</v>
      </c>
      <c r="C39" s="10" t="s">
        <v>217</v>
      </c>
      <c r="D39" s="10" t="s">
        <v>108</v>
      </c>
      <c r="E39" s="12">
        <v>25716</v>
      </c>
    </row>
    <row r="40" spans="1:5" x14ac:dyDescent="0.25">
      <c r="A40" s="10" t="s">
        <v>114</v>
      </c>
      <c r="B40" s="10" t="s">
        <v>8</v>
      </c>
      <c r="C40" s="10" t="s">
        <v>217</v>
      </c>
      <c r="D40" s="10"/>
      <c r="E40" s="10"/>
    </row>
    <row r="41" spans="1:5" x14ac:dyDescent="0.25">
      <c r="A41" s="10" t="s">
        <v>115</v>
      </c>
      <c r="B41" s="10" t="s">
        <v>116</v>
      </c>
      <c r="C41" s="10" t="s">
        <v>217</v>
      </c>
      <c r="D41" s="10" t="s">
        <v>116</v>
      </c>
      <c r="E41" s="12">
        <v>13779</v>
      </c>
    </row>
    <row r="42" spans="1:5" x14ac:dyDescent="0.25">
      <c r="A42" s="10" t="s">
        <v>117</v>
      </c>
      <c r="B42" s="10" t="s">
        <v>116</v>
      </c>
      <c r="C42" s="10" t="s">
        <v>217</v>
      </c>
      <c r="D42" s="10" t="s">
        <v>116</v>
      </c>
      <c r="E42" s="12">
        <v>13779</v>
      </c>
    </row>
    <row r="43" spans="1:5" x14ac:dyDescent="0.25">
      <c r="A43" s="10" t="s">
        <v>118</v>
      </c>
      <c r="B43" s="10" t="s">
        <v>119</v>
      </c>
      <c r="C43" s="10" t="s">
        <v>218</v>
      </c>
      <c r="D43" s="10" t="s">
        <v>229</v>
      </c>
      <c r="E43" s="12">
        <v>20214</v>
      </c>
    </row>
    <row r="44" spans="1:5" x14ac:dyDescent="0.25">
      <c r="A44" s="10" t="s">
        <v>120</v>
      </c>
      <c r="B44" s="10" t="s">
        <v>121</v>
      </c>
      <c r="C44" s="10" t="s">
        <v>217</v>
      </c>
      <c r="D44" s="10"/>
      <c r="E44" s="10"/>
    </row>
    <row r="45" spans="1:5" x14ac:dyDescent="0.25">
      <c r="A45" s="10" t="s">
        <v>109</v>
      </c>
      <c r="B45" s="10" t="s">
        <v>110</v>
      </c>
      <c r="C45" s="10" t="s">
        <v>218</v>
      </c>
      <c r="D45" s="10" t="s">
        <v>230</v>
      </c>
      <c r="E45" s="12">
        <v>13767</v>
      </c>
    </row>
    <row r="46" spans="1:5" x14ac:dyDescent="0.25">
      <c r="A46" s="10" t="s">
        <v>122</v>
      </c>
      <c r="B46" s="10" t="s">
        <v>123</v>
      </c>
      <c r="C46" s="10" t="s">
        <v>217</v>
      </c>
      <c r="D46" s="10"/>
      <c r="E46" s="10"/>
    </row>
    <row r="47" spans="1:5" x14ac:dyDescent="0.25">
      <c r="A47" s="10" t="s">
        <v>124</v>
      </c>
      <c r="B47" s="10" t="s">
        <v>125</v>
      </c>
      <c r="C47" s="10" t="s">
        <v>217</v>
      </c>
      <c r="D47" s="10"/>
      <c r="E47" s="10"/>
    </row>
    <row r="48" spans="1:5" x14ac:dyDescent="0.25">
      <c r="A48" s="10" t="s">
        <v>126</v>
      </c>
      <c r="B48" s="10" t="s">
        <v>127</v>
      </c>
      <c r="C48" s="10"/>
      <c r="D48" s="10" t="s">
        <v>231</v>
      </c>
      <c r="E48" s="10"/>
    </row>
    <row r="49" spans="1:5" x14ac:dyDescent="0.25">
      <c r="A49" s="10" t="s">
        <v>128</v>
      </c>
      <c r="B49" s="10" t="s">
        <v>129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/>
  </sheetViews>
  <sheetFormatPr defaultRowHeight="15" x14ac:dyDescent="0.25"/>
  <cols>
    <col min="1" max="1" width="49.7109375" customWidth="1"/>
    <col min="2" max="2" width="46.85546875" customWidth="1"/>
    <col min="3" max="3" width="10.85546875" customWidth="1"/>
    <col min="4" max="4" width="27.5703125" customWidth="1"/>
    <col min="5" max="5" width="12.4257812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42</v>
      </c>
    </row>
    <row r="2" spans="1:8" x14ac:dyDescent="0.25">
      <c r="A2" s="10" t="s">
        <v>130</v>
      </c>
      <c r="B2" s="10" t="s">
        <v>131</v>
      </c>
      <c r="C2" s="10" t="s">
        <v>217</v>
      </c>
      <c r="D2" s="10"/>
      <c r="E2" s="10"/>
      <c r="G2" s="6" t="s">
        <v>218</v>
      </c>
      <c r="H2" s="7">
        <f>COUNTIF(C:C,G2)</f>
        <v>6</v>
      </c>
    </row>
    <row r="3" spans="1:8" ht="15.75" thickBot="1" x14ac:dyDescent="0.3">
      <c r="A3" s="10" t="s">
        <v>132</v>
      </c>
      <c r="B3" s="10" t="s">
        <v>8</v>
      </c>
      <c r="C3" s="10" t="s">
        <v>217</v>
      </c>
      <c r="D3" s="10"/>
      <c r="E3" s="10"/>
      <c r="G3" s="8" t="s">
        <v>219</v>
      </c>
      <c r="H3" s="9">
        <f>H1/SUM(H1:H2)</f>
        <v>0.875</v>
      </c>
    </row>
    <row r="4" spans="1:8" x14ac:dyDescent="0.25">
      <c r="A4" s="10" t="s">
        <v>133</v>
      </c>
      <c r="B4" s="10" t="s">
        <v>134</v>
      </c>
      <c r="C4" s="10" t="s">
        <v>217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217</v>
      </c>
      <c r="D5" s="10"/>
      <c r="E5" s="10"/>
    </row>
    <row r="6" spans="1:8" x14ac:dyDescent="0.25">
      <c r="A6" s="10" t="s">
        <v>24</v>
      </c>
      <c r="B6" s="10" t="s">
        <v>137</v>
      </c>
      <c r="C6" s="10" t="s">
        <v>217</v>
      </c>
      <c r="D6" s="10"/>
      <c r="E6" s="10"/>
    </row>
    <row r="7" spans="1:8" x14ac:dyDescent="0.25">
      <c r="A7" s="10" t="s">
        <v>138</v>
      </c>
      <c r="B7" s="10" t="s">
        <v>139</v>
      </c>
      <c r="C7" s="10" t="s">
        <v>217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217</v>
      </c>
      <c r="D8" s="10"/>
      <c r="E8" s="10"/>
    </row>
    <row r="9" spans="1:8" x14ac:dyDescent="0.25">
      <c r="A9" s="10" t="s">
        <v>142</v>
      </c>
      <c r="B9" s="10" t="s">
        <v>143</v>
      </c>
      <c r="C9" s="10" t="s">
        <v>217</v>
      </c>
      <c r="D9" s="10"/>
      <c r="E9" s="10"/>
    </row>
    <row r="10" spans="1:8" x14ac:dyDescent="0.25">
      <c r="A10" s="10" t="s">
        <v>144</v>
      </c>
      <c r="B10" s="10" t="s">
        <v>137</v>
      </c>
      <c r="C10" s="10" t="s">
        <v>217</v>
      </c>
      <c r="D10" s="10"/>
      <c r="E10" s="10"/>
    </row>
    <row r="11" spans="1:8" x14ac:dyDescent="0.25">
      <c r="A11" s="10" t="s">
        <v>145</v>
      </c>
      <c r="B11" s="10" t="s">
        <v>137</v>
      </c>
      <c r="C11" s="10" t="s">
        <v>217</v>
      </c>
      <c r="D11" s="10"/>
      <c r="E11" s="10"/>
    </row>
    <row r="12" spans="1:8" x14ac:dyDescent="0.25">
      <c r="A12" s="10" t="s">
        <v>146</v>
      </c>
      <c r="B12" s="10" t="s">
        <v>147</v>
      </c>
      <c r="C12" s="10" t="s">
        <v>218</v>
      </c>
      <c r="D12" s="10" t="s">
        <v>234</v>
      </c>
      <c r="E12" s="12">
        <v>30575</v>
      </c>
    </row>
    <row r="13" spans="1:8" x14ac:dyDescent="0.25">
      <c r="A13" s="10" t="s">
        <v>148</v>
      </c>
      <c r="B13" s="10" t="s">
        <v>149</v>
      </c>
      <c r="C13" s="10" t="s">
        <v>218</v>
      </c>
      <c r="D13" s="10" t="s">
        <v>137</v>
      </c>
      <c r="E13" s="12">
        <v>17542</v>
      </c>
    </row>
    <row r="14" spans="1:8" x14ac:dyDescent="0.25">
      <c r="A14" s="10" t="s">
        <v>150</v>
      </c>
      <c r="B14" s="10" t="s">
        <v>151</v>
      </c>
      <c r="C14" s="10" t="s">
        <v>218</v>
      </c>
      <c r="D14" s="10" t="s">
        <v>149</v>
      </c>
      <c r="E14" s="12">
        <v>30481</v>
      </c>
    </row>
    <row r="15" spans="1:8" x14ac:dyDescent="0.25">
      <c r="A15" s="10" t="s">
        <v>152</v>
      </c>
      <c r="B15" s="10" t="s">
        <v>153</v>
      </c>
      <c r="C15" s="10" t="s">
        <v>217</v>
      </c>
      <c r="D15" s="10"/>
      <c r="E15" s="10"/>
    </row>
    <row r="16" spans="1:8" x14ac:dyDescent="0.25">
      <c r="A16" s="10" t="s">
        <v>154</v>
      </c>
      <c r="B16" s="10" t="s">
        <v>8</v>
      </c>
      <c r="C16" s="10" t="s">
        <v>217</v>
      </c>
      <c r="D16" s="10"/>
      <c r="E16" s="10"/>
    </row>
    <row r="17" spans="1:5" x14ac:dyDescent="0.25">
      <c r="A17" s="10" t="s">
        <v>155</v>
      </c>
      <c r="B17" s="10" t="s">
        <v>82</v>
      </c>
      <c r="C17" s="10" t="s">
        <v>217</v>
      </c>
      <c r="D17" s="10" t="s">
        <v>220</v>
      </c>
      <c r="E17" s="10"/>
    </row>
    <row r="18" spans="1:5" x14ac:dyDescent="0.25">
      <c r="A18" s="10" t="s">
        <v>156</v>
      </c>
      <c r="B18" s="10" t="s">
        <v>157</v>
      </c>
      <c r="C18" s="10" t="s">
        <v>217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217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218</v>
      </c>
      <c r="D20" s="10" t="s">
        <v>235</v>
      </c>
      <c r="E20" s="12">
        <v>17546</v>
      </c>
    </row>
    <row r="21" spans="1:5" x14ac:dyDescent="0.25">
      <c r="A21" s="10" t="s">
        <v>162</v>
      </c>
      <c r="B21" s="10" t="s">
        <v>109</v>
      </c>
      <c r="C21" s="10" t="s">
        <v>217</v>
      </c>
      <c r="D21" s="10"/>
      <c r="E21" s="10"/>
    </row>
    <row r="22" spans="1:5" x14ac:dyDescent="0.25">
      <c r="A22" s="10" t="s">
        <v>163</v>
      </c>
      <c r="B22" s="10" t="s">
        <v>164</v>
      </c>
      <c r="C22" s="10" t="s">
        <v>217</v>
      </c>
      <c r="D22" s="10" t="s">
        <v>220</v>
      </c>
      <c r="E22" s="10"/>
    </row>
    <row r="23" spans="1:5" x14ac:dyDescent="0.25">
      <c r="A23" s="10" t="s">
        <v>165</v>
      </c>
      <c r="B23" s="10" t="s">
        <v>166</v>
      </c>
      <c r="C23" s="10" t="s">
        <v>217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217</v>
      </c>
      <c r="D24" s="10"/>
      <c r="E24" s="10"/>
    </row>
    <row r="25" spans="1:5" x14ac:dyDescent="0.25">
      <c r="A25" s="10" t="s">
        <v>169</v>
      </c>
      <c r="B25" s="10" t="s">
        <v>170</v>
      </c>
      <c r="C25" s="10" t="s">
        <v>217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218</v>
      </c>
      <c r="D26" s="10" t="s">
        <v>222</v>
      </c>
      <c r="E26" s="10"/>
    </row>
    <row r="27" spans="1:5" x14ac:dyDescent="0.25">
      <c r="A27" s="10" t="s">
        <v>173</v>
      </c>
      <c r="B27" s="10" t="s">
        <v>174</v>
      </c>
      <c r="C27" s="10" t="s">
        <v>217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217</v>
      </c>
      <c r="D28" s="10"/>
      <c r="E28" s="10"/>
    </row>
    <row r="29" spans="1:5" x14ac:dyDescent="0.25">
      <c r="A29" s="10" t="s">
        <v>177</v>
      </c>
      <c r="B29" s="10" t="s">
        <v>178</v>
      </c>
      <c r="C29" s="10" t="s">
        <v>217</v>
      </c>
      <c r="D29" s="10"/>
      <c r="E29" s="10"/>
    </row>
    <row r="30" spans="1:5" x14ac:dyDescent="0.25">
      <c r="A30" s="10" t="s">
        <v>179</v>
      </c>
      <c r="B30" s="10" t="s">
        <v>178</v>
      </c>
      <c r="C30" s="10" t="s">
        <v>217</v>
      </c>
      <c r="D30" s="10"/>
      <c r="E30" s="10"/>
    </row>
    <row r="31" spans="1:5" x14ac:dyDescent="0.25">
      <c r="A31" s="10" t="s">
        <v>180</v>
      </c>
      <c r="B31" s="10" t="s">
        <v>181</v>
      </c>
      <c r="C31" s="10" t="s">
        <v>217</v>
      </c>
      <c r="D31" s="10"/>
      <c r="E31" s="10"/>
    </row>
    <row r="32" spans="1:5" x14ac:dyDescent="0.25">
      <c r="A32" s="10" t="s">
        <v>182</v>
      </c>
      <c r="B32" s="10" t="s">
        <v>183</v>
      </c>
      <c r="C32" s="10" t="s">
        <v>217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217</v>
      </c>
      <c r="D33" s="10"/>
      <c r="E33" s="10"/>
    </row>
    <row r="34" spans="1:5" x14ac:dyDescent="0.25">
      <c r="A34" s="10" t="s">
        <v>186</v>
      </c>
      <c r="B34" s="10" t="s">
        <v>151</v>
      </c>
      <c r="C34" s="10" t="s">
        <v>217</v>
      </c>
      <c r="D34" s="10"/>
      <c r="E34" s="10"/>
    </row>
    <row r="35" spans="1:5" x14ac:dyDescent="0.25">
      <c r="A35" s="10" t="s">
        <v>187</v>
      </c>
      <c r="B35" s="10" t="s">
        <v>172</v>
      </c>
      <c r="C35" s="10" t="s">
        <v>217</v>
      </c>
      <c r="D35" s="10"/>
      <c r="E35" s="10"/>
    </row>
    <row r="36" spans="1:5" x14ac:dyDescent="0.25">
      <c r="A36" s="10" t="s">
        <v>188</v>
      </c>
      <c r="B36" s="10" t="s">
        <v>8</v>
      </c>
      <c r="C36" s="10" t="s">
        <v>217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217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217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217</v>
      </c>
      <c r="D39" s="10"/>
      <c r="E39" s="10"/>
    </row>
    <row r="40" spans="1:5" x14ac:dyDescent="0.25">
      <c r="A40" s="10" t="s">
        <v>195</v>
      </c>
      <c r="B40" s="10" t="s">
        <v>196</v>
      </c>
      <c r="C40" s="10" t="s">
        <v>217</v>
      </c>
      <c r="D40" s="10"/>
      <c r="E40" s="10"/>
    </row>
    <row r="41" spans="1:5" x14ac:dyDescent="0.25">
      <c r="A41" s="10" t="s">
        <v>197</v>
      </c>
      <c r="B41" s="10" t="s">
        <v>196</v>
      </c>
      <c r="C41" s="10" t="s">
        <v>217</v>
      </c>
      <c r="D41" s="10"/>
      <c r="E41" s="10"/>
    </row>
    <row r="42" spans="1:5" x14ac:dyDescent="0.25">
      <c r="A42" s="10" t="s">
        <v>198</v>
      </c>
      <c r="B42" s="10" t="s">
        <v>199</v>
      </c>
      <c r="C42" s="10" t="s">
        <v>217</v>
      </c>
      <c r="D42" s="10"/>
      <c r="E42" s="10"/>
    </row>
    <row r="43" spans="1:5" x14ac:dyDescent="0.25">
      <c r="A43" s="10" t="s">
        <v>200</v>
      </c>
      <c r="B43" s="10" t="s">
        <v>201</v>
      </c>
      <c r="C43" s="10" t="s">
        <v>217</v>
      </c>
      <c r="D43" s="10"/>
      <c r="E43" s="10"/>
    </row>
    <row r="44" spans="1:5" x14ac:dyDescent="0.25">
      <c r="A44" s="10" t="s">
        <v>202</v>
      </c>
      <c r="B44" s="10" t="s">
        <v>203</v>
      </c>
      <c r="C44" s="10" t="s">
        <v>217</v>
      </c>
      <c r="D44" s="10"/>
      <c r="E44" s="10"/>
    </row>
    <row r="45" spans="1:5" x14ac:dyDescent="0.25">
      <c r="A45" s="10" t="s">
        <v>204</v>
      </c>
      <c r="B45" s="10" t="s">
        <v>205</v>
      </c>
      <c r="C45" s="10" t="s">
        <v>217</v>
      </c>
      <c r="D45" s="10"/>
      <c r="E45" s="10"/>
    </row>
    <row r="46" spans="1:5" x14ac:dyDescent="0.25">
      <c r="A46" s="10" t="s">
        <v>206</v>
      </c>
      <c r="B46" s="10" t="s">
        <v>207</v>
      </c>
      <c r="C46" s="10" t="s">
        <v>217</v>
      </c>
      <c r="D46" s="10"/>
      <c r="E46" s="10"/>
    </row>
    <row r="47" spans="1:5" x14ac:dyDescent="0.25">
      <c r="A47" s="10" t="s">
        <v>208</v>
      </c>
      <c r="B47" s="10" t="s">
        <v>209</v>
      </c>
      <c r="C47" s="10" t="s">
        <v>218</v>
      </c>
      <c r="D47" s="10" t="s">
        <v>232</v>
      </c>
      <c r="E47" s="12">
        <v>17541</v>
      </c>
    </row>
    <row r="48" spans="1:5" x14ac:dyDescent="0.25">
      <c r="A48" s="10" t="s">
        <v>210</v>
      </c>
      <c r="B48" s="10" t="s">
        <v>211</v>
      </c>
      <c r="C48" s="10" t="s">
        <v>217</v>
      </c>
      <c r="D48" s="10"/>
      <c r="E48" s="10"/>
    </row>
    <row r="49" spans="1:5" x14ac:dyDescent="0.25">
      <c r="A49" s="10" t="s">
        <v>212</v>
      </c>
      <c r="B49" s="10" t="s">
        <v>213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/>
  </sheetViews>
  <sheetFormatPr defaultRowHeight="15" x14ac:dyDescent="0.25"/>
  <cols>
    <col min="1" max="1" width="48.28515625" customWidth="1"/>
    <col min="2" max="2" width="49.5703125" customWidth="1"/>
    <col min="3" max="3" width="12.28515625" customWidth="1"/>
    <col min="4" max="4" width="30.5703125" customWidth="1"/>
    <col min="5" max="5" width="11.8554687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3" t="s">
        <v>216</v>
      </c>
      <c r="G1" s="4" t="s">
        <v>217</v>
      </c>
      <c r="H1" s="5">
        <f>COUNTIF(C:C,G1)</f>
        <v>42</v>
      </c>
    </row>
    <row r="2" spans="1:8" x14ac:dyDescent="0.25">
      <c r="A2" s="10" t="s">
        <v>130</v>
      </c>
      <c r="B2" s="10" t="s">
        <v>131</v>
      </c>
      <c r="C2" s="10" t="s">
        <v>217</v>
      </c>
      <c r="D2" s="10"/>
      <c r="E2" s="10"/>
      <c r="G2" s="6" t="s">
        <v>218</v>
      </c>
      <c r="H2" s="7">
        <f>COUNTIF(C:C,G2)</f>
        <v>6</v>
      </c>
    </row>
    <row r="3" spans="1:8" ht="15.75" thickBot="1" x14ac:dyDescent="0.3">
      <c r="A3" s="10" t="s">
        <v>132</v>
      </c>
      <c r="B3" s="10" t="s">
        <v>8</v>
      </c>
      <c r="C3" s="10" t="s">
        <v>217</v>
      </c>
      <c r="D3" s="10"/>
      <c r="E3" s="10"/>
      <c r="G3" s="8" t="s">
        <v>219</v>
      </c>
      <c r="H3" s="9">
        <f>H1/SUM(H1:H2)</f>
        <v>0.875</v>
      </c>
    </row>
    <row r="4" spans="1:8" x14ac:dyDescent="0.25">
      <c r="A4" s="10" t="s">
        <v>133</v>
      </c>
      <c r="B4" s="10" t="s">
        <v>134</v>
      </c>
      <c r="C4" s="10" t="s">
        <v>217</v>
      </c>
      <c r="D4" s="10"/>
      <c r="E4" s="10"/>
    </row>
    <row r="5" spans="1:8" x14ac:dyDescent="0.25">
      <c r="A5" s="10" t="s">
        <v>135</v>
      </c>
      <c r="B5" s="10" t="s">
        <v>136</v>
      </c>
      <c r="C5" s="10" t="s">
        <v>217</v>
      </c>
      <c r="D5" s="10"/>
      <c r="E5" s="10"/>
    </row>
    <row r="6" spans="1:8" x14ac:dyDescent="0.25">
      <c r="A6" s="10" t="s">
        <v>24</v>
      </c>
      <c r="B6" s="10" t="s">
        <v>137</v>
      </c>
      <c r="C6" s="10" t="s">
        <v>217</v>
      </c>
      <c r="D6" s="10"/>
      <c r="E6" s="10"/>
    </row>
    <row r="7" spans="1:8" x14ac:dyDescent="0.25">
      <c r="A7" s="10" t="s">
        <v>138</v>
      </c>
      <c r="B7" s="10" t="s">
        <v>139</v>
      </c>
      <c r="C7" s="10" t="s">
        <v>217</v>
      </c>
      <c r="D7" s="10"/>
      <c r="E7" s="10"/>
    </row>
    <row r="8" spans="1:8" x14ac:dyDescent="0.25">
      <c r="A8" s="10" t="s">
        <v>140</v>
      </c>
      <c r="B8" s="10" t="s">
        <v>141</v>
      </c>
      <c r="C8" s="10" t="s">
        <v>217</v>
      </c>
      <c r="D8" s="10"/>
      <c r="E8" s="10"/>
    </row>
    <row r="9" spans="1:8" x14ac:dyDescent="0.25">
      <c r="A9" s="10" t="s">
        <v>142</v>
      </c>
      <c r="B9" s="10" t="s">
        <v>143</v>
      </c>
      <c r="C9" s="10" t="s">
        <v>217</v>
      </c>
      <c r="D9" s="10"/>
      <c r="E9" s="10"/>
    </row>
    <row r="10" spans="1:8" x14ac:dyDescent="0.25">
      <c r="A10" s="10" t="s">
        <v>144</v>
      </c>
      <c r="B10" s="10" t="s">
        <v>137</v>
      </c>
      <c r="C10" s="10" t="s">
        <v>217</v>
      </c>
      <c r="D10" s="10"/>
      <c r="E10" s="10"/>
    </row>
    <row r="11" spans="1:8" x14ac:dyDescent="0.25">
      <c r="A11" s="10" t="s">
        <v>145</v>
      </c>
      <c r="B11" s="10" t="s">
        <v>137</v>
      </c>
      <c r="C11" s="10" t="s">
        <v>217</v>
      </c>
      <c r="D11" s="10"/>
      <c r="E11" s="10"/>
    </row>
    <row r="12" spans="1:8" x14ac:dyDescent="0.25">
      <c r="A12" s="10" t="s">
        <v>146</v>
      </c>
      <c r="B12" s="10" t="s">
        <v>147</v>
      </c>
      <c r="C12" s="10" t="s">
        <v>218</v>
      </c>
      <c r="D12" s="10" t="s">
        <v>234</v>
      </c>
      <c r="E12" s="12">
        <v>30575</v>
      </c>
    </row>
    <row r="13" spans="1:8" x14ac:dyDescent="0.25">
      <c r="A13" s="10" t="s">
        <v>148</v>
      </c>
      <c r="B13" s="10" t="s">
        <v>149</v>
      </c>
      <c r="C13" s="10" t="s">
        <v>218</v>
      </c>
      <c r="D13" s="10" t="s">
        <v>137</v>
      </c>
      <c r="E13" s="12">
        <v>17542</v>
      </c>
    </row>
    <row r="14" spans="1:8" x14ac:dyDescent="0.25">
      <c r="A14" s="10" t="s">
        <v>150</v>
      </c>
      <c r="B14" s="10" t="s">
        <v>151</v>
      </c>
      <c r="C14" s="10" t="s">
        <v>218</v>
      </c>
      <c r="D14" s="10" t="s">
        <v>149</v>
      </c>
      <c r="E14" s="12">
        <v>30481</v>
      </c>
    </row>
    <row r="15" spans="1:8" x14ac:dyDescent="0.25">
      <c r="A15" s="10" t="s">
        <v>152</v>
      </c>
      <c r="B15" s="10" t="s">
        <v>153</v>
      </c>
      <c r="C15" s="10" t="s">
        <v>217</v>
      </c>
      <c r="D15" s="10"/>
      <c r="E15" s="10"/>
    </row>
    <row r="16" spans="1:8" x14ac:dyDescent="0.25">
      <c r="A16" s="10" t="s">
        <v>154</v>
      </c>
      <c r="B16" s="10" t="s">
        <v>8</v>
      </c>
      <c r="C16" s="10" t="s">
        <v>217</v>
      </c>
      <c r="D16" s="10"/>
      <c r="E16" s="10"/>
    </row>
    <row r="17" spans="1:5" x14ac:dyDescent="0.25">
      <c r="A17" s="10" t="s">
        <v>155</v>
      </c>
      <c r="B17" s="10" t="s">
        <v>82</v>
      </c>
      <c r="C17" s="10" t="s">
        <v>217</v>
      </c>
      <c r="D17" s="10"/>
      <c r="E17" s="10"/>
    </row>
    <row r="18" spans="1:5" x14ac:dyDescent="0.25">
      <c r="A18" s="10" t="s">
        <v>156</v>
      </c>
      <c r="B18" s="10" t="s">
        <v>157</v>
      </c>
      <c r="C18" s="10" t="s">
        <v>217</v>
      </c>
      <c r="D18" s="10"/>
      <c r="E18" s="10"/>
    </row>
    <row r="19" spans="1:5" x14ac:dyDescent="0.25">
      <c r="A19" s="10" t="s">
        <v>158</v>
      </c>
      <c r="B19" s="10" t="s">
        <v>159</v>
      </c>
      <c r="C19" s="10" t="s">
        <v>217</v>
      </c>
      <c r="D19" s="10"/>
      <c r="E19" s="10"/>
    </row>
    <row r="20" spans="1:5" x14ac:dyDescent="0.25">
      <c r="A20" s="10" t="s">
        <v>160</v>
      </c>
      <c r="B20" s="10" t="s">
        <v>161</v>
      </c>
      <c r="C20" s="10" t="s">
        <v>218</v>
      </c>
      <c r="D20" s="10" t="s">
        <v>235</v>
      </c>
      <c r="E20" s="12">
        <v>17546</v>
      </c>
    </row>
    <row r="21" spans="1:5" x14ac:dyDescent="0.25">
      <c r="A21" s="10" t="s">
        <v>162</v>
      </c>
      <c r="B21" s="10" t="s">
        <v>109</v>
      </c>
      <c r="C21" s="10" t="s">
        <v>217</v>
      </c>
      <c r="D21" s="10"/>
      <c r="E21" s="10"/>
    </row>
    <row r="22" spans="1:5" x14ac:dyDescent="0.25">
      <c r="A22" s="10" t="s">
        <v>163</v>
      </c>
      <c r="B22" s="10" t="s">
        <v>164</v>
      </c>
      <c r="C22" s="10" t="s">
        <v>217</v>
      </c>
      <c r="D22" s="10"/>
      <c r="E22" s="10"/>
    </row>
    <row r="23" spans="1:5" x14ac:dyDescent="0.25">
      <c r="A23" s="10" t="s">
        <v>165</v>
      </c>
      <c r="B23" s="10" t="s">
        <v>166</v>
      </c>
      <c r="C23" s="10" t="s">
        <v>217</v>
      </c>
      <c r="D23" s="10"/>
      <c r="E23" s="10"/>
    </row>
    <row r="24" spans="1:5" x14ac:dyDescent="0.25">
      <c r="A24" s="10" t="s">
        <v>167</v>
      </c>
      <c r="B24" s="10" t="s">
        <v>168</v>
      </c>
      <c r="C24" s="10" t="s">
        <v>217</v>
      </c>
      <c r="D24" s="10"/>
      <c r="E24" s="10"/>
    </row>
    <row r="25" spans="1:5" x14ac:dyDescent="0.25">
      <c r="A25" s="10" t="s">
        <v>169</v>
      </c>
      <c r="B25" s="10" t="s">
        <v>170</v>
      </c>
      <c r="C25" s="10" t="s">
        <v>217</v>
      </c>
      <c r="D25" s="10"/>
      <c r="E25" s="10"/>
    </row>
    <row r="26" spans="1:5" x14ac:dyDescent="0.25">
      <c r="A26" s="10" t="s">
        <v>171</v>
      </c>
      <c r="B26" s="10" t="s">
        <v>172</v>
      </c>
      <c r="C26" s="10" t="s">
        <v>218</v>
      </c>
      <c r="D26" s="10" t="s">
        <v>222</v>
      </c>
      <c r="E26" s="10"/>
    </row>
    <row r="27" spans="1:5" x14ac:dyDescent="0.25">
      <c r="A27" s="10" t="s">
        <v>173</v>
      </c>
      <c r="B27" s="10" t="s">
        <v>174</v>
      </c>
      <c r="C27" s="10" t="s">
        <v>217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217</v>
      </c>
      <c r="D28" s="10"/>
      <c r="E28" s="10"/>
    </row>
    <row r="29" spans="1:5" x14ac:dyDescent="0.25">
      <c r="A29" s="10" t="s">
        <v>177</v>
      </c>
      <c r="B29" s="10" t="s">
        <v>178</v>
      </c>
      <c r="C29" s="10" t="s">
        <v>217</v>
      </c>
      <c r="D29" s="10"/>
      <c r="E29" s="10"/>
    </row>
    <row r="30" spans="1:5" x14ac:dyDescent="0.25">
      <c r="A30" s="10" t="s">
        <v>179</v>
      </c>
      <c r="B30" s="10" t="s">
        <v>178</v>
      </c>
      <c r="C30" s="10" t="s">
        <v>217</v>
      </c>
      <c r="D30" s="10"/>
      <c r="E30" s="10"/>
    </row>
    <row r="31" spans="1:5" x14ac:dyDescent="0.25">
      <c r="A31" s="10" t="s">
        <v>180</v>
      </c>
      <c r="B31" s="10" t="s">
        <v>181</v>
      </c>
      <c r="C31" s="10" t="s">
        <v>217</v>
      </c>
      <c r="D31" s="10"/>
      <c r="E31" s="10"/>
    </row>
    <row r="32" spans="1:5" x14ac:dyDescent="0.25">
      <c r="A32" s="10" t="s">
        <v>182</v>
      </c>
      <c r="B32" s="10" t="s">
        <v>183</v>
      </c>
      <c r="C32" s="10" t="s">
        <v>217</v>
      </c>
      <c r="D32" s="10"/>
      <c r="E32" s="10"/>
    </row>
    <row r="33" spans="1:5" x14ac:dyDescent="0.25">
      <c r="A33" s="10" t="s">
        <v>184</v>
      </c>
      <c r="B33" s="10" t="s">
        <v>185</v>
      </c>
      <c r="C33" s="10" t="s">
        <v>217</v>
      </c>
      <c r="D33" s="10"/>
      <c r="E33" s="10"/>
    </row>
    <row r="34" spans="1:5" x14ac:dyDescent="0.25">
      <c r="A34" s="10" t="s">
        <v>186</v>
      </c>
      <c r="B34" s="10" t="s">
        <v>151</v>
      </c>
      <c r="C34" s="10" t="s">
        <v>217</v>
      </c>
      <c r="D34" s="10"/>
      <c r="E34" s="10"/>
    </row>
    <row r="35" spans="1:5" x14ac:dyDescent="0.25">
      <c r="A35" s="10" t="s">
        <v>187</v>
      </c>
      <c r="B35" s="10" t="s">
        <v>172</v>
      </c>
      <c r="C35" s="10" t="s">
        <v>217</v>
      </c>
      <c r="D35" s="10"/>
      <c r="E35" s="10"/>
    </row>
    <row r="36" spans="1:5" x14ac:dyDescent="0.25">
      <c r="A36" s="10" t="s">
        <v>188</v>
      </c>
      <c r="B36" s="10" t="s">
        <v>8</v>
      </c>
      <c r="C36" s="10" t="s">
        <v>217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217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217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217</v>
      </c>
      <c r="D39" s="10"/>
      <c r="E39" s="10"/>
    </row>
    <row r="40" spans="1:5" x14ac:dyDescent="0.25">
      <c r="A40" s="10" t="s">
        <v>195</v>
      </c>
      <c r="B40" s="10" t="s">
        <v>196</v>
      </c>
      <c r="C40" s="10" t="s">
        <v>217</v>
      </c>
      <c r="D40" s="10"/>
      <c r="E40" s="10"/>
    </row>
    <row r="41" spans="1:5" x14ac:dyDescent="0.25">
      <c r="A41" s="10" t="s">
        <v>197</v>
      </c>
      <c r="B41" s="10" t="s">
        <v>196</v>
      </c>
      <c r="C41" s="10" t="s">
        <v>217</v>
      </c>
      <c r="D41" s="10"/>
      <c r="E41" s="10"/>
    </row>
    <row r="42" spans="1:5" x14ac:dyDescent="0.25">
      <c r="A42" s="10" t="s">
        <v>198</v>
      </c>
      <c r="B42" s="10" t="s">
        <v>199</v>
      </c>
      <c r="C42" s="10" t="s">
        <v>217</v>
      </c>
      <c r="D42" s="10"/>
      <c r="E42" s="10"/>
    </row>
    <row r="43" spans="1:5" x14ac:dyDescent="0.25">
      <c r="A43" s="10" t="s">
        <v>200</v>
      </c>
      <c r="B43" s="10" t="s">
        <v>201</v>
      </c>
      <c r="C43" s="10" t="s">
        <v>217</v>
      </c>
      <c r="D43" s="10"/>
      <c r="E43" s="10"/>
    </row>
    <row r="44" spans="1:5" x14ac:dyDescent="0.25">
      <c r="A44" s="10" t="s">
        <v>202</v>
      </c>
      <c r="B44" s="10" t="s">
        <v>203</v>
      </c>
      <c r="C44" s="10" t="s">
        <v>217</v>
      </c>
      <c r="D44" s="10"/>
      <c r="E44" s="10"/>
    </row>
    <row r="45" spans="1:5" x14ac:dyDescent="0.25">
      <c r="A45" s="10" t="s">
        <v>204</v>
      </c>
      <c r="B45" s="10" t="s">
        <v>205</v>
      </c>
      <c r="C45" s="10" t="s">
        <v>217</v>
      </c>
      <c r="D45" s="10"/>
      <c r="E45" s="10"/>
    </row>
    <row r="46" spans="1:5" x14ac:dyDescent="0.25">
      <c r="A46" s="10" t="s">
        <v>206</v>
      </c>
      <c r="B46" s="10" t="s">
        <v>207</v>
      </c>
      <c r="C46" s="10" t="s">
        <v>217</v>
      </c>
      <c r="D46" s="10"/>
      <c r="E46" s="10"/>
    </row>
    <row r="47" spans="1:5" x14ac:dyDescent="0.25">
      <c r="A47" s="10" t="s">
        <v>208</v>
      </c>
      <c r="B47" s="10" t="s">
        <v>209</v>
      </c>
      <c r="C47" s="10" t="s">
        <v>218</v>
      </c>
      <c r="D47" s="10" t="s">
        <v>232</v>
      </c>
      <c r="E47" s="12">
        <v>17541</v>
      </c>
    </row>
    <row r="48" spans="1:5" x14ac:dyDescent="0.25">
      <c r="A48" s="10" t="s">
        <v>210</v>
      </c>
      <c r="B48" s="10" t="s">
        <v>211</v>
      </c>
      <c r="C48" s="10" t="s">
        <v>217</v>
      </c>
      <c r="D48" s="10"/>
      <c r="E48" s="10"/>
    </row>
    <row r="49" spans="1:5" x14ac:dyDescent="0.25">
      <c r="A49" s="10" t="s">
        <v>212</v>
      </c>
      <c r="B49" s="10" t="s">
        <v>213</v>
      </c>
      <c r="C49" s="10" t="s">
        <v>217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2026-03-25T17:13:19Z</dcterms:created>
  <dcterms:modified xsi:type="dcterms:W3CDTF">2026-04-06T12:35:31Z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2026-04-01T06:41:03Z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aa3c9929-99ab-49a0-b7b6-34c4bd351321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