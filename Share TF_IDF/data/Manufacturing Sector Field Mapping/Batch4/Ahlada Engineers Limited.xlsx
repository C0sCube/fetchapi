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AA362CD8-7A4E-4935-8FC9-5E4945F4CE4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<sst xmlns="http://schemas.openxmlformats.org/spreadsheetml/2006/main" count="389" uniqueCount="198">
  <si>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</si>
  <si>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</si>
  <si>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</si>
  <si>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</si>
  <si>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</si>
  <si>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</si>
  <si>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Revenue</t>
  </si>
  <si>
    <t>Total Income</t>
  </si>
  <si>
    <t>Expenses</t>
  </si>
  <si>
    <t>Lable</t>
  </si>
  <si>
    <t>Cost of materials consumed</t>
  </si>
  <si>
    <t>Cost of Materials Consumed</t>
  </si>
  <si>
    <t>Purchase of Trade Goods</t>
  </si>
  <si>
    <t>Purchase of Stock-in-Trade</t>
  </si>
  <si>
    <t xml:space="preserve">Changes in inventories of finished goods, work-in-progress and Stock-in-Trade </t>
  </si>
  <si>
    <t>Changes in Inventories of Finished Goods, Work-In-Progress and Stock-In-Trade</t>
  </si>
  <si>
    <t>Employee Benefit Expenses</t>
  </si>
  <si>
    <t>Employee Benefit Expense</t>
  </si>
  <si>
    <t>Financial costs</t>
  </si>
  <si>
    <t>Finance Costs</t>
  </si>
  <si>
    <t>Depreciation and amortization expenses</t>
  </si>
  <si>
    <t>Depreciation, Depletion and Amortisation Expense</t>
  </si>
  <si>
    <t>Other Expenses</t>
  </si>
  <si>
    <t>Total Expenses</t>
  </si>
  <si>
    <t>Profit before exceptional items &amp;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</si>
  <si>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</si>
  <si>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</si>
  <si>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</si>
  <si>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</si>
  <si>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</si>
  <si>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</si>
  <si>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</si>
  <si>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Deferred tax</t>
  </si>
  <si>
    <t>Deferred Tax</t>
  </si>
  <si>
    <t>Prior Year Taxes</t>
  </si>
  <si>
    <t>Total Tax Expense</t>
  </si>
  <si>
    <t>Total Field</t>
  </si>
  <si>
    <t>Profit after tax</t>
  </si>
  <si>
    <t>Net Profit/(Loss) for the Period</t>
  </si>
  <si>
    <t>Other Comprehensive income</t>
  </si>
  <si>
    <t>Items that will be reclassified to profit or loss</t>
  </si>
  <si>
    <t>Items that will be reclassified to Profit or Loss</t>
  </si>
  <si>
    <t>Revaluation gain/(losses ) on PPE</t>
  </si>
  <si>
    <t>Items that will not be reclassified to Profit or Loss</t>
  </si>
  <si>
    <t>Income tax effect</t>
  </si>
  <si>
    <t>Income Tax related to items that will not be reclassified to Profit or Loss</t>
  </si>
  <si>
    <t>Total other comprehensive income ( net of tax)</t>
  </si>
  <si>
    <t>Other Comprehensive Income</t>
  </si>
  <si>
    <t>Paid up equity share capital (Face value of Rs.10/- each)</t>
  </si>
  <si>
    <t>Paid-Up Equity Share Capital</t>
  </si>
  <si>
    <t>Earnings per share:</t>
  </si>
  <si>
    <t>Basic</t>
  </si>
  <si>
    <t>Diluted</t>
  </si>
  <si>
    <t>Non Current Assets</t>
  </si>
  <si>
    <t>Property, Plant and Equipment</t>
  </si>
  <si>
    <t>Property, Plant &amp; Equipment</t>
  </si>
  <si>
    <t>Financial Assets</t>
  </si>
  <si>
    <t>Trade Receivables</t>
  </si>
  <si>
    <t>Cash and Bank balances</t>
  </si>
  <si>
    <t>Bank balance other than cash and cash equivalents</t>
  </si>
  <si>
    <t>Other Non Current Assets</t>
  </si>
  <si>
    <t>Other Non-Current Assets</t>
  </si>
  <si>
    <t>Total Non Current Assets</t>
  </si>
  <si>
    <t>Total Non-Current Assets</t>
  </si>
  <si>
    <t>Current Assets</t>
  </si>
  <si>
    <t>Inventories</t>
  </si>
  <si>
    <t>Investments</t>
  </si>
  <si>
    <t>Non-Current Investments</t>
  </si>
  <si>
    <t>Cash and Cash Equivalents</t>
  </si>
  <si>
    <t>Cash And Cash Equivalents</t>
  </si>
  <si>
    <t>Loans</t>
  </si>
  <si>
    <t>Loans, Current</t>
  </si>
  <si>
    <t>Others</t>
  </si>
  <si>
    <t>Other Non-Current Financial Assets</t>
  </si>
  <si>
    <t>Current Tax Assets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</si>
  <si>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</si>
  <si>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</si>
  <si>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</si>
  <si>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</si>
  <si>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</si>
  <si>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</si>
  <si>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</si>
  <si>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</si>
  <si>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</si>
  <si>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</si>
  <si>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</si>
  <si>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</si>
  <si>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Current Liabilities</t>
  </si>
  <si>
    <t>Financial Liabilities</t>
  </si>
  <si>
    <t>Borrowings</t>
  </si>
  <si>
    <t>Deferred Tax Liabilities</t>
  </si>
  <si>
    <t>Deferred Tax Liability (Net)</t>
  </si>
  <si>
    <t>Other Non - Current Liabilities</t>
  </si>
  <si>
    <t>Other Non-Current Liabilities</t>
  </si>
  <si>
    <t>Provisions</t>
  </si>
  <si>
    <t>Long-Term Provisions</t>
  </si>
  <si>
    <t>Total Non Current Liabilities</t>
  </si>
  <si>
    <t>Total Non-Current Liabilities</t>
  </si>
  <si>
    <t>Current Liabilities</t>
  </si>
  <si>
    <t>Trade Payables</t>
  </si>
  <si>
    <t>Other Financial Liabilities</t>
  </si>
  <si>
    <t>Other Non Current Financial Liabilities</t>
  </si>
  <si>
    <t>Other Current Liabilities</t>
  </si>
  <si>
    <t>Other liabilities</t>
  </si>
  <si>
    <t>Current Tax Liabilities</t>
  </si>
  <si>
    <t>Current Tax Liabilities (Net)</t>
  </si>
  <si>
    <t>Total Liabilities</t>
  </si>
  <si>
    <t>Total Equity and Liabilities</t>
  </si>
  <si>
    <t>Total Equity And Liabilities</t>
  </si>
  <si>
    <t>Profit Before Tax</t>
  </si>
  <si>
    <t>Net Profit Before Tax And Exceptional Item</t>
  </si>
  <si>
    <t>Adjustments to reconcile Profit before Tax to net Cash Flows :</t>
  </si>
  <si>
    <t>Depreciation of Tangible Assets</t>
  </si>
  <si>
    <t>Depreciation and Amortisation Expense</t>
  </si>
  <si>
    <t>Finance Income ( including fair value change in financial instruments )</t>
  </si>
  <si>
    <t>Interest Income</t>
  </si>
  <si>
    <t>Finance Costs ( including fair value change in financial instruments )</t>
  </si>
  <si>
    <t>Interest Expense</t>
  </si>
  <si>
    <t>- measurement losses on Defined Benefit Plans</t>
  </si>
  <si>
    <t>Others-Before Working Capital Changes</t>
  </si>
  <si>
    <t>Operating Profit before Working Capital changes</t>
  </si>
  <si>
    <t>Operating Profit Before Working Capital Changes</t>
  </si>
  <si>
    <t>Changes in Working Capital :</t>
  </si>
  <si>
    <t>Adjustment for ( increase)/decrease in Operating Assets</t>
  </si>
  <si>
    <t>Trade And Other Receivables</t>
  </si>
  <si>
    <t>Loans And Advances</t>
  </si>
  <si>
    <t>Other Financial Assets - Current</t>
  </si>
  <si>
    <t>Adjustments for other financial assets, current</t>
  </si>
  <si>
    <t>Other Assets</t>
  </si>
  <si>
    <t>Other Current and Non Current Assets</t>
  </si>
  <si>
    <t>Adjustment for increase/(decrease ) in Operating Liabilities</t>
  </si>
  <si>
    <t>Trade Payables And Others</t>
  </si>
  <si>
    <t>Other Financial Liabilities - Current</t>
  </si>
  <si>
    <t>Adjustments for other financial liabilities, current</t>
  </si>
  <si>
    <t xml:space="preserve">Other Non Current, Current Liabilitios </t>
  </si>
  <si>
    <t>Other Current and Non Current Liabilities</t>
  </si>
  <si>
    <t>Cash generated from Operations</t>
  </si>
  <si>
    <t>Cash Generated From Operations</t>
  </si>
  <si>
    <t>Income Taxes paid</t>
  </si>
  <si>
    <t>Income Tax Paid</t>
  </si>
  <si>
    <t>Net Cash generated from/(used in ) operating activities</t>
  </si>
  <si>
    <t>Net Cash Flow From Operating Activities</t>
  </si>
  <si>
    <t>Cash Flows from Investing Activities</t>
  </si>
  <si>
    <t>Purchase of Property, Plant and Equipment and Intangibles (including Capital Work in Progress)</t>
  </si>
  <si>
    <t>Purchase Of Fixed Assets (Tangible / Intangible)</t>
  </si>
  <si>
    <t>Sale of Property, Plant and Equipment</t>
  </si>
  <si>
    <t>Sale Of Fixed Assets (Tangible / Intangible)</t>
  </si>
  <si>
    <t>(Investments in)/margin money deposits</t>
  </si>
  <si>
    <t>Others-Investing Activities</t>
  </si>
  <si>
    <t>(Investments in)/redemption of Mutual Funds, net</t>
  </si>
  <si>
    <t>Purchase Of Investments</t>
  </si>
  <si>
    <t>Interest received ( Finance Income )</t>
  </si>
  <si>
    <t>Interest Received</t>
  </si>
  <si>
    <t>Net Cash used in Investing Activities</t>
  </si>
  <si>
    <t>Net Cash Flow From Investing Activities</t>
  </si>
  <si>
    <t>Cash Flows from Financing Activities</t>
  </si>
  <si>
    <t>Proceeds from/(repayment of ) Long - term Borrowings</t>
  </si>
  <si>
    <t>Repayment Of Long Term Borrowings</t>
  </si>
  <si>
    <t>Proceeds from/(repayment of ) Short - term Borrowings</t>
  </si>
  <si>
    <t>Proceeds From Short Term Borrowings</t>
  </si>
  <si>
    <t>Dividends paid</t>
  </si>
  <si>
    <t>Dividend Paid</t>
  </si>
  <si>
    <t>Interest paid</t>
  </si>
  <si>
    <t>Interest Paid</t>
  </si>
  <si>
    <t>Net Cash provided by Financing Activities</t>
  </si>
  <si>
    <t>Net Cash Flow From Financing Activities</t>
  </si>
  <si>
    <t>Net increase in Cash and Cash Equivalents</t>
  </si>
  <si>
    <t>Net increase (decrease) in cash and cash equivalents before effect of exchange rate changes</t>
  </si>
  <si>
    <t>Cash and Cash Equivalents at the beginning of the year</t>
  </si>
  <si>
    <t>Cash and Cash Equivalents at the Beginning of the Year</t>
  </si>
  <si>
    <t>Cash and Cash Equivalents at the end of the year</t>
  </si>
  <si>
    <t>Cash and Cash Equivalents at the End of the Year</t>
  </si>
  <si>
    <t>Note :</t>
  </si>
  <si>
    <t>Cash and Cash Equivalents comprise :</t>
  </si>
  <si>
    <t>Cash on Hand</t>
  </si>
  <si>
    <t>Balances with Banks :</t>
  </si>
  <si>
    <t>in current accounts</t>
  </si>
  <si>
    <t>Ignore This Field</t>
  </si>
  <si>
    <t>Status</t>
  </si>
  <si>
    <t>Revised Field Mapping</t>
  </si>
  <si>
    <t>Field ID</t>
  </si>
  <si>
    <t>Correct</t>
  </si>
  <si>
    <t>Incorrect</t>
  </si>
  <si>
    <t>Accuracy %</t>
  </si>
  <si>
    <t>Calculated Field</t>
  </si>
  <si>
    <t>Label</t>
  </si>
  <si>
    <t>Total comprehensive income</t>
  </si>
  <si>
    <t>Total Comprehensive Gain (Loss) For the Year</t>
  </si>
  <si>
    <t>Income Tax related to items that will be reclassified to Profit or Loss</t>
  </si>
  <si>
    <t>Basic EPS</t>
  </si>
  <si>
    <t>Diluted EPS</t>
  </si>
  <si>
    <t>Current Investments</t>
  </si>
  <si>
    <t>Other Current Financial Assets</t>
  </si>
  <si>
    <t>Other Current Financial Liabilities</t>
  </si>
  <si>
    <t>Short-Term Provisions</t>
  </si>
  <si>
    <t>Fixed Deposits</t>
  </si>
  <si>
    <t>Investments in Mutual Funds</t>
  </si>
  <si>
    <t>Net Increase in Cash and Cash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</si>
</sst>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>
      <selection activeCell="A2" sqref="A2"/>
    </sheetView>
  </sheetViews>
  <sheetFormatPr defaultRowHeight="15" x14ac:dyDescent="0.25"/>
  <cols>
    <col min="1" max="1" width="65.7109375" bestFit="1" customWidth="1"/>
    <col min="2" max="2" width="69.28515625" customWidth="1"/>
    <col min="3" max="3" width="10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4">
        <f>COUNTIF(C:C,G1)</f>
        <v>24</v>
      </c>
    </row>
    <row r="2" spans="1:8" x14ac:dyDescent="0.25">
      <c r="A2" s="9" t="s">
        <v>2</v>
      </c>
      <c r="B2" s="9" t="s">
        <v>3</v>
      </c>
      <c r="C2" s="9" t="s">
        <v>181</v>
      </c>
      <c r="D2" s="9"/>
      <c r="E2" s="9"/>
      <c r="G2" s="5" t="s">
        <v>182</v>
      </c>
      <c r="H2" s="6">
        <f>COUNTIF(C:C,G2)</f>
        <v>6</v>
      </c>
    </row>
    <row r="3" spans="1:8" ht="15.75" thickBot="1" x14ac:dyDescent="0.3">
      <c r="A3" s="9" t="s">
        <v>4</v>
      </c>
      <c r="B3" s="9" t="s">
        <v>5</v>
      </c>
      <c r="C3" s="9" t="s">
        <v>181</v>
      </c>
      <c r="D3" s="9"/>
      <c r="E3" s="9"/>
      <c r="G3" s="7" t="s">
        <v>183</v>
      </c>
      <c r="H3" s="8">
        <f>H1/SUM(H1:H2)</f>
        <v>0.8</v>
      </c>
    </row>
    <row r="4" spans="1:8" x14ac:dyDescent="0.25">
      <c r="A4" s="9" t="s">
        <v>6</v>
      </c>
      <c r="B4" s="9" t="s">
        <v>7</v>
      </c>
      <c r="C4" s="9" t="s">
        <v>181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181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181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181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181</v>
      </c>
      <c r="D8" s="9"/>
      <c r="E8" s="9"/>
    </row>
    <row r="9" spans="1:8" x14ac:dyDescent="0.25">
      <c r="A9" s="9" t="s">
        <v>16</v>
      </c>
      <c r="B9" s="9" t="s">
        <v>17</v>
      </c>
      <c r="C9" s="9" t="s">
        <v>181</v>
      </c>
      <c r="D9" s="9"/>
      <c r="E9" s="9"/>
    </row>
    <row r="10" spans="1:8" x14ac:dyDescent="0.25">
      <c r="A10" s="9" t="s">
        <v>18</v>
      </c>
      <c r="B10" s="9" t="s">
        <v>19</v>
      </c>
      <c r="C10" s="9" t="s">
        <v>181</v>
      </c>
      <c r="D10" s="9"/>
      <c r="E10" s="9"/>
    </row>
    <row r="11" spans="1:8" x14ac:dyDescent="0.25">
      <c r="A11" s="9" t="s">
        <v>20</v>
      </c>
      <c r="B11" s="9" t="s">
        <v>21</v>
      </c>
      <c r="C11" s="9" t="s">
        <v>181</v>
      </c>
      <c r="D11" s="9"/>
      <c r="E11" s="9"/>
    </row>
    <row r="12" spans="1:8" x14ac:dyDescent="0.25">
      <c r="A12" s="9" t="s">
        <v>22</v>
      </c>
      <c r="B12" s="9" t="s">
        <v>22</v>
      </c>
      <c r="C12" s="9" t="s">
        <v>181</v>
      </c>
      <c r="D12" s="9"/>
      <c r="E12" s="9"/>
    </row>
    <row r="13" spans="1:8" x14ac:dyDescent="0.25">
      <c r="A13" s="9" t="s">
        <v>23</v>
      </c>
      <c r="B13" s="9" t="s">
        <v>23</v>
      </c>
      <c r="C13" s="9" t="s">
        <v>181</v>
      </c>
      <c r="D13" s="9"/>
      <c r="E13" s="9"/>
    </row>
    <row r="14" spans="1:8" x14ac:dyDescent="0.25">
      <c r="A14" s="9" t="s">
        <v>24</v>
      </c>
      <c r="B14" s="9" t="s">
        <v>25</v>
      </c>
      <c r="C14" s="9" t="s">
        <v>181</v>
      </c>
      <c r="D14" s="9"/>
      <c r="E14" s="9"/>
    </row>
    <row r="15" spans="1:8" x14ac:dyDescent="0.25">
      <c r="A15" s="9" t="s">
        <v>26</v>
      </c>
      <c r="B15" s="9" t="s">
        <v>27</v>
      </c>
      <c r="C15" s="9" t="s">
        <v>181</v>
      </c>
      <c r="D15" s="9"/>
      <c r="E15" s="9"/>
    </row>
    <row r="16" spans="1:8" x14ac:dyDescent="0.25">
      <c r="A16" s="9" t="s">
        <v>28</v>
      </c>
      <c r="B16" s="9" t="s">
        <v>29</v>
      </c>
      <c r="C16" s="9" t="s">
        <v>181</v>
      </c>
      <c r="D16" s="9"/>
      <c r="E16" s="9"/>
    </row>
    <row r="17" spans="1:5" x14ac:dyDescent="0.25">
      <c r="A17" s="9" t="s">
        <v>30</v>
      </c>
      <c r="B17" s="9" t="s">
        <v>9</v>
      </c>
      <c r="C17" s="9" t="s">
        <v>181</v>
      </c>
      <c r="D17" s="9"/>
      <c r="E17" s="9"/>
    </row>
    <row r="18" spans="1:5" x14ac:dyDescent="0.25">
      <c r="A18" s="9" t="s">
        <v>31</v>
      </c>
      <c r="B18" s="9" t="s">
        <v>30</v>
      </c>
      <c r="C18" s="9" t="s">
        <v>181</v>
      </c>
      <c r="D18" s="9"/>
      <c r="E18" s="9"/>
    </row>
    <row r="19" spans="1:5" x14ac:dyDescent="0.25">
      <c r="A19" s="9" t="s">
        <v>32</v>
      </c>
      <c r="B19" s="9" t="s">
        <v>33</v>
      </c>
      <c r="C19" s="9" t="s">
        <v>181</v>
      </c>
      <c r="D19" s="9"/>
      <c r="E19" s="9"/>
    </row>
    <row r="20" spans="1:5" x14ac:dyDescent="0.25">
      <c r="A20" s="9" t="s">
        <v>34</v>
      </c>
      <c r="B20" s="9" t="s">
        <v>30</v>
      </c>
      <c r="C20" s="9" t="s">
        <v>181</v>
      </c>
      <c r="E20" s="9"/>
    </row>
    <row r="21" spans="1:5" x14ac:dyDescent="0.25">
      <c r="A21" s="9" t="s">
        <v>35</v>
      </c>
      <c r="B21" s="9" t="s">
        <v>36</v>
      </c>
      <c r="C21" s="9"/>
      <c r="D21" s="9" t="s">
        <v>184</v>
      </c>
      <c r="E21" s="9"/>
    </row>
    <row r="22" spans="1:5" x14ac:dyDescent="0.25">
      <c r="A22" s="9" t="s">
        <v>37</v>
      </c>
      <c r="B22" s="9" t="s">
        <v>38</v>
      </c>
      <c r="C22" s="9" t="s">
        <v>181</v>
      </c>
      <c r="D22" s="9"/>
      <c r="E22" s="9"/>
    </row>
    <row r="23" spans="1:5" x14ac:dyDescent="0.25">
      <c r="A23" s="9" t="s">
        <v>39</v>
      </c>
      <c r="B23" s="9" t="s">
        <v>9</v>
      </c>
      <c r="C23" s="9" t="s">
        <v>181</v>
      </c>
      <c r="D23" s="9"/>
      <c r="E23" s="9"/>
    </row>
    <row r="24" spans="1:5" x14ac:dyDescent="0.25">
      <c r="A24" s="9" t="s">
        <v>40</v>
      </c>
      <c r="B24" s="9" t="s">
        <v>41</v>
      </c>
      <c r="C24" s="9" t="s">
        <v>182</v>
      </c>
      <c r="D24" s="9" t="s">
        <v>185</v>
      </c>
      <c r="E24" s="9"/>
    </row>
    <row r="25" spans="1:5" x14ac:dyDescent="0.25">
      <c r="A25" s="9" t="s">
        <v>42</v>
      </c>
      <c r="B25" s="9" t="s">
        <v>43</v>
      </c>
      <c r="C25" s="9" t="s">
        <v>182</v>
      </c>
      <c r="D25" s="9" t="s">
        <v>41</v>
      </c>
      <c r="E25" s="10">
        <v>22294</v>
      </c>
    </row>
    <row r="26" spans="1:5" x14ac:dyDescent="0.25">
      <c r="A26" s="9" t="s">
        <v>44</v>
      </c>
      <c r="B26" s="9" t="s">
        <v>45</v>
      </c>
      <c r="C26" s="9" t="s">
        <v>182</v>
      </c>
      <c r="D26" s="9" t="s">
        <v>188</v>
      </c>
      <c r="E26" s="10">
        <v>22296</v>
      </c>
    </row>
    <row r="27" spans="1:5" x14ac:dyDescent="0.25">
      <c r="A27" s="9" t="s">
        <v>46</v>
      </c>
      <c r="B27" s="9" t="s">
        <v>47</v>
      </c>
      <c r="C27" s="9" t="s">
        <v>181</v>
      </c>
      <c r="D27" s="9"/>
      <c r="E27" s="9"/>
    </row>
    <row r="28" spans="1:5" x14ac:dyDescent="0.25">
      <c r="A28" s="9" t="s">
        <v>186</v>
      </c>
      <c r="B28" s="9" t="s">
        <v>9</v>
      </c>
      <c r="C28" s="9" t="s">
        <v>182</v>
      </c>
      <c r="D28" s="9" t="s">
        <v>187</v>
      </c>
      <c r="E28" s="10">
        <v>20019</v>
      </c>
    </row>
    <row r="29" spans="1:5" x14ac:dyDescent="0.25">
      <c r="A29" s="9" t="s">
        <v>48</v>
      </c>
      <c r="B29" s="9" t="s">
        <v>49</v>
      </c>
      <c r="C29" s="9" t="s">
        <v>181</v>
      </c>
      <c r="D29" s="9"/>
      <c r="E29" s="9"/>
    </row>
    <row r="30" spans="1:5" x14ac:dyDescent="0.25">
      <c r="A30" s="9" t="s">
        <v>50</v>
      </c>
      <c r="B30" s="9" t="s">
        <v>9</v>
      </c>
      <c r="C30" s="9" t="s">
        <v>181</v>
      </c>
      <c r="D30" s="9"/>
      <c r="E30" s="9"/>
    </row>
    <row r="31" spans="1:5" x14ac:dyDescent="0.25">
      <c r="A31" s="9" t="s">
        <v>51</v>
      </c>
      <c r="B31" s="9" t="s">
        <v>9</v>
      </c>
      <c r="C31" s="9" t="s">
        <v>182</v>
      </c>
      <c r="D31" s="9" t="s">
        <v>189</v>
      </c>
      <c r="E31" s="10">
        <v>222</v>
      </c>
    </row>
    <row r="32" spans="1:5" x14ac:dyDescent="0.25">
      <c r="A32" s="9" t="s">
        <v>52</v>
      </c>
      <c r="B32" s="9" t="s">
        <v>9</v>
      </c>
      <c r="C32" s="9" t="s">
        <v>182</v>
      </c>
      <c r="D32" s="9" t="s">
        <v>190</v>
      </c>
      <c r="E32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"/>
  <sheetViews>
    <sheetView workbookViewId="0"/>
  </sheetViews>
  <sheetFormatPr defaultRowHeight="15" x14ac:dyDescent="0.25"/>
  <cols>
    <col min="1" max="1" width="29.7109375" customWidth="1"/>
    <col min="2" max="2" width="41.7109375" customWidth="1"/>
    <col min="3" max="3" width="10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4">
        <f>COUNTIF(C:C,G1)</f>
        <v>35</v>
      </c>
    </row>
    <row r="2" spans="1:8" x14ac:dyDescent="0.25">
      <c r="A2" s="9" t="s">
        <v>53</v>
      </c>
      <c r="B2" s="9" t="s">
        <v>9</v>
      </c>
      <c r="C2" s="9" t="s">
        <v>181</v>
      </c>
      <c r="D2" s="9"/>
      <c r="E2" s="9"/>
      <c r="G2" s="5" t="s">
        <v>182</v>
      </c>
      <c r="H2" s="6">
        <f>COUNTIF(C:C,G2)</f>
        <v>5</v>
      </c>
    </row>
    <row r="3" spans="1:8" ht="15.75" thickBot="1" x14ac:dyDescent="0.3">
      <c r="A3" s="9" t="s">
        <v>54</v>
      </c>
      <c r="B3" s="9" t="s">
        <v>55</v>
      </c>
      <c r="C3" s="9" t="s">
        <v>181</v>
      </c>
      <c r="D3" s="9"/>
      <c r="E3" s="9"/>
      <c r="G3" s="7" t="s">
        <v>183</v>
      </c>
      <c r="H3" s="8">
        <f>H1/SUM(H1:H2)</f>
        <v>0.875</v>
      </c>
    </row>
    <row r="4" spans="1:8" x14ac:dyDescent="0.25">
      <c r="A4" s="9" t="s">
        <v>56</v>
      </c>
      <c r="B4" s="9" t="s">
        <v>9</v>
      </c>
      <c r="C4" s="9" t="s">
        <v>181</v>
      </c>
      <c r="D4" s="9"/>
      <c r="E4" s="10"/>
    </row>
    <row r="5" spans="1:8" x14ac:dyDescent="0.25">
      <c r="A5" s="9" t="s">
        <v>57</v>
      </c>
      <c r="B5" s="9" t="s">
        <v>57</v>
      </c>
      <c r="C5" s="9" t="s">
        <v>181</v>
      </c>
      <c r="D5" s="9" t="s">
        <v>57</v>
      </c>
      <c r="E5" s="10">
        <v>20218</v>
      </c>
    </row>
    <row r="6" spans="1:8" x14ac:dyDescent="0.25">
      <c r="A6" s="9" t="s">
        <v>58</v>
      </c>
      <c r="B6" s="9" t="s">
        <v>59</v>
      </c>
      <c r="C6" s="9" t="s">
        <v>182</v>
      </c>
      <c r="D6" s="9" t="s">
        <v>61</v>
      </c>
      <c r="E6" s="10">
        <v>13753</v>
      </c>
    </row>
    <row r="7" spans="1:8" x14ac:dyDescent="0.25">
      <c r="A7" s="9" t="s">
        <v>60</v>
      </c>
      <c r="B7" s="9" t="s">
        <v>61</v>
      </c>
      <c r="C7" s="9" t="s">
        <v>181</v>
      </c>
      <c r="D7" s="9"/>
      <c r="E7" s="9"/>
    </row>
    <row r="8" spans="1:8" x14ac:dyDescent="0.25">
      <c r="A8" s="9" t="s">
        <v>62</v>
      </c>
      <c r="B8" s="9" t="s">
        <v>63</v>
      </c>
      <c r="C8" s="9" t="s">
        <v>181</v>
      </c>
      <c r="D8" s="9"/>
      <c r="E8" s="9"/>
    </row>
    <row r="9" spans="1:8" x14ac:dyDescent="0.25">
      <c r="A9" s="9" t="s">
        <v>64</v>
      </c>
      <c r="B9" s="9" t="s">
        <v>9</v>
      </c>
      <c r="C9" s="9" t="s">
        <v>181</v>
      </c>
      <c r="D9" s="9"/>
      <c r="E9" s="9"/>
    </row>
    <row r="10" spans="1:8" x14ac:dyDescent="0.25">
      <c r="A10" s="9" t="s">
        <v>65</v>
      </c>
      <c r="B10" s="9" t="s">
        <v>65</v>
      </c>
      <c r="C10" s="9" t="s">
        <v>181</v>
      </c>
      <c r="D10" s="9"/>
      <c r="E10" s="9"/>
    </row>
    <row r="11" spans="1:8" x14ac:dyDescent="0.25">
      <c r="A11" s="9" t="s">
        <v>56</v>
      </c>
      <c r="B11" s="9" t="s">
        <v>9</v>
      </c>
      <c r="C11" s="9" t="s">
        <v>181</v>
      </c>
      <c r="D11" s="9"/>
      <c r="E11" s="9"/>
    </row>
    <row r="12" spans="1:8" x14ac:dyDescent="0.25">
      <c r="A12" s="9" t="s">
        <v>66</v>
      </c>
      <c r="B12" s="9" t="s">
        <v>67</v>
      </c>
      <c r="C12" s="9" t="s">
        <v>182</v>
      </c>
      <c r="D12" s="9" t="s">
        <v>191</v>
      </c>
      <c r="E12" s="10">
        <v>13724</v>
      </c>
    </row>
    <row r="13" spans="1:8" x14ac:dyDescent="0.25">
      <c r="A13" s="9" t="s">
        <v>57</v>
      </c>
      <c r="B13" s="9" t="s">
        <v>57</v>
      </c>
      <c r="C13" s="9" t="s">
        <v>181</v>
      </c>
      <c r="D13" s="9" t="s">
        <v>57</v>
      </c>
      <c r="E13" s="10">
        <v>13780</v>
      </c>
    </row>
    <row r="14" spans="1:8" x14ac:dyDescent="0.25">
      <c r="A14" s="9" t="s">
        <v>68</v>
      </c>
      <c r="B14" s="9" t="s">
        <v>69</v>
      </c>
      <c r="C14" s="9" t="s">
        <v>181</v>
      </c>
      <c r="D14" s="9"/>
      <c r="E14" s="9"/>
    </row>
    <row r="15" spans="1:8" x14ac:dyDescent="0.25">
      <c r="A15" s="9" t="s">
        <v>70</v>
      </c>
      <c r="B15" s="9" t="s">
        <v>71</v>
      </c>
      <c r="C15" s="9" t="s">
        <v>181</v>
      </c>
      <c r="D15" s="9" t="s">
        <v>71</v>
      </c>
      <c r="E15" s="10">
        <v>20230</v>
      </c>
    </row>
    <row r="16" spans="1:8" x14ac:dyDescent="0.25">
      <c r="A16" s="9" t="s">
        <v>72</v>
      </c>
      <c r="B16" s="9" t="s">
        <v>73</v>
      </c>
      <c r="C16" s="9" t="s">
        <v>182</v>
      </c>
      <c r="D16" s="9" t="s">
        <v>192</v>
      </c>
      <c r="E16" s="10">
        <v>20231</v>
      </c>
    </row>
    <row r="17" spans="1:5" x14ac:dyDescent="0.25">
      <c r="A17" s="9" t="s">
        <v>74</v>
      </c>
      <c r="B17" s="9" t="s">
        <v>75</v>
      </c>
      <c r="C17" s="9" t="s">
        <v>181</v>
      </c>
      <c r="D17" s="9"/>
      <c r="E17" s="9"/>
    </row>
    <row r="18" spans="1:5" x14ac:dyDescent="0.25">
      <c r="A18" s="9" t="s">
        <v>76</v>
      </c>
      <c r="B18" s="9" t="s">
        <v>76</v>
      </c>
      <c r="C18" s="9" t="s">
        <v>181</v>
      </c>
      <c r="D18" s="9"/>
      <c r="E18" s="9"/>
    </row>
    <row r="19" spans="1:5" x14ac:dyDescent="0.25">
      <c r="A19" s="9" t="s">
        <v>77</v>
      </c>
      <c r="B19" s="9" t="s">
        <v>77</v>
      </c>
      <c r="C19" s="9" t="s">
        <v>181</v>
      </c>
      <c r="D19" s="9"/>
      <c r="E19" s="9"/>
    </row>
    <row r="20" spans="1:5" x14ac:dyDescent="0.25">
      <c r="A20" s="9" t="s">
        <v>78</v>
      </c>
      <c r="B20" s="9" t="s">
        <v>78</v>
      </c>
      <c r="C20" s="9" t="s">
        <v>181</v>
      </c>
      <c r="D20" s="9"/>
      <c r="E20" s="9"/>
    </row>
    <row r="21" spans="1:5" x14ac:dyDescent="0.25">
      <c r="A21" s="9" t="s">
        <v>79</v>
      </c>
      <c r="B21" s="9" t="s">
        <v>9</v>
      </c>
      <c r="C21" s="9" t="s">
        <v>181</v>
      </c>
      <c r="D21" s="9"/>
      <c r="E21" s="9"/>
    </row>
    <row r="22" spans="1:5" x14ac:dyDescent="0.25">
      <c r="A22" s="9" t="s">
        <v>80</v>
      </c>
      <c r="B22" s="9" t="s">
        <v>9</v>
      </c>
      <c r="C22" s="9" t="s">
        <v>181</v>
      </c>
      <c r="D22" s="9"/>
      <c r="E22" s="9"/>
    </row>
    <row r="23" spans="1:5" x14ac:dyDescent="0.25">
      <c r="A23" s="9" t="s">
        <v>81</v>
      </c>
      <c r="B23" s="9" t="s">
        <v>82</v>
      </c>
      <c r="C23" s="9" t="s">
        <v>181</v>
      </c>
      <c r="D23" s="9"/>
      <c r="E23" s="9"/>
    </row>
    <row r="24" spans="1:5" x14ac:dyDescent="0.25">
      <c r="A24" s="9" t="s">
        <v>83</v>
      </c>
      <c r="B24" s="9" t="s">
        <v>84</v>
      </c>
      <c r="C24" s="9" t="s">
        <v>181</v>
      </c>
      <c r="D24" s="9"/>
      <c r="E24" s="9"/>
    </row>
    <row r="25" spans="1:5" x14ac:dyDescent="0.25">
      <c r="A25" s="9" t="s">
        <v>85</v>
      </c>
      <c r="B25" s="9" t="s">
        <v>86</v>
      </c>
      <c r="C25" s="9" t="s">
        <v>181</v>
      </c>
      <c r="D25" s="9"/>
      <c r="E25" s="9"/>
    </row>
    <row r="26" spans="1:5" x14ac:dyDescent="0.25">
      <c r="A26" s="9" t="s">
        <v>87</v>
      </c>
      <c r="B26" s="9" t="s">
        <v>9</v>
      </c>
      <c r="C26" s="9" t="s">
        <v>181</v>
      </c>
      <c r="D26" s="9"/>
      <c r="E26" s="9"/>
    </row>
    <row r="27" spans="1:5" x14ac:dyDescent="0.25">
      <c r="A27" s="9" t="s">
        <v>88</v>
      </c>
      <c r="B27" s="9" t="s">
        <v>9</v>
      </c>
      <c r="C27" s="9" t="s">
        <v>181</v>
      </c>
      <c r="D27" s="9"/>
      <c r="E27" s="9"/>
    </row>
    <row r="28" spans="1:5" x14ac:dyDescent="0.25">
      <c r="A28" s="9" t="s">
        <v>89</v>
      </c>
      <c r="B28" s="9" t="s">
        <v>89</v>
      </c>
      <c r="C28" s="9" t="s">
        <v>181</v>
      </c>
      <c r="D28" s="9" t="s">
        <v>89</v>
      </c>
      <c r="E28" s="10">
        <v>20223</v>
      </c>
    </row>
    <row r="29" spans="1:5" x14ac:dyDescent="0.25">
      <c r="A29" s="9" t="s">
        <v>90</v>
      </c>
      <c r="B29" s="9" t="s">
        <v>91</v>
      </c>
      <c r="C29" s="9" t="s">
        <v>181</v>
      </c>
      <c r="D29" s="9"/>
      <c r="E29" s="9"/>
    </row>
    <row r="30" spans="1:5" x14ac:dyDescent="0.25">
      <c r="A30" s="9" t="s">
        <v>92</v>
      </c>
      <c r="B30" s="9" t="s">
        <v>93</v>
      </c>
      <c r="C30" s="9" t="s">
        <v>181</v>
      </c>
      <c r="D30" s="9"/>
      <c r="E30" s="9"/>
    </row>
    <row r="31" spans="1:5" x14ac:dyDescent="0.25">
      <c r="A31" s="9" t="s">
        <v>94</v>
      </c>
      <c r="B31" s="9" t="s">
        <v>95</v>
      </c>
      <c r="C31" s="9" t="s">
        <v>181</v>
      </c>
      <c r="D31" s="9" t="s">
        <v>95</v>
      </c>
      <c r="E31" s="10">
        <v>13743</v>
      </c>
    </row>
    <row r="32" spans="1:5" x14ac:dyDescent="0.25">
      <c r="A32" s="9" t="s">
        <v>96</v>
      </c>
      <c r="B32" s="9" t="s">
        <v>97</v>
      </c>
      <c r="C32" s="9" t="s">
        <v>181</v>
      </c>
      <c r="D32" s="9"/>
      <c r="E32" s="9"/>
    </row>
    <row r="33" spans="1:5" x14ac:dyDescent="0.25">
      <c r="A33" s="9" t="s">
        <v>98</v>
      </c>
      <c r="B33" s="9" t="s">
        <v>9</v>
      </c>
      <c r="C33" s="9" t="s">
        <v>181</v>
      </c>
      <c r="D33" s="9"/>
      <c r="E33" s="9"/>
    </row>
    <row r="34" spans="1:5" x14ac:dyDescent="0.25">
      <c r="A34" s="9" t="s">
        <v>88</v>
      </c>
      <c r="B34" s="9" t="s">
        <v>9</v>
      </c>
      <c r="C34" s="9" t="s">
        <v>181</v>
      </c>
      <c r="D34" s="9"/>
      <c r="E34" s="9"/>
    </row>
    <row r="35" spans="1:5" x14ac:dyDescent="0.25">
      <c r="A35" s="9" t="s">
        <v>89</v>
      </c>
      <c r="B35" s="9" t="s">
        <v>89</v>
      </c>
      <c r="C35" s="9" t="s">
        <v>181</v>
      </c>
      <c r="D35" s="9" t="s">
        <v>89</v>
      </c>
      <c r="E35" s="10">
        <v>20209</v>
      </c>
    </row>
    <row r="36" spans="1:5" x14ac:dyDescent="0.25">
      <c r="A36" s="9" t="s">
        <v>99</v>
      </c>
      <c r="B36" s="9" t="s">
        <v>99</v>
      </c>
      <c r="C36" s="9" t="s">
        <v>181</v>
      </c>
      <c r="D36" s="9"/>
      <c r="E36" s="9"/>
    </row>
    <row r="37" spans="1:5" x14ac:dyDescent="0.25">
      <c r="A37" s="9" t="s">
        <v>100</v>
      </c>
      <c r="B37" s="9" t="s">
        <v>101</v>
      </c>
      <c r="C37" s="9" t="s">
        <v>182</v>
      </c>
      <c r="D37" s="9" t="s">
        <v>193</v>
      </c>
      <c r="E37" s="10">
        <v>20214</v>
      </c>
    </row>
    <row r="38" spans="1:5" x14ac:dyDescent="0.25">
      <c r="A38" s="9" t="s">
        <v>102</v>
      </c>
      <c r="B38" s="9" t="s">
        <v>103</v>
      </c>
      <c r="C38" s="9" t="s">
        <v>181</v>
      </c>
      <c r="D38" s="9"/>
      <c r="E38" s="9"/>
    </row>
    <row r="39" spans="1:5" x14ac:dyDescent="0.25">
      <c r="A39" s="9" t="s">
        <v>94</v>
      </c>
      <c r="B39" s="9" t="s">
        <v>95</v>
      </c>
      <c r="C39" s="9" t="s">
        <v>182</v>
      </c>
      <c r="D39" s="9" t="s">
        <v>194</v>
      </c>
      <c r="E39" s="10">
        <v>13767</v>
      </c>
    </row>
    <row r="40" spans="1:5" x14ac:dyDescent="0.25">
      <c r="A40" s="9" t="s">
        <v>104</v>
      </c>
      <c r="B40" s="9" t="s">
        <v>105</v>
      </c>
      <c r="C40" s="9" t="s">
        <v>181</v>
      </c>
      <c r="D40" s="9"/>
      <c r="E40" s="9"/>
    </row>
    <row r="41" spans="1:5" x14ac:dyDescent="0.25">
      <c r="A41" s="9" t="s">
        <v>106</v>
      </c>
      <c r="B41" s="9" t="s">
        <v>36</v>
      </c>
      <c r="C41" s="9"/>
      <c r="D41" s="9" t="s">
        <v>184</v>
      </c>
      <c r="E41" s="9"/>
    </row>
    <row r="42" spans="1:5" x14ac:dyDescent="0.25">
      <c r="A42" s="9" t="s">
        <v>107</v>
      </c>
      <c r="B42" s="9" t="s">
        <v>108</v>
      </c>
      <c r="C42" s="9" t="s">
        <v>181</v>
      </c>
      <c r="D42" s="9"/>
      <c r="E4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tabSelected="1" workbookViewId="0"/>
  </sheetViews>
  <sheetFormatPr defaultRowHeight="15" x14ac:dyDescent="0.25"/>
  <cols>
    <col min="1" max="1" width="63.7109375" customWidth="1"/>
    <col min="2" max="2" width="49.5703125" customWidth="1"/>
    <col min="3" max="3" width="10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178</v>
      </c>
      <c r="D1" s="2" t="s">
        <v>179</v>
      </c>
      <c r="E1" s="2" t="s">
        <v>180</v>
      </c>
      <c r="G1" s="3" t="s">
        <v>181</v>
      </c>
      <c r="H1" s="4">
        <f>COUNTIF(C:C,G1)</f>
        <v>35</v>
      </c>
    </row>
    <row r="2" spans="1:8" x14ac:dyDescent="0.25">
      <c r="A2" s="9" t="s">
        <v>109</v>
      </c>
      <c r="B2" s="9" t="s">
        <v>110</v>
      </c>
      <c r="C2" s="9" t="s">
        <v>181</v>
      </c>
      <c r="D2" s="9"/>
      <c r="E2" s="9"/>
      <c r="G2" s="5" t="s">
        <v>182</v>
      </c>
      <c r="H2" s="6">
        <f>COUNTIF(C:C,G2)</f>
        <v>3</v>
      </c>
    </row>
    <row r="3" spans="1:8" ht="15.75" thickBot="1" x14ac:dyDescent="0.3">
      <c r="A3" s="9" t="s">
        <v>111</v>
      </c>
      <c r="B3" s="9" t="s">
        <v>9</v>
      </c>
      <c r="C3" s="9" t="s">
        <v>181</v>
      </c>
      <c r="D3" s="9"/>
      <c r="E3" s="9"/>
      <c r="G3" s="7" t="s">
        <v>183</v>
      </c>
      <c r="H3" s="8">
        <f>H1/SUM(H1:H2)</f>
        <v>0.92105263157894735</v>
      </c>
    </row>
    <row r="4" spans="1:8" x14ac:dyDescent="0.25">
      <c r="A4" s="9" t="s">
        <v>112</v>
      </c>
      <c r="B4" s="9" t="s">
        <v>113</v>
      </c>
      <c r="C4" s="9" t="s">
        <v>181</v>
      </c>
      <c r="D4" s="9"/>
      <c r="E4" s="9"/>
    </row>
    <row r="5" spans="1:8" x14ac:dyDescent="0.25">
      <c r="A5" s="9" t="s">
        <v>114</v>
      </c>
      <c r="B5" s="9" t="s">
        <v>115</v>
      </c>
      <c r="C5" s="9" t="s">
        <v>181</v>
      </c>
      <c r="D5" s="9"/>
      <c r="E5" s="9"/>
    </row>
    <row r="6" spans="1:8" x14ac:dyDescent="0.25">
      <c r="A6" s="9" t="s">
        <v>116</v>
      </c>
      <c r="B6" s="9" t="s">
        <v>117</v>
      </c>
      <c r="C6" s="9" t="s">
        <v>181</v>
      </c>
      <c r="D6" s="9"/>
      <c r="E6" s="9"/>
    </row>
    <row r="7" spans="1:8" x14ac:dyDescent="0.25">
      <c r="A7" s="9" t="s">
        <v>118</v>
      </c>
      <c r="B7" s="9" t="s">
        <v>119</v>
      </c>
      <c r="C7" s="9" t="s">
        <v>181</v>
      </c>
      <c r="D7" s="9"/>
      <c r="E7" s="9"/>
    </row>
    <row r="8" spans="1:8" x14ac:dyDescent="0.25">
      <c r="A8" s="9" t="s">
        <v>120</v>
      </c>
      <c r="B8" s="9" t="s">
        <v>121</v>
      </c>
      <c r="C8" s="9" t="s">
        <v>181</v>
      </c>
      <c r="D8" s="9"/>
      <c r="E8" s="9"/>
    </row>
    <row r="9" spans="1:8" x14ac:dyDescent="0.25">
      <c r="A9" s="9" t="s">
        <v>122</v>
      </c>
      <c r="B9" s="9" t="s">
        <v>9</v>
      </c>
      <c r="C9" s="9" t="s">
        <v>181</v>
      </c>
      <c r="D9" s="9"/>
      <c r="E9" s="9"/>
    </row>
    <row r="10" spans="1:8" x14ac:dyDescent="0.25">
      <c r="A10" s="9" t="s">
        <v>123</v>
      </c>
      <c r="B10" s="9" t="s">
        <v>9</v>
      </c>
      <c r="C10" s="9" t="s">
        <v>181</v>
      </c>
      <c r="D10" s="9"/>
      <c r="E10" s="9"/>
    </row>
    <row r="11" spans="1:8" x14ac:dyDescent="0.25">
      <c r="A11" s="9" t="s">
        <v>65</v>
      </c>
      <c r="B11" s="9" t="s">
        <v>65</v>
      </c>
      <c r="C11" s="9" t="s">
        <v>181</v>
      </c>
      <c r="D11" s="9"/>
      <c r="E11" s="9"/>
    </row>
    <row r="12" spans="1:8" x14ac:dyDescent="0.25">
      <c r="A12" s="9" t="s">
        <v>57</v>
      </c>
      <c r="B12" s="9" t="s">
        <v>124</v>
      </c>
      <c r="C12" s="9" t="s">
        <v>181</v>
      </c>
      <c r="D12" s="9"/>
      <c r="E12" s="9"/>
    </row>
    <row r="13" spans="1:8" x14ac:dyDescent="0.25">
      <c r="A13" s="9" t="s">
        <v>70</v>
      </c>
      <c r="B13" s="9" t="s">
        <v>125</v>
      </c>
      <c r="C13" s="9" t="s">
        <v>181</v>
      </c>
      <c r="D13" s="9"/>
      <c r="E13" s="9"/>
    </row>
    <row r="14" spans="1:8" x14ac:dyDescent="0.25">
      <c r="A14" s="9" t="s">
        <v>126</v>
      </c>
      <c r="B14" s="9" t="s">
        <v>127</v>
      </c>
      <c r="C14" s="9" t="s">
        <v>181</v>
      </c>
      <c r="D14" s="9"/>
      <c r="E14" s="9"/>
    </row>
    <row r="15" spans="1:8" x14ac:dyDescent="0.25">
      <c r="A15" s="9" t="s">
        <v>128</v>
      </c>
      <c r="B15" s="9" t="s">
        <v>129</v>
      </c>
      <c r="C15" s="9" t="s">
        <v>181</v>
      </c>
      <c r="D15" s="9"/>
      <c r="E15" s="9"/>
    </row>
    <row r="16" spans="1:8" x14ac:dyDescent="0.25">
      <c r="A16" s="9" t="s">
        <v>130</v>
      </c>
      <c r="B16" s="9" t="s">
        <v>9</v>
      </c>
      <c r="C16" s="9" t="s">
        <v>181</v>
      </c>
      <c r="D16" s="9"/>
      <c r="E16" s="9"/>
    </row>
    <row r="17" spans="1:5" x14ac:dyDescent="0.25">
      <c r="A17" s="9" t="s">
        <v>99</v>
      </c>
      <c r="B17" s="9" t="s">
        <v>131</v>
      </c>
      <c r="C17" s="9" t="s">
        <v>181</v>
      </c>
      <c r="D17" s="9"/>
      <c r="E17" s="9"/>
    </row>
    <row r="18" spans="1:5" x14ac:dyDescent="0.25">
      <c r="A18" s="9" t="s">
        <v>132</v>
      </c>
      <c r="B18" s="9" t="s">
        <v>133</v>
      </c>
      <c r="C18" s="9" t="s">
        <v>181</v>
      </c>
      <c r="D18" s="9"/>
      <c r="E18" s="9"/>
    </row>
    <row r="19" spans="1:5" x14ac:dyDescent="0.25">
      <c r="A19" s="9" t="s">
        <v>134</v>
      </c>
      <c r="B19" s="9" t="s">
        <v>135</v>
      </c>
      <c r="C19" s="9" t="s">
        <v>181</v>
      </c>
      <c r="D19" s="9"/>
      <c r="E19" s="9"/>
    </row>
    <row r="20" spans="1:5" x14ac:dyDescent="0.25">
      <c r="A20" s="9" t="s">
        <v>94</v>
      </c>
      <c r="B20" s="9" t="s">
        <v>94</v>
      </c>
      <c r="C20" s="9" t="s">
        <v>181</v>
      </c>
      <c r="D20" s="9"/>
      <c r="E20" s="9"/>
    </row>
    <row r="21" spans="1:5" x14ac:dyDescent="0.25">
      <c r="A21" s="9" t="s">
        <v>136</v>
      </c>
      <c r="B21" s="9" t="s">
        <v>137</v>
      </c>
      <c r="C21" s="9" t="s">
        <v>181</v>
      </c>
      <c r="D21" s="9"/>
      <c r="E21" s="9"/>
    </row>
    <row r="22" spans="1:5" x14ac:dyDescent="0.25">
      <c r="A22" s="9" t="s">
        <v>138</v>
      </c>
      <c r="B22" s="9" t="s">
        <v>139</v>
      </c>
      <c r="C22" s="9" t="s">
        <v>181</v>
      </c>
      <c r="D22" s="9"/>
      <c r="E22" s="9"/>
    </row>
    <row r="23" spans="1:5" x14ac:dyDescent="0.25">
      <c r="A23" s="9" t="s">
        <v>140</v>
      </c>
      <c r="B23" s="9" t="s">
        <v>141</v>
      </c>
      <c r="C23" s="9" t="s">
        <v>181</v>
      </c>
      <c r="D23" s="9"/>
      <c r="E23" s="9"/>
    </row>
    <row r="24" spans="1:5" x14ac:dyDescent="0.25">
      <c r="A24" s="9" t="s">
        <v>142</v>
      </c>
      <c r="B24" s="9" t="s">
        <v>9</v>
      </c>
      <c r="C24" s="9" t="s">
        <v>181</v>
      </c>
      <c r="D24" s="9"/>
      <c r="E24" s="9"/>
    </row>
    <row r="25" spans="1:5" x14ac:dyDescent="0.25">
      <c r="A25" s="9" t="s">
        <v>143</v>
      </c>
      <c r="B25" s="9" t="s">
        <v>144</v>
      </c>
      <c r="C25" s="9" t="s">
        <v>181</v>
      </c>
      <c r="D25" s="9"/>
      <c r="E25" s="9"/>
    </row>
    <row r="26" spans="1:5" x14ac:dyDescent="0.25">
      <c r="A26" s="9" t="s">
        <v>145</v>
      </c>
      <c r="B26" s="9" t="s">
        <v>146</v>
      </c>
      <c r="C26" s="9" t="s">
        <v>181</v>
      </c>
      <c r="D26" s="9"/>
      <c r="E26" s="9"/>
    </row>
    <row r="27" spans="1:5" x14ac:dyDescent="0.25">
      <c r="A27" s="9" t="s">
        <v>147</v>
      </c>
      <c r="B27" s="9" t="s">
        <v>148</v>
      </c>
      <c r="C27" s="9" t="s">
        <v>182</v>
      </c>
      <c r="D27" s="9" t="s">
        <v>195</v>
      </c>
      <c r="E27" s="10">
        <v>30412</v>
      </c>
    </row>
    <row r="28" spans="1:5" x14ac:dyDescent="0.25">
      <c r="A28" s="9" t="s">
        <v>149</v>
      </c>
      <c r="B28" s="9" t="s">
        <v>150</v>
      </c>
      <c r="C28" s="9" t="s">
        <v>182</v>
      </c>
      <c r="D28" s="9" t="s">
        <v>196</v>
      </c>
      <c r="E28" s="10">
        <v>30489</v>
      </c>
    </row>
    <row r="29" spans="1:5" x14ac:dyDescent="0.25">
      <c r="A29" s="9" t="s">
        <v>151</v>
      </c>
      <c r="B29" s="9" t="s">
        <v>152</v>
      </c>
      <c r="C29" s="9" t="s">
        <v>181</v>
      </c>
      <c r="D29" s="9"/>
      <c r="E29" s="9"/>
    </row>
    <row r="30" spans="1:5" x14ac:dyDescent="0.25">
      <c r="A30" s="9" t="s">
        <v>153</v>
      </c>
      <c r="B30" s="9" t="s">
        <v>154</v>
      </c>
      <c r="C30" s="9" t="s">
        <v>181</v>
      </c>
      <c r="D30" s="9"/>
      <c r="E30" s="9"/>
    </row>
    <row r="31" spans="1:5" x14ac:dyDescent="0.25">
      <c r="A31" s="9" t="s">
        <v>155</v>
      </c>
      <c r="B31" s="9" t="s">
        <v>9</v>
      </c>
      <c r="C31" s="9" t="s">
        <v>181</v>
      </c>
      <c r="D31" s="9"/>
      <c r="E31" s="9"/>
    </row>
    <row r="32" spans="1:5" x14ac:dyDescent="0.25">
      <c r="A32" s="9" t="s">
        <v>156</v>
      </c>
      <c r="B32" s="9" t="s">
        <v>157</v>
      </c>
      <c r="C32" s="9" t="s">
        <v>181</v>
      </c>
      <c r="D32" s="9"/>
      <c r="E32" s="9"/>
    </row>
    <row r="33" spans="1:5" x14ac:dyDescent="0.25">
      <c r="A33" s="9" t="s">
        <v>158</v>
      </c>
      <c r="B33" s="9" t="s">
        <v>159</v>
      </c>
      <c r="C33" s="9" t="s">
        <v>181</v>
      </c>
      <c r="D33" s="9"/>
      <c r="E33" s="9"/>
    </row>
    <row r="34" spans="1:5" x14ac:dyDescent="0.25">
      <c r="A34" s="9" t="s">
        <v>160</v>
      </c>
      <c r="B34" s="9" t="s">
        <v>161</v>
      </c>
      <c r="C34" s="9" t="s">
        <v>181</v>
      </c>
      <c r="D34" s="9"/>
      <c r="E34" s="9"/>
    </row>
    <row r="35" spans="1:5" x14ac:dyDescent="0.25">
      <c r="A35" s="9" t="s">
        <v>162</v>
      </c>
      <c r="B35" s="9" t="s">
        <v>163</v>
      </c>
      <c r="C35" s="9" t="s">
        <v>181</v>
      </c>
      <c r="D35" s="9"/>
      <c r="E35" s="9"/>
    </row>
    <row r="36" spans="1:5" x14ac:dyDescent="0.25">
      <c r="A36" s="9" t="s">
        <v>164</v>
      </c>
      <c r="B36" s="9" t="s">
        <v>165</v>
      </c>
      <c r="C36" s="9" t="s">
        <v>181</v>
      </c>
      <c r="D36" s="9"/>
      <c r="E36" s="9"/>
    </row>
    <row r="37" spans="1:5" x14ac:dyDescent="0.25">
      <c r="A37" s="9" t="s">
        <v>166</v>
      </c>
      <c r="B37" s="9" t="s">
        <v>167</v>
      </c>
      <c r="C37" s="9" t="s">
        <v>182</v>
      </c>
      <c r="D37" s="9" t="s">
        <v>197</v>
      </c>
      <c r="E37" s="10">
        <v>17541</v>
      </c>
    </row>
    <row r="38" spans="1:5" x14ac:dyDescent="0.25">
      <c r="A38" s="9" t="s">
        <v>168</v>
      </c>
      <c r="B38" s="9" t="s">
        <v>169</v>
      </c>
      <c r="C38" s="9" t="s">
        <v>181</v>
      </c>
      <c r="D38" s="9"/>
      <c r="E38" s="9"/>
    </row>
    <row r="39" spans="1:5" x14ac:dyDescent="0.25">
      <c r="A39" s="9" t="s">
        <v>170</v>
      </c>
      <c r="B39" s="9" t="s">
        <v>171</v>
      </c>
      <c r="C39" s="9" t="s">
        <v>181</v>
      </c>
      <c r="D39" s="9"/>
      <c r="E39" s="9"/>
    </row>
    <row r="40" spans="1:5" x14ac:dyDescent="0.25">
      <c r="A40" s="9" t="s">
        <v>172</v>
      </c>
      <c r="B40" s="9" t="s">
        <v>9</v>
      </c>
      <c r="C40" s="9"/>
      <c r="D40" s="9" t="s">
        <v>177</v>
      </c>
      <c r="E40" s="9"/>
    </row>
    <row r="41" spans="1:5" x14ac:dyDescent="0.25">
      <c r="A41" s="9" t="s">
        <v>173</v>
      </c>
      <c r="B41" s="9" t="s">
        <v>9</v>
      </c>
      <c r="C41" s="9"/>
      <c r="D41" s="9" t="s">
        <v>177</v>
      </c>
      <c r="E41" s="9"/>
    </row>
    <row r="42" spans="1:5" x14ac:dyDescent="0.25">
      <c r="A42" s="9" t="s">
        <v>174</v>
      </c>
      <c r="B42" s="9" t="s">
        <v>9</v>
      </c>
      <c r="C42" s="9"/>
      <c r="D42" s="9" t="s">
        <v>177</v>
      </c>
      <c r="E42" s="9"/>
    </row>
    <row r="43" spans="1:5" x14ac:dyDescent="0.25">
      <c r="A43" s="9" t="s">
        <v>175</v>
      </c>
      <c r="B43" s="9" t="s">
        <v>9</v>
      </c>
      <c r="C43" s="9"/>
      <c r="D43" s="9" t="s">
        <v>177</v>
      </c>
      <c r="E43" s="9"/>
    </row>
    <row r="44" spans="1:5" x14ac:dyDescent="0.25">
      <c r="A44" s="9" t="s">
        <v>176</v>
      </c>
      <c r="B44" s="9" t="s">
        <v>177</v>
      </c>
      <c r="C44" s="9"/>
      <c r="D44" s="9" t="s">
        <v>177</v>
      </c>
      <c r="E44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2026-03-25T16:59:35Z</dcterms:created>
  <dcterms:modified xsi:type="dcterms:W3CDTF">2026-04-02T07:56:35Z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2026-04-01T06:43:59Z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56afa1d2-474d-48d2-b1fc-0910025eed1f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