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77283BC0-76B6-4940-93D7-410124BB76C7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2" r:id="rId1"/>
    <sheet name="Consolidated Profit &amp; Loss" sheetId="5" r:id="rId2"/>
    <sheet name="Standalone Balance Sheet" sheetId="1" r:id="rId3"/>
    <sheet name="Consolidated Balance Sheet" sheetId="4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4"/>
  <c r="H2" i="3"/>
  <c r="H1" i="3"/>
  <c r="H3" i="3" s="1"/>
  <c r="H2" i="1"/>
  <c r="H1" i="1"/>
  <c r="H3" i="1" s="1"/>
  <c r="H2" i="2"/>
  <c r="H1" i="2"/>
  <c r="H3" i="2" s="1"/>
  <c r="H1" i="6" l="1"/>
  <c r="H3" i="6" s="1"/>
  <c r="H2" i="4"/>
  <c r="H3" i="4" s="1"/>
  <c r="H2" i="5"/>
  <c r="H1" i="5"/>
  <c r="H3" i="5" s="1"/>
</calcChain>
</file>

<file path=xl/sharedStrings.xml><?xml version="1.0" encoding="utf-8"?>
<sst xmlns="http://schemas.openxmlformats.org/spreadsheetml/2006/main" count="532" uniqueCount="149">
  <si>
    <t>Particulars</t>
  </si>
  <si>
    <t>Cogencis Field</t>
  </si>
  <si>
    <t>Shareholders ' funds</t>
  </si>
  <si>
    <t>Lable</t>
  </si>
  <si>
    <t>Share capital</t>
  </si>
  <si>
    <t>Share Capital</t>
  </si>
  <si>
    <t>Reserves and Surplus</t>
  </si>
  <si>
    <t>Reserves And Surplus/Other Equity</t>
  </si>
  <si>
    <t>Non - current liabilities</t>
  </si>
  <si>
    <t>Long - Term Borrowings</t>
  </si>
  <si>
    <t>Borrowings</t>
  </si>
  <si>
    <t>Deferred Tax Liabilities ( Net )</t>
  </si>
  <si>
    <t>Deferred Tax Liability (Net)</t>
  </si>
  <si>
    <t>Current liabilities</t>
  </si>
  <si>
    <t>Short - Term Borrowings</t>
  </si>
  <si>
    <t>Trade Payables</t>
  </si>
  <si>
    <t>Other current liabilities</t>
  </si>
  <si>
    <t>Other liabilities</t>
  </si>
  <si>
    <t>Short - Term Provisions</t>
  </si>
  <si>
    <t>Short-Term Provisions</t>
  </si>
  <si>
    <t>TOTAL EQUITY AND LIABILITIES</t>
  </si>
  <si>
    <t>Total Equity And Liabilities</t>
  </si>
  <si>
    <t>ASSETS</t>
  </si>
  <si>
    <t>Non - current assets</t>
  </si>
  <si>
    <t>Property, Plant and Equipment and Intangible Assets</t>
  </si>
  <si>
    <t>Property, Plant &amp; Equipment</t>
  </si>
  <si>
    <t>Property, Plant and Equipment</t>
  </si>
  <si>
    <t>Non - current investments</t>
  </si>
  <si>
    <t>Non-Current Investments</t>
  </si>
  <si>
    <t>Deferred Tax Assets ( Net )</t>
  </si>
  <si>
    <t>Deferred Tax Assets (Net)</t>
  </si>
  <si>
    <t>Long - term loans and advances</t>
  </si>
  <si>
    <t>Loans Non-Current</t>
  </si>
  <si>
    <t>Other non - current assets</t>
  </si>
  <si>
    <t>Other Non-Current Assets</t>
  </si>
  <si>
    <t>Current assets</t>
  </si>
  <si>
    <t>Inventories</t>
  </si>
  <si>
    <t>Trade Receivables</t>
  </si>
  <si>
    <t>Cash and Cash Equivalents</t>
  </si>
  <si>
    <t>Cash And Cash Equivalents</t>
  </si>
  <si>
    <t>Short - term loans and advances</t>
  </si>
  <si>
    <t>Loans, Current</t>
  </si>
  <si>
    <t>Other Current Assets</t>
  </si>
  <si>
    <t>TOTAL ASSETS</t>
  </si>
  <si>
    <t>Total Assets</t>
  </si>
  <si>
    <t>Revenue from operations</t>
  </si>
  <si>
    <t>Gross Sales/Income from Operations</t>
  </si>
  <si>
    <t>Other income</t>
  </si>
  <si>
    <t>Miscellaneous Income</t>
  </si>
  <si>
    <t>Total Income</t>
  </si>
  <si>
    <t>Expenses :</t>
  </si>
  <si>
    <t>Cost of Goods Sold</t>
  </si>
  <si>
    <t>Cost of Materials Consumed</t>
  </si>
  <si>
    <t>Employee benefit expense</t>
  </si>
  <si>
    <t>Employee Benefit Expense</t>
  </si>
  <si>
    <t>Financial costs</t>
  </si>
  <si>
    <t>Finance Costs</t>
  </si>
  <si>
    <t>Depreciation and amortisation cost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</si>
  <si>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</si>
  <si>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</si>
  <si>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</si>
  <si>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</si>
  <si>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</si>
  <si>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</si>
  <si>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</si>
  <si>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 :</t>
  </si>
  <si>
    <t>Current tax</t>
  </si>
  <si>
    <t>Tax Expense</t>
  </si>
  <si>
    <t>Deferred tax</t>
  </si>
  <si>
    <t>Deferred Tax</t>
  </si>
  <si>
    <t>Excess / Short Provision of Income Tax</t>
  </si>
  <si>
    <t>Total Tax Expenses</t>
  </si>
  <si>
    <t>Total Field</t>
  </si>
  <si>
    <t>Profit/(Loss ) After Tax</t>
  </si>
  <si>
    <t>Net Profit/(Loss) for the Period</t>
  </si>
  <si>
    <t>Earning per equity share :</t>
  </si>
  <si>
    <t>Face value per equity shares Rs.10/- fully paid up .</t>
  </si>
  <si>
    <t>Paid-Up Equity Share Capital</t>
  </si>
  <si>
    <t>Basic</t>
  </si>
  <si>
    <t>Diluted</t>
  </si>
  <si>
    <t>Net Profit Before Tax And Exceptional Item</t>
  </si>
  <si>
    <t>Adjustments for :</t>
  </si>
  <si>
    <t>Interest income</t>
  </si>
  <si>
    <t>Interest Received</t>
  </si>
  <si>
    <t>Interest expense</t>
  </si>
  <si>
    <t>Interest Expense</t>
  </si>
  <si>
    <t>Depreciation and Amortization Expense</t>
  </si>
  <si>
    <t>Depreciation and Amortisation Expense</t>
  </si>
  <si>
    <t>Operating Profit Before Working Capital Changes</t>
  </si>
  <si>
    <t>Increase / ( Decrease ) in Trade Payables</t>
  </si>
  <si>
    <t>Trade Payables And Others</t>
  </si>
  <si>
    <t>Increase / ( Decrease ) in Other liabilities</t>
  </si>
  <si>
    <t>Other Current and Non Current Liabilities</t>
  </si>
  <si>
    <t>Increase / ( Decrease ) in Provisions</t>
  </si>
  <si>
    <t>Provisions</t>
  </si>
  <si>
    <t>Decrease / ( Increase ) in Inventories</t>
  </si>
  <si>
    <t>Decrease / ( Increase ) in Trade Receivables</t>
  </si>
  <si>
    <t>Trade And Other Receivables</t>
  </si>
  <si>
    <t>Decrease / ( Increase ) in loans and advances</t>
  </si>
  <si>
    <t>Loans And Advances</t>
  </si>
  <si>
    <t>Decrease / ( Increase ) in Other assets</t>
  </si>
  <si>
    <t>Other Current and Non Current Assets</t>
  </si>
  <si>
    <t>Cash generated from / ( used in ) Operations</t>
  </si>
  <si>
    <t>Cash Generated From Operations</t>
  </si>
  <si>
    <t>Income taxes paid</t>
  </si>
  <si>
    <t>Income Tax Paid</t>
  </si>
  <si>
    <t>Net Cash generated from / ( used in )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</si>
  <si>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</si>
  <si>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</si>
  <si>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</si>
  <si>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 and Intangible Assets</t>
  </si>
  <si>
    <t>Purchase Of Fixed Assets (Tangible / Intangible)</t>
  </si>
  <si>
    <t>Purchase of Non - current investments</t>
  </si>
  <si>
    <t>Purchase Of Investments</t>
  </si>
  <si>
    <t>Interest received</t>
  </si>
  <si>
    <t>Interest Income</t>
  </si>
  <si>
    <t>Net Cash generated from / ( used in ) Investing Activities</t>
  </si>
  <si>
    <t>CASH FLOW FROM FINANCING ACTIVITIES</t>
  </si>
  <si>
    <t>Repayment of Long - Term Borrowings</t>
  </si>
  <si>
    <t>Repayment Of Long Term Borrowings</t>
  </si>
  <si>
    <t>Increase / ( Decrease ) in Short Term - Term Borrowings</t>
  </si>
  <si>
    <t>Proceeds From Short Term Borrowings</t>
  </si>
  <si>
    <t>Interest paid</t>
  </si>
  <si>
    <t>Interest Paid</t>
  </si>
  <si>
    <t>Net Cash generated from / ( used in )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</si>
  <si>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</si>
  <si>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</si>
  <si>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</si>
  <si>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</t>
  </si>
  <si>
    <t>Cash and Cash Equivalents at the Beginning of the Year</t>
  </si>
  <si>
    <t>Cash and Cash Equivalents at the End</t>
  </si>
  <si>
    <t>Cash and Cash Equivalents at the End of the Year</t>
  </si>
  <si>
    <t xml:space="preserve">Property, Plant and Equipment </t>
  </si>
  <si>
    <t>Other Income</t>
  </si>
  <si>
    <t>Purchase Cost</t>
  </si>
  <si>
    <t>Purchase of Stock-in-Trade</t>
  </si>
  <si>
    <t>Status</t>
  </si>
  <si>
    <t>Revised Field Mapping</t>
  </si>
  <si>
    <t>Field id</t>
  </si>
  <si>
    <t>Correct</t>
  </si>
  <si>
    <t>Incorrect</t>
  </si>
  <si>
    <t>Accuracy %</t>
  </si>
  <si>
    <t>Face Value</t>
  </si>
  <si>
    <t>Basic EPS</t>
  </si>
  <si>
    <t>Diluted EPS</t>
  </si>
  <si>
    <t xml:space="preserve"> </t>
  </si>
  <si>
    <t>Label</t>
  </si>
  <si>
    <t xml:space="preserve">  </t>
  </si>
  <si>
    <t>Calculated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</si>
</sst>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A2" sqref="A2"/>
    </sheetView>
  </sheetViews>
  <sheetFormatPr defaultRowHeight="15" x14ac:dyDescent="0.25"/>
  <cols>
    <col min="1" max="1" width="52.7109375" customWidth="1"/>
    <col min="2" max="2" width="54.7109375" customWidth="1"/>
    <col min="3" max="3" width="10.85546875" customWidth="1"/>
    <col min="4" max="4" width="43.140625" customWidth="1"/>
    <col min="5" max="5" width="12.28515625" customWidth="1"/>
  </cols>
  <sheetData>
    <row r="1" spans="1:8" x14ac:dyDescent="0.25">
      <c r="A1" s="1" t="s">
        <v>0</v>
      </c>
      <c r="B1" s="1" t="s">
        <v>1</v>
      </c>
      <c r="C1" s="2" t="s">
        <v>136</v>
      </c>
      <c r="D1" s="2" t="s">
        <v>137</v>
      </c>
      <c r="E1" s="3" t="s">
        <v>138</v>
      </c>
      <c r="G1" s="4" t="s">
        <v>139</v>
      </c>
      <c r="H1" s="5">
        <f>COUNTIF(C:C,G1)</f>
        <v>17</v>
      </c>
    </row>
    <row r="2" spans="1:8" x14ac:dyDescent="0.25">
      <c r="A2" s="10" t="s">
        <v>45</v>
      </c>
      <c r="B2" s="10" t="s">
        <v>46</v>
      </c>
      <c r="C2" s="10" t="s">
        <v>139</v>
      </c>
      <c r="D2" s="10"/>
      <c r="E2" s="10"/>
      <c r="G2" s="6" t="s">
        <v>140</v>
      </c>
      <c r="H2" s="7">
        <f>COUNTIF(C:C,G2)</f>
        <v>3</v>
      </c>
    </row>
    <row r="3" spans="1:8" ht="15.75" thickBot="1" x14ac:dyDescent="0.3">
      <c r="A3" s="10" t="s">
        <v>47</v>
      </c>
      <c r="B3" s="10" t="s">
        <v>48</v>
      </c>
      <c r="C3" s="10" t="s">
        <v>139</v>
      </c>
      <c r="D3" s="10"/>
      <c r="E3" s="10"/>
      <c r="G3" s="8" t="s">
        <v>141</v>
      </c>
      <c r="H3" s="9">
        <f>H1/SUM(H1:H2)</f>
        <v>0.85</v>
      </c>
    </row>
    <row r="4" spans="1:8" x14ac:dyDescent="0.25">
      <c r="A4" s="10" t="s">
        <v>49</v>
      </c>
      <c r="B4" s="10" t="s">
        <v>49</v>
      </c>
      <c r="C4" s="10" t="s">
        <v>139</v>
      </c>
      <c r="D4" s="10"/>
      <c r="E4" s="10"/>
    </row>
    <row r="5" spans="1:8" x14ac:dyDescent="0.25">
      <c r="A5" s="10" t="s">
        <v>50</v>
      </c>
      <c r="B5" s="10" t="s">
        <v>3</v>
      </c>
      <c r="C5" s="10" t="s">
        <v>139</v>
      </c>
      <c r="D5" s="10"/>
      <c r="E5" s="10"/>
    </row>
    <row r="6" spans="1:8" x14ac:dyDescent="0.25">
      <c r="A6" s="10" t="s">
        <v>51</v>
      </c>
      <c r="B6" s="10" t="s">
        <v>52</v>
      </c>
      <c r="C6" s="10" t="s">
        <v>139</v>
      </c>
      <c r="D6" s="10"/>
      <c r="E6" s="10"/>
    </row>
    <row r="7" spans="1:8" x14ac:dyDescent="0.25">
      <c r="A7" s="10" t="s">
        <v>53</v>
      </c>
      <c r="B7" s="10" t="s">
        <v>54</v>
      </c>
      <c r="C7" s="10" t="s">
        <v>139</v>
      </c>
      <c r="D7" s="10"/>
      <c r="E7" s="10"/>
    </row>
    <row r="8" spans="1:8" x14ac:dyDescent="0.25">
      <c r="A8" s="10" t="s">
        <v>55</v>
      </c>
      <c r="B8" s="10" t="s">
        <v>56</v>
      </c>
      <c r="C8" s="10" t="s">
        <v>139</v>
      </c>
      <c r="D8" s="10"/>
      <c r="E8" s="10"/>
    </row>
    <row r="9" spans="1:8" x14ac:dyDescent="0.25">
      <c r="A9" s="10" t="s">
        <v>57</v>
      </c>
      <c r="B9" s="10" t="s">
        <v>58</v>
      </c>
      <c r="C9" s="10" t="s">
        <v>139</v>
      </c>
      <c r="D9" s="10"/>
      <c r="E9" s="10"/>
    </row>
    <row r="10" spans="1:8" x14ac:dyDescent="0.25">
      <c r="A10" s="10" t="s">
        <v>59</v>
      </c>
      <c r="B10" s="10" t="s">
        <v>60</v>
      </c>
      <c r="C10" s="10" t="s">
        <v>139</v>
      </c>
      <c r="D10" s="10"/>
      <c r="E10" s="10"/>
    </row>
    <row r="11" spans="1:8" x14ac:dyDescent="0.25">
      <c r="A11" s="10" t="s">
        <v>61</v>
      </c>
      <c r="B11" s="10" t="s">
        <v>62</v>
      </c>
      <c r="C11" s="10" t="s">
        <v>139</v>
      </c>
      <c r="D11" s="10"/>
      <c r="E11" s="10"/>
    </row>
    <row r="12" spans="1:8" x14ac:dyDescent="0.25">
      <c r="A12" s="10" t="s">
        <v>63</v>
      </c>
      <c r="B12" s="10" t="s">
        <v>64</v>
      </c>
      <c r="C12" s="10" t="s">
        <v>139</v>
      </c>
      <c r="D12" s="10"/>
      <c r="E12" s="10"/>
    </row>
    <row r="13" spans="1:8" x14ac:dyDescent="0.25">
      <c r="A13" s="10" t="s">
        <v>65</v>
      </c>
      <c r="B13" s="10" t="s">
        <v>3</v>
      </c>
      <c r="C13" s="10" t="s">
        <v>139</v>
      </c>
      <c r="D13" s="10"/>
      <c r="E13" s="10"/>
    </row>
    <row r="14" spans="1:8" x14ac:dyDescent="0.25">
      <c r="A14" s="10" t="s">
        <v>66</v>
      </c>
      <c r="B14" s="10" t="s">
        <v>67</v>
      </c>
      <c r="C14" s="10" t="s">
        <v>139</v>
      </c>
      <c r="D14" s="10"/>
      <c r="E14" s="10"/>
    </row>
    <row r="15" spans="1:8" x14ac:dyDescent="0.25">
      <c r="A15" s="10" t="s">
        <v>68</v>
      </c>
      <c r="B15" s="10" t="s">
        <v>69</v>
      </c>
      <c r="C15" s="10" t="s">
        <v>139</v>
      </c>
      <c r="D15" s="10"/>
      <c r="E15" s="10"/>
    </row>
    <row r="16" spans="1:8" x14ac:dyDescent="0.25">
      <c r="A16" s="10" t="s">
        <v>70</v>
      </c>
      <c r="B16" s="10" t="s">
        <v>67</v>
      </c>
      <c r="C16" s="10" t="s">
        <v>139</v>
      </c>
      <c r="D16" s="10"/>
      <c r="E16" s="10"/>
    </row>
    <row r="17" spans="1:5" x14ac:dyDescent="0.25">
      <c r="A17" s="10" t="s">
        <v>71</v>
      </c>
      <c r="B17" s="10" t="s">
        <v>72</v>
      </c>
      <c r="C17" s="10"/>
      <c r="D17" s="10" t="s">
        <v>148</v>
      </c>
      <c r="E17" s="10"/>
    </row>
    <row r="18" spans="1:5" x14ac:dyDescent="0.25">
      <c r="A18" s="10" t="s">
        <v>73</v>
      </c>
      <c r="B18" s="10" t="s">
        <v>74</v>
      </c>
      <c r="C18" s="10" t="s">
        <v>139</v>
      </c>
      <c r="D18" s="10"/>
      <c r="E18" s="10"/>
    </row>
    <row r="19" spans="1:5" x14ac:dyDescent="0.25">
      <c r="A19" s="10" t="s">
        <v>75</v>
      </c>
      <c r="B19" s="10" t="s">
        <v>3</v>
      </c>
      <c r="C19" s="10" t="s">
        <v>139</v>
      </c>
      <c r="D19" s="10"/>
      <c r="E19" s="10"/>
    </row>
    <row r="20" spans="1:5" x14ac:dyDescent="0.25">
      <c r="A20" s="10" t="s">
        <v>76</v>
      </c>
      <c r="B20" s="10" t="s">
        <v>77</v>
      </c>
      <c r="C20" s="10" t="s">
        <v>140</v>
      </c>
      <c r="D20" s="10" t="s">
        <v>142</v>
      </c>
      <c r="E20" s="11">
        <v>245</v>
      </c>
    </row>
    <row r="21" spans="1:5" x14ac:dyDescent="0.25">
      <c r="A21" s="10" t="s">
        <v>78</v>
      </c>
      <c r="B21" s="10" t="s">
        <v>3</v>
      </c>
      <c r="C21" s="10" t="s">
        <v>140</v>
      </c>
      <c r="D21" s="10" t="s">
        <v>143</v>
      </c>
      <c r="E21" s="11">
        <v>222</v>
      </c>
    </row>
    <row r="22" spans="1:5" x14ac:dyDescent="0.25">
      <c r="A22" s="10" t="s">
        <v>79</v>
      </c>
      <c r="B22" s="10" t="s">
        <v>3</v>
      </c>
      <c r="C22" s="10" t="s">
        <v>140</v>
      </c>
      <c r="D22" s="10" t="s">
        <v>144</v>
      </c>
      <c r="E22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workbookViewId="0"/>
  </sheetViews>
  <sheetFormatPr defaultRowHeight="15" x14ac:dyDescent="0.25"/>
  <cols>
    <col min="1" max="1" width="51.140625" customWidth="1"/>
    <col min="2" max="2" width="55.140625" customWidth="1"/>
    <col min="3" max="3" width="12.5703125" customWidth="1"/>
    <col min="4" max="4" width="39.28515625" customWidth="1"/>
    <col min="5" max="5" width="11" customWidth="1"/>
  </cols>
  <sheetData>
    <row r="1" spans="1:8" x14ac:dyDescent="0.25">
      <c r="A1" s="1" t="s">
        <v>0</v>
      </c>
      <c r="B1" s="1" t="s">
        <v>1</v>
      </c>
      <c r="C1" s="2" t="s">
        <v>136</v>
      </c>
      <c r="D1" s="2" t="s">
        <v>137</v>
      </c>
      <c r="E1" s="3" t="s">
        <v>138</v>
      </c>
      <c r="G1" s="4" t="s">
        <v>139</v>
      </c>
      <c r="H1" s="5">
        <f>COUNTIF(C:C,G1)</f>
        <v>18</v>
      </c>
    </row>
    <row r="2" spans="1:8" x14ac:dyDescent="0.25">
      <c r="A2" s="10" t="s">
        <v>45</v>
      </c>
      <c r="B2" s="10" t="s">
        <v>46</v>
      </c>
      <c r="C2" s="10" t="s">
        <v>139</v>
      </c>
      <c r="D2" s="10"/>
      <c r="E2" s="10"/>
      <c r="G2" s="6" t="s">
        <v>140</v>
      </c>
      <c r="H2" s="7">
        <f>COUNTIF(C:C,G2)</f>
        <v>3</v>
      </c>
    </row>
    <row r="3" spans="1:8" ht="15.75" thickBot="1" x14ac:dyDescent="0.3">
      <c r="A3" s="10" t="s">
        <v>133</v>
      </c>
      <c r="B3" s="10" t="s">
        <v>48</v>
      </c>
      <c r="C3" s="10" t="s">
        <v>139</v>
      </c>
      <c r="D3" s="10"/>
      <c r="E3" s="10"/>
      <c r="G3" s="8" t="s">
        <v>141</v>
      </c>
      <c r="H3" s="9">
        <f>H1/SUM(H1:H2)</f>
        <v>0.8571428571428571</v>
      </c>
    </row>
    <row r="4" spans="1:8" x14ac:dyDescent="0.25">
      <c r="A4" s="10" t="s">
        <v>49</v>
      </c>
      <c r="B4" s="10" t="s">
        <v>49</v>
      </c>
      <c r="C4" s="10" t="s">
        <v>139</v>
      </c>
      <c r="D4" s="10"/>
      <c r="E4" s="10"/>
    </row>
    <row r="5" spans="1:8" x14ac:dyDescent="0.25">
      <c r="A5" s="10" t="s">
        <v>50</v>
      </c>
      <c r="B5" s="10" t="s">
        <v>3</v>
      </c>
      <c r="C5" s="10" t="s">
        <v>139</v>
      </c>
      <c r="D5" s="10"/>
      <c r="E5" s="10"/>
    </row>
    <row r="6" spans="1:8" x14ac:dyDescent="0.25">
      <c r="A6" s="10" t="s">
        <v>134</v>
      </c>
      <c r="B6" s="10" t="s">
        <v>135</v>
      </c>
      <c r="C6" s="10" t="s">
        <v>139</v>
      </c>
      <c r="D6" s="10"/>
      <c r="E6" s="10"/>
    </row>
    <row r="7" spans="1:8" x14ac:dyDescent="0.25">
      <c r="A7" s="10" t="s">
        <v>53</v>
      </c>
      <c r="B7" s="10" t="s">
        <v>54</v>
      </c>
      <c r="C7" s="10" t="s">
        <v>139</v>
      </c>
      <c r="D7" s="10"/>
      <c r="E7" s="10"/>
    </row>
    <row r="8" spans="1:8" x14ac:dyDescent="0.25">
      <c r="A8" s="10" t="s">
        <v>55</v>
      </c>
      <c r="B8" s="10" t="s">
        <v>56</v>
      </c>
      <c r="C8" s="10" t="s">
        <v>139</v>
      </c>
      <c r="D8" s="10"/>
      <c r="E8" s="10"/>
    </row>
    <row r="9" spans="1:8" x14ac:dyDescent="0.25">
      <c r="A9" s="10" t="s">
        <v>57</v>
      </c>
      <c r="B9" s="10" t="s">
        <v>58</v>
      </c>
      <c r="C9" s="10" t="s">
        <v>139</v>
      </c>
      <c r="D9" s="10" t="s">
        <v>145</v>
      </c>
      <c r="E9" s="10"/>
    </row>
    <row r="10" spans="1:8" x14ac:dyDescent="0.25">
      <c r="A10" s="10" t="s">
        <v>59</v>
      </c>
      <c r="B10" s="10" t="s">
        <v>60</v>
      </c>
      <c r="C10" s="10" t="s">
        <v>139</v>
      </c>
      <c r="D10" s="10"/>
      <c r="E10" s="10"/>
    </row>
    <row r="11" spans="1:8" x14ac:dyDescent="0.25">
      <c r="A11" s="10" t="s">
        <v>61</v>
      </c>
      <c r="B11" s="10" t="s">
        <v>62</v>
      </c>
      <c r="C11" s="10" t="s">
        <v>139</v>
      </c>
      <c r="D11" s="10"/>
      <c r="E11" s="10"/>
    </row>
    <row r="12" spans="1:8" x14ac:dyDescent="0.25">
      <c r="A12" s="10" t="s">
        <v>63</v>
      </c>
      <c r="B12" s="10" t="s">
        <v>64</v>
      </c>
      <c r="C12" s="10" t="s">
        <v>139</v>
      </c>
      <c r="D12" s="10" t="s">
        <v>145</v>
      </c>
      <c r="E12" s="10"/>
    </row>
    <row r="13" spans="1:8" x14ac:dyDescent="0.25">
      <c r="A13" s="10" t="s">
        <v>65</v>
      </c>
      <c r="B13" s="10" t="s">
        <v>3</v>
      </c>
      <c r="C13" s="10" t="s">
        <v>139</v>
      </c>
      <c r="D13" s="10"/>
      <c r="E13" s="10"/>
    </row>
    <row r="14" spans="1:8" x14ac:dyDescent="0.25">
      <c r="A14" s="10" t="s">
        <v>66</v>
      </c>
      <c r="B14" s="10" t="s">
        <v>67</v>
      </c>
      <c r="C14" s="10" t="s">
        <v>139</v>
      </c>
      <c r="D14" s="10"/>
      <c r="E14" s="10"/>
    </row>
    <row r="15" spans="1:8" x14ac:dyDescent="0.25">
      <c r="A15" s="10" t="s">
        <v>68</v>
      </c>
      <c r="B15" s="10" t="s">
        <v>69</v>
      </c>
      <c r="C15" s="10" t="s">
        <v>139</v>
      </c>
      <c r="D15" s="10"/>
      <c r="E15" s="10"/>
    </row>
    <row r="16" spans="1:8" x14ac:dyDescent="0.25">
      <c r="A16" s="10" t="s">
        <v>70</v>
      </c>
      <c r="B16" s="10" t="s">
        <v>67</v>
      </c>
      <c r="C16" s="10" t="s">
        <v>139</v>
      </c>
      <c r="D16" s="10"/>
      <c r="E16" s="10"/>
    </row>
    <row r="17" spans="1:5" x14ac:dyDescent="0.25">
      <c r="A17" s="10" t="s">
        <v>71</v>
      </c>
      <c r="B17" s="10" t="s">
        <v>72</v>
      </c>
      <c r="C17" s="10" t="s">
        <v>139</v>
      </c>
      <c r="D17" s="10"/>
      <c r="E17" s="10"/>
    </row>
    <row r="18" spans="1:5" x14ac:dyDescent="0.25">
      <c r="A18" s="10" t="s">
        <v>73</v>
      </c>
      <c r="B18" s="10" t="s">
        <v>74</v>
      </c>
      <c r="C18" s="10" t="s">
        <v>139</v>
      </c>
      <c r="D18" s="10"/>
      <c r="E18" s="10"/>
    </row>
    <row r="19" spans="1:5" x14ac:dyDescent="0.25">
      <c r="A19" s="10" t="s">
        <v>75</v>
      </c>
      <c r="B19" s="10" t="s">
        <v>3</v>
      </c>
      <c r="C19" s="10" t="s">
        <v>139</v>
      </c>
      <c r="D19" s="10"/>
      <c r="E19" s="10"/>
    </row>
    <row r="20" spans="1:5" x14ac:dyDescent="0.25">
      <c r="A20" s="10" t="s">
        <v>76</v>
      </c>
      <c r="B20" s="10" t="s">
        <v>77</v>
      </c>
      <c r="C20" s="10" t="s">
        <v>140</v>
      </c>
      <c r="D20" s="10" t="s">
        <v>142</v>
      </c>
      <c r="E20" s="11">
        <v>245</v>
      </c>
    </row>
    <row r="21" spans="1:5" x14ac:dyDescent="0.25">
      <c r="A21" s="10" t="s">
        <v>78</v>
      </c>
      <c r="B21" s="10" t="s">
        <v>3</v>
      </c>
      <c r="C21" s="10" t="s">
        <v>140</v>
      </c>
      <c r="D21" s="10" t="s">
        <v>143</v>
      </c>
      <c r="E21" s="11">
        <v>222</v>
      </c>
    </row>
    <row r="22" spans="1:5" x14ac:dyDescent="0.25">
      <c r="A22" s="10" t="s">
        <v>79</v>
      </c>
      <c r="B22" s="10" t="s">
        <v>3</v>
      </c>
      <c r="C22" s="10" t="s">
        <v>140</v>
      </c>
      <c r="D22" s="10" t="s">
        <v>144</v>
      </c>
      <c r="E22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7" sqref="B17"/>
    </sheetView>
  </sheetViews>
  <sheetFormatPr defaultRowHeight="15" x14ac:dyDescent="0.25"/>
  <cols>
    <col min="1" max="1" width="50.28515625" customWidth="1"/>
    <col min="2" max="2" width="44.7109375" customWidth="1"/>
    <col min="3" max="3" width="11.42578125" customWidth="1"/>
    <col min="4" max="4" width="40.28515625" customWidth="1"/>
    <col min="5" max="5" width="10" customWidth="1"/>
  </cols>
  <sheetData>
    <row r="1" spans="1:8" x14ac:dyDescent="0.25">
      <c r="A1" s="1" t="s">
        <v>0</v>
      </c>
      <c r="B1" s="1" t="s">
        <v>1</v>
      </c>
      <c r="C1" s="2" t="s">
        <v>136</v>
      </c>
      <c r="D1" s="2" t="s">
        <v>137</v>
      </c>
      <c r="E1" s="3" t="s">
        <v>138</v>
      </c>
      <c r="G1" s="4" t="s">
        <v>139</v>
      </c>
      <c r="H1" s="5">
        <f>COUNTIF(C:C,G1)</f>
        <v>26</v>
      </c>
    </row>
    <row r="2" spans="1:8" x14ac:dyDescent="0.25">
      <c r="A2" s="10" t="s">
        <v>2</v>
      </c>
      <c r="B2" s="10" t="s">
        <v>3</v>
      </c>
      <c r="C2" s="10" t="s">
        <v>139</v>
      </c>
      <c r="D2" s="10"/>
      <c r="E2" s="10"/>
      <c r="G2" s="6" t="s">
        <v>140</v>
      </c>
      <c r="H2" s="7">
        <f>COUNTIF(C:C,G2)</f>
        <v>1</v>
      </c>
    </row>
    <row r="3" spans="1:8" ht="15.75" thickBot="1" x14ac:dyDescent="0.3">
      <c r="A3" s="10" t="s">
        <v>4</v>
      </c>
      <c r="B3" s="10" t="s">
        <v>5</v>
      </c>
      <c r="C3" s="10" t="s">
        <v>139</v>
      </c>
      <c r="D3" s="10"/>
      <c r="E3" s="10"/>
      <c r="G3" s="8" t="s">
        <v>141</v>
      </c>
      <c r="H3" s="9">
        <f>H1/SUM(H1:H2)</f>
        <v>0.96296296296296291</v>
      </c>
    </row>
    <row r="4" spans="1:8" x14ac:dyDescent="0.25">
      <c r="A4" s="10" t="s">
        <v>6</v>
      </c>
      <c r="B4" s="10" t="s">
        <v>7</v>
      </c>
      <c r="C4" s="10" t="s">
        <v>139</v>
      </c>
      <c r="D4" s="10"/>
      <c r="E4" s="10"/>
    </row>
    <row r="5" spans="1:8" x14ac:dyDescent="0.25">
      <c r="A5" s="10" t="s">
        <v>8</v>
      </c>
      <c r="B5" s="10" t="s">
        <v>3</v>
      </c>
      <c r="C5" s="10" t="s">
        <v>139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139</v>
      </c>
      <c r="D6" s="10" t="s">
        <v>10</v>
      </c>
      <c r="E6" s="11">
        <v>20223</v>
      </c>
    </row>
    <row r="7" spans="1:8" x14ac:dyDescent="0.25">
      <c r="A7" s="10" t="s">
        <v>11</v>
      </c>
      <c r="B7" s="10" t="s">
        <v>12</v>
      </c>
      <c r="C7" s="10" t="s">
        <v>139</v>
      </c>
      <c r="D7" s="10"/>
      <c r="E7" s="10"/>
    </row>
    <row r="8" spans="1:8" x14ac:dyDescent="0.25">
      <c r="A8" s="10" t="s">
        <v>13</v>
      </c>
      <c r="B8" s="10" t="s">
        <v>3</v>
      </c>
      <c r="C8" s="10" t="s">
        <v>139</v>
      </c>
      <c r="D8" s="10"/>
      <c r="E8" s="10"/>
    </row>
    <row r="9" spans="1:8" x14ac:dyDescent="0.25">
      <c r="A9" s="10" t="s">
        <v>14</v>
      </c>
      <c r="B9" s="10" t="s">
        <v>10</v>
      </c>
      <c r="C9" s="10" t="s">
        <v>139</v>
      </c>
      <c r="D9" s="10" t="s">
        <v>10</v>
      </c>
      <c r="E9" s="11">
        <v>20209</v>
      </c>
    </row>
    <row r="10" spans="1:8" x14ac:dyDescent="0.25">
      <c r="A10" s="10" t="s">
        <v>15</v>
      </c>
      <c r="B10" s="10" t="s">
        <v>15</v>
      </c>
      <c r="C10" s="10" t="s">
        <v>139</v>
      </c>
      <c r="D10" s="10" t="s">
        <v>15</v>
      </c>
      <c r="E10" s="11">
        <v>13779</v>
      </c>
    </row>
    <row r="11" spans="1:8" x14ac:dyDescent="0.25">
      <c r="A11" s="10" t="s">
        <v>16</v>
      </c>
      <c r="B11" s="10" t="s">
        <v>17</v>
      </c>
      <c r="C11" s="10" t="s">
        <v>139</v>
      </c>
      <c r="D11" s="10"/>
      <c r="E11" s="10"/>
    </row>
    <row r="12" spans="1:8" x14ac:dyDescent="0.25">
      <c r="A12" s="10" t="s">
        <v>18</v>
      </c>
      <c r="B12" s="10" t="s">
        <v>19</v>
      </c>
      <c r="C12" s="10" t="s">
        <v>139</v>
      </c>
      <c r="D12" s="10"/>
      <c r="E12" s="10"/>
    </row>
    <row r="13" spans="1:8" x14ac:dyDescent="0.25">
      <c r="A13" s="10" t="s">
        <v>20</v>
      </c>
      <c r="B13" s="10" t="s">
        <v>21</v>
      </c>
      <c r="C13" s="10" t="s">
        <v>139</v>
      </c>
      <c r="D13" s="10"/>
      <c r="E13" s="10"/>
    </row>
    <row r="14" spans="1:8" x14ac:dyDescent="0.25">
      <c r="A14" s="10" t="s">
        <v>22</v>
      </c>
      <c r="B14" s="10" t="s">
        <v>3</v>
      </c>
      <c r="C14" s="10" t="s">
        <v>139</v>
      </c>
      <c r="D14" s="10"/>
      <c r="E14" s="10"/>
    </row>
    <row r="15" spans="1:8" x14ac:dyDescent="0.25">
      <c r="A15" s="10" t="s">
        <v>23</v>
      </c>
      <c r="B15" s="10" t="s">
        <v>3</v>
      </c>
      <c r="C15" s="10" t="s">
        <v>139</v>
      </c>
      <c r="D15" s="10"/>
      <c r="E15" s="10"/>
    </row>
    <row r="16" spans="1:8" x14ac:dyDescent="0.25">
      <c r="A16" s="10" t="s">
        <v>24</v>
      </c>
      <c r="B16" s="10" t="s">
        <v>25</v>
      </c>
      <c r="C16" s="10" t="s">
        <v>140</v>
      </c>
      <c r="D16" s="10" t="s">
        <v>146</v>
      </c>
      <c r="E16" s="10"/>
    </row>
    <row r="17" spans="1:5" x14ac:dyDescent="0.25">
      <c r="A17" s="10" t="s">
        <v>26</v>
      </c>
      <c r="B17" s="10" t="s">
        <v>25</v>
      </c>
      <c r="C17" s="10" t="s">
        <v>139</v>
      </c>
      <c r="D17" s="10"/>
      <c r="E17" s="10"/>
    </row>
    <row r="18" spans="1:5" x14ac:dyDescent="0.25">
      <c r="A18" s="10" t="s">
        <v>27</v>
      </c>
      <c r="B18" s="10" t="s">
        <v>28</v>
      </c>
      <c r="C18" s="10" t="s">
        <v>139</v>
      </c>
      <c r="D18" s="10"/>
      <c r="E18" s="10"/>
    </row>
    <row r="19" spans="1:5" x14ac:dyDescent="0.25">
      <c r="A19" s="10" t="s">
        <v>29</v>
      </c>
      <c r="B19" s="10" t="s">
        <v>30</v>
      </c>
      <c r="C19" s="10" t="s">
        <v>139</v>
      </c>
      <c r="D19" s="10"/>
      <c r="E19" s="10"/>
    </row>
    <row r="20" spans="1:5" x14ac:dyDescent="0.25">
      <c r="A20" s="10" t="s">
        <v>31</v>
      </c>
      <c r="B20" s="10" t="s">
        <v>32</v>
      </c>
      <c r="C20" s="10" t="s">
        <v>139</v>
      </c>
      <c r="D20" s="10"/>
      <c r="E20" s="10"/>
    </row>
    <row r="21" spans="1:5" x14ac:dyDescent="0.25">
      <c r="A21" s="10" t="s">
        <v>33</v>
      </c>
      <c r="B21" s="10" t="s">
        <v>34</v>
      </c>
      <c r="C21" s="10" t="s">
        <v>139</v>
      </c>
      <c r="D21" s="10"/>
      <c r="E21" s="10"/>
    </row>
    <row r="22" spans="1:5" x14ac:dyDescent="0.25">
      <c r="A22" s="10" t="s">
        <v>35</v>
      </c>
      <c r="B22" s="10" t="s">
        <v>3</v>
      </c>
      <c r="C22" s="10" t="s">
        <v>139</v>
      </c>
      <c r="D22" s="10"/>
      <c r="E22" s="10"/>
    </row>
    <row r="23" spans="1:5" x14ac:dyDescent="0.25">
      <c r="A23" s="10" t="s">
        <v>36</v>
      </c>
      <c r="B23" s="10" t="s">
        <v>36</v>
      </c>
      <c r="C23" s="10" t="s">
        <v>139</v>
      </c>
      <c r="D23" s="10"/>
      <c r="E23" s="10"/>
    </row>
    <row r="24" spans="1:5" x14ac:dyDescent="0.25">
      <c r="A24" s="10" t="s">
        <v>37</v>
      </c>
      <c r="B24" s="10" t="s">
        <v>37</v>
      </c>
      <c r="C24" s="10" t="s">
        <v>139</v>
      </c>
      <c r="D24" s="10" t="s">
        <v>37</v>
      </c>
      <c r="E24" s="11">
        <v>13780</v>
      </c>
    </row>
    <row r="25" spans="1:5" x14ac:dyDescent="0.25">
      <c r="A25" s="10" t="s">
        <v>38</v>
      </c>
      <c r="B25" s="10" t="s">
        <v>39</v>
      </c>
      <c r="C25" s="10" t="s">
        <v>139</v>
      </c>
      <c r="D25" s="10"/>
      <c r="E25" s="10"/>
    </row>
    <row r="26" spans="1:5" x14ac:dyDescent="0.25">
      <c r="A26" s="10" t="s">
        <v>40</v>
      </c>
      <c r="B26" s="10" t="s">
        <v>41</v>
      </c>
      <c r="C26" s="10" t="s">
        <v>139</v>
      </c>
      <c r="D26" s="10"/>
      <c r="E26" s="10"/>
    </row>
    <row r="27" spans="1:5" x14ac:dyDescent="0.25">
      <c r="A27" s="10" t="s">
        <v>42</v>
      </c>
      <c r="B27" s="10" t="s">
        <v>42</v>
      </c>
      <c r="C27" s="10" t="s">
        <v>139</v>
      </c>
      <c r="D27" s="10"/>
      <c r="E27" s="10"/>
    </row>
    <row r="28" spans="1:5" x14ac:dyDescent="0.25">
      <c r="A28" s="10" t="s">
        <v>43</v>
      </c>
      <c r="B28" s="10" t="s">
        <v>44</v>
      </c>
      <c r="C28" s="10" t="s">
        <v>139</v>
      </c>
      <c r="D28" s="10"/>
      <c r="E2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>
      <selection activeCell="B19" sqref="B19"/>
    </sheetView>
  </sheetViews>
  <sheetFormatPr defaultRowHeight="15" x14ac:dyDescent="0.25"/>
  <cols>
    <col min="1" max="1" width="54.85546875" customWidth="1"/>
    <col min="2" max="2" width="54.42578125" customWidth="1"/>
    <col min="3" max="3" width="11.5703125" customWidth="1"/>
    <col min="4" max="4" width="39" customWidth="1"/>
    <col min="5" max="5" width="11.140625" customWidth="1"/>
  </cols>
  <sheetData>
    <row r="1" spans="1:8" x14ac:dyDescent="0.25">
      <c r="A1" s="1" t="s">
        <v>0</v>
      </c>
      <c r="B1" s="1" t="s">
        <v>1</v>
      </c>
      <c r="C1" s="2" t="s">
        <v>136</v>
      </c>
      <c r="D1" s="2" t="s">
        <v>137</v>
      </c>
      <c r="E1" s="3" t="s">
        <v>138</v>
      </c>
      <c r="G1" s="4" t="s">
        <v>139</v>
      </c>
      <c r="H1" s="5">
        <f>COUNTIF(C:C,G1)</f>
        <v>25</v>
      </c>
    </row>
    <row r="2" spans="1:8" x14ac:dyDescent="0.25">
      <c r="A2" s="10" t="s">
        <v>2</v>
      </c>
      <c r="B2" s="10" t="s">
        <v>3</v>
      </c>
      <c r="C2" s="10" t="s">
        <v>139</v>
      </c>
      <c r="D2" s="10"/>
      <c r="E2" s="10"/>
      <c r="G2" s="6" t="s">
        <v>140</v>
      </c>
      <c r="H2" s="7">
        <f>COUNTIF(C:C,G2)</f>
        <v>1</v>
      </c>
    </row>
    <row r="3" spans="1:8" ht="15.75" thickBot="1" x14ac:dyDescent="0.3">
      <c r="A3" s="10" t="s">
        <v>4</v>
      </c>
      <c r="B3" s="10" t="s">
        <v>5</v>
      </c>
      <c r="C3" s="10" t="s">
        <v>139</v>
      </c>
      <c r="D3" s="10"/>
      <c r="E3" s="10"/>
      <c r="G3" s="8" t="s">
        <v>141</v>
      </c>
      <c r="H3" s="9">
        <f>H1/SUM(H1:H2)</f>
        <v>0.96153846153846156</v>
      </c>
    </row>
    <row r="4" spans="1:8" x14ac:dyDescent="0.25">
      <c r="A4" s="10" t="s">
        <v>6</v>
      </c>
      <c r="B4" s="10" t="s">
        <v>7</v>
      </c>
      <c r="C4" s="10" t="s">
        <v>139</v>
      </c>
      <c r="D4" s="10" t="s">
        <v>147</v>
      </c>
      <c r="E4" s="10"/>
    </row>
    <row r="5" spans="1:8" x14ac:dyDescent="0.25">
      <c r="A5" s="10" t="s">
        <v>8</v>
      </c>
      <c r="B5" s="10" t="s">
        <v>3</v>
      </c>
      <c r="C5" s="10" t="s">
        <v>139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139</v>
      </c>
      <c r="D6" s="10" t="s">
        <v>10</v>
      </c>
      <c r="E6" s="11">
        <v>20223</v>
      </c>
    </row>
    <row r="7" spans="1:8" x14ac:dyDescent="0.25">
      <c r="A7" s="10" t="s">
        <v>11</v>
      </c>
      <c r="B7" s="10" t="s">
        <v>12</v>
      </c>
      <c r="C7" s="10" t="s">
        <v>139</v>
      </c>
      <c r="D7" s="10"/>
      <c r="E7" s="10"/>
    </row>
    <row r="8" spans="1:8" x14ac:dyDescent="0.25">
      <c r="A8" s="10" t="s">
        <v>13</v>
      </c>
      <c r="B8" s="10" t="s">
        <v>3</v>
      </c>
      <c r="C8" s="10" t="s">
        <v>139</v>
      </c>
      <c r="D8" s="10"/>
      <c r="E8" s="10"/>
    </row>
    <row r="9" spans="1:8" x14ac:dyDescent="0.25">
      <c r="A9" s="10" t="s">
        <v>14</v>
      </c>
      <c r="B9" s="10" t="s">
        <v>10</v>
      </c>
      <c r="C9" s="10" t="s">
        <v>139</v>
      </c>
      <c r="D9" s="10" t="s">
        <v>10</v>
      </c>
      <c r="E9" s="11">
        <v>20209</v>
      </c>
    </row>
    <row r="10" spans="1:8" x14ac:dyDescent="0.25">
      <c r="A10" s="10" t="s">
        <v>15</v>
      </c>
      <c r="B10" s="10" t="s">
        <v>15</v>
      </c>
      <c r="C10" s="10" t="s">
        <v>139</v>
      </c>
      <c r="D10" s="10" t="s">
        <v>15</v>
      </c>
      <c r="E10" s="11">
        <v>13779</v>
      </c>
    </row>
    <row r="11" spans="1:8" x14ac:dyDescent="0.25">
      <c r="A11" s="10" t="s">
        <v>16</v>
      </c>
      <c r="B11" s="10" t="s">
        <v>17</v>
      </c>
      <c r="C11" s="10" t="s">
        <v>139</v>
      </c>
      <c r="D11" s="10" t="s">
        <v>145</v>
      </c>
      <c r="E11" s="10"/>
    </row>
    <row r="12" spans="1:8" x14ac:dyDescent="0.25">
      <c r="A12" s="10" t="s">
        <v>18</v>
      </c>
      <c r="B12" s="10" t="s">
        <v>19</v>
      </c>
      <c r="C12" s="10" t="s">
        <v>139</v>
      </c>
      <c r="D12" s="10"/>
      <c r="E12" s="10"/>
    </row>
    <row r="13" spans="1:8" x14ac:dyDescent="0.25">
      <c r="A13" s="10" t="s">
        <v>20</v>
      </c>
      <c r="B13" s="10" t="s">
        <v>21</v>
      </c>
      <c r="C13" s="10" t="s">
        <v>139</v>
      </c>
      <c r="D13" s="10"/>
      <c r="E13" s="10"/>
    </row>
    <row r="14" spans="1:8" x14ac:dyDescent="0.25">
      <c r="A14" s="10" t="s">
        <v>22</v>
      </c>
      <c r="B14" s="10" t="s">
        <v>3</v>
      </c>
      <c r="C14" s="10" t="s">
        <v>139</v>
      </c>
      <c r="D14" s="10"/>
      <c r="E14" s="10"/>
    </row>
    <row r="15" spans="1:8" x14ac:dyDescent="0.25">
      <c r="A15" s="10" t="s">
        <v>23</v>
      </c>
      <c r="B15" s="10" t="s">
        <v>3</v>
      </c>
      <c r="C15" s="10" t="s">
        <v>139</v>
      </c>
      <c r="D15" s="10"/>
      <c r="E15" s="10"/>
    </row>
    <row r="16" spans="1:8" x14ac:dyDescent="0.25">
      <c r="A16" s="10" t="s">
        <v>24</v>
      </c>
      <c r="B16" s="10" t="s">
        <v>25</v>
      </c>
      <c r="C16" s="10" t="s">
        <v>140</v>
      </c>
      <c r="D16" s="10" t="s">
        <v>146</v>
      </c>
      <c r="E16" s="10"/>
    </row>
    <row r="17" spans="1:5" x14ac:dyDescent="0.25">
      <c r="A17" s="10" t="s">
        <v>132</v>
      </c>
      <c r="B17" s="10" t="s">
        <v>25</v>
      </c>
      <c r="C17" s="10" t="s">
        <v>139</v>
      </c>
      <c r="D17" s="10"/>
      <c r="E17" s="10"/>
    </row>
    <row r="18" spans="1:5" x14ac:dyDescent="0.25">
      <c r="A18" s="10" t="s">
        <v>29</v>
      </c>
      <c r="B18" s="10" t="s">
        <v>30</v>
      </c>
      <c r="C18" s="10" t="s">
        <v>139</v>
      </c>
      <c r="D18" s="10"/>
      <c r="E18" s="10"/>
    </row>
    <row r="19" spans="1:5" x14ac:dyDescent="0.25">
      <c r="A19" s="10" t="s">
        <v>31</v>
      </c>
      <c r="B19" s="10" t="s">
        <v>32</v>
      </c>
      <c r="C19" s="10" t="s">
        <v>139</v>
      </c>
      <c r="D19" s="10"/>
      <c r="E19" s="10"/>
    </row>
    <row r="20" spans="1:5" x14ac:dyDescent="0.25">
      <c r="A20" s="10" t="s">
        <v>33</v>
      </c>
      <c r="B20" s="10" t="s">
        <v>34</v>
      </c>
      <c r="C20" s="10" t="s">
        <v>139</v>
      </c>
      <c r="D20" s="10"/>
      <c r="E20" s="10"/>
    </row>
    <row r="21" spans="1:5" x14ac:dyDescent="0.25">
      <c r="A21" s="10" t="s">
        <v>35</v>
      </c>
      <c r="B21" s="10" t="s">
        <v>3</v>
      </c>
      <c r="C21" s="10" t="s">
        <v>139</v>
      </c>
      <c r="D21" s="10"/>
      <c r="E21" s="10"/>
    </row>
    <row r="22" spans="1:5" x14ac:dyDescent="0.25">
      <c r="A22" s="10" t="s">
        <v>36</v>
      </c>
      <c r="B22" s="10" t="s">
        <v>36</v>
      </c>
      <c r="C22" s="10" t="s">
        <v>139</v>
      </c>
      <c r="D22" s="10"/>
      <c r="E22" s="10"/>
    </row>
    <row r="23" spans="1:5" x14ac:dyDescent="0.25">
      <c r="A23" s="10" t="s">
        <v>37</v>
      </c>
      <c r="B23" s="10" t="s">
        <v>37</v>
      </c>
      <c r="C23" s="10" t="s">
        <v>139</v>
      </c>
      <c r="D23" s="10" t="s">
        <v>37</v>
      </c>
      <c r="E23" s="11">
        <v>13780</v>
      </c>
    </row>
    <row r="24" spans="1:5" x14ac:dyDescent="0.25">
      <c r="A24" s="10" t="s">
        <v>38</v>
      </c>
      <c r="B24" s="10" t="s">
        <v>39</v>
      </c>
      <c r="C24" s="10" t="s">
        <v>139</v>
      </c>
      <c r="D24" s="10"/>
      <c r="E24" s="10"/>
    </row>
    <row r="25" spans="1:5" x14ac:dyDescent="0.25">
      <c r="A25" s="10" t="s">
        <v>40</v>
      </c>
      <c r="B25" s="10" t="s">
        <v>41</v>
      </c>
      <c r="C25" s="10" t="s">
        <v>139</v>
      </c>
      <c r="D25" s="10"/>
      <c r="E25" s="10"/>
    </row>
    <row r="26" spans="1:5" x14ac:dyDescent="0.25">
      <c r="A26" s="10" t="s">
        <v>42</v>
      </c>
      <c r="B26" s="10" t="s">
        <v>42</v>
      </c>
      <c r="C26" s="10" t="s">
        <v>139</v>
      </c>
      <c r="D26" s="10"/>
      <c r="E26" s="10"/>
    </row>
    <row r="27" spans="1:5" x14ac:dyDescent="0.25">
      <c r="A27" s="10" t="s">
        <v>43</v>
      </c>
      <c r="B27" s="10" t="s">
        <v>44</v>
      </c>
      <c r="C27" s="10" t="s">
        <v>139</v>
      </c>
      <c r="D27" s="10"/>
      <c r="E2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workbookViewId="0"/>
  </sheetViews>
  <sheetFormatPr defaultRowHeight="15" x14ac:dyDescent="0.25"/>
  <cols>
    <col min="1" max="1" width="51.140625" customWidth="1"/>
    <col min="2" max="2" width="57.140625" customWidth="1"/>
    <col min="3" max="3" width="13.140625" customWidth="1"/>
    <col min="4" max="4" width="34.85546875" customWidth="1"/>
    <col min="5" max="5" width="12.140625" customWidth="1"/>
  </cols>
  <sheetData>
    <row r="1" spans="1:8" x14ac:dyDescent="0.25">
      <c r="A1" s="1" t="s">
        <v>0</v>
      </c>
      <c r="B1" s="1" t="s">
        <v>1</v>
      </c>
      <c r="C1" s="2" t="s">
        <v>136</v>
      </c>
      <c r="D1" s="2" t="s">
        <v>137</v>
      </c>
      <c r="E1" s="3" t="s">
        <v>138</v>
      </c>
      <c r="G1" s="4" t="s">
        <v>139</v>
      </c>
      <c r="H1" s="5">
        <f>COUNTIF(C:C,G1)</f>
        <v>26</v>
      </c>
    </row>
    <row r="2" spans="1:8" x14ac:dyDescent="0.25">
      <c r="A2" s="10" t="s">
        <v>63</v>
      </c>
      <c r="B2" s="10" t="s">
        <v>80</v>
      </c>
      <c r="C2" s="10" t="s">
        <v>139</v>
      </c>
      <c r="D2" s="10"/>
      <c r="E2" s="10"/>
      <c r="G2" s="6" t="s">
        <v>140</v>
      </c>
      <c r="H2" s="7">
        <f>COUNTIF(C:C,G2)</f>
        <v>3</v>
      </c>
    </row>
    <row r="3" spans="1:8" ht="15.75" thickBot="1" x14ac:dyDescent="0.3">
      <c r="A3" s="10" t="s">
        <v>81</v>
      </c>
      <c r="B3" s="10" t="s">
        <v>3</v>
      </c>
      <c r="C3" s="10" t="s">
        <v>139</v>
      </c>
      <c r="D3" s="10"/>
      <c r="E3" s="10"/>
      <c r="G3" s="8" t="s">
        <v>141</v>
      </c>
      <c r="H3" s="9">
        <f>H1/SUM(H1:H2)</f>
        <v>0.89655172413793105</v>
      </c>
    </row>
    <row r="4" spans="1:8" x14ac:dyDescent="0.25">
      <c r="A4" s="10" t="s">
        <v>82</v>
      </c>
      <c r="B4" s="10" t="s">
        <v>83</v>
      </c>
      <c r="C4" s="10" t="s">
        <v>140</v>
      </c>
      <c r="D4" s="10" t="s">
        <v>115</v>
      </c>
      <c r="E4" s="11">
        <v>30481</v>
      </c>
    </row>
    <row r="5" spans="1:8" x14ac:dyDescent="0.25">
      <c r="A5" s="10" t="s">
        <v>84</v>
      </c>
      <c r="B5" s="10" t="s">
        <v>85</v>
      </c>
      <c r="C5" s="10" t="s">
        <v>139</v>
      </c>
      <c r="D5" s="10"/>
      <c r="E5" s="10"/>
    </row>
    <row r="6" spans="1:8" x14ac:dyDescent="0.25">
      <c r="A6" s="10" t="s">
        <v>86</v>
      </c>
      <c r="B6" s="10" t="s">
        <v>87</v>
      </c>
      <c r="C6" s="10" t="s">
        <v>139</v>
      </c>
      <c r="D6" s="10"/>
      <c r="E6" s="10"/>
    </row>
    <row r="7" spans="1:8" x14ac:dyDescent="0.25">
      <c r="A7" s="10" t="s">
        <v>88</v>
      </c>
      <c r="B7" s="10" t="s">
        <v>88</v>
      </c>
      <c r="C7" s="10" t="s">
        <v>139</v>
      </c>
      <c r="D7" s="10"/>
      <c r="E7" s="10"/>
    </row>
    <row r="8" spans="1:8" x14ac:dyDescent="0.25">
      <c r="A8" s="10" t="s">
        <v>89</v>
      </c>
      <c r="B8" s="10" t="s">
        <v>90</v>
      </c>
      <c r="C8" s="10" t="s">
        <v>139</v>
      </c>
      <c r="D8" s="10"/>
      <c r="E8" s="10"/>
    </row>
    <row r="9" spans="1:8" x14ac:dyDescent="0.25">
      <c r="A9" s="10" t="s">
        <v>91</v>
      </c>
      <c r="B9" s="10" t="s">
        <v>92</v>
      </c>
      <c r="C9" s="10" t="s">
        <v>139</v>
      </c>
      <c r="D9" s="10"/>
      <c r="E9" s="10"/>
    </row>
    <row r="10" spans="1:8" x14ac:dyDescent="0.25">
      <c r="A10" s="10" t="s">
        <v>93</v>
      </c>
      <c r="B10" s="10" t="s">
        <v>94</v>
      </c>
      <c r="C10" s="10" t="s">
        <v>139</v>
      </c>
      <c r="D10" s="10"/>
      <c r="E10" s="10"/>
    </row>
    <row r="11" spans="1:8" x14ac:dyDescent="0.25">
      <c r="A11" s="10" t="s">
        <v>95</v>
      </c>
      <c r="B11" s="10" t="s">
        <v>36</v>
      </c>
      <c r="C11" s="10" t="s">
        <v>139</v>
      </c>
      <c r="D11" s="10"/>
      <c r="E11" s="10"/>
    </row>
    <row r="12" spans="1:8" x14ac:dyDescent="0.25">
      <c r="A12" s="10" t="s">
        <v>96</v>
      </c>
      <c r="B12" s="10" t="s">
        <v>97</v>
      </c>
      <c r="C12" s="10" t="s">
        <v>139</v>
      </c>
      <c r="D12" s="10"/>
      <c r="E12" s="10"/>
    </row>
    <row r="13" spans="1:8" x14ac:dyDescent="0.25">
      <c r="A13" s="10" t="s">
        <v>98</v>
      </c>
      <c r="B13" s="10" t="s">
        <v>99</v>
      </c>
      <c r="C13" s="10" t="s">
        <v>139</v>
      </c>
      <c r="D13" s="10"/>
      <c r="E13" s="10"/>
    </row>
    <row r="14" spans="1:8" x14ac:dyDescent="0.25">
      <c r="A14" s="10" t="s">
        <v>100</v>
      </c>
      <c r="B14" s="10" t="s">
        <v>101</v>
      </c>
      <c r="C14" s="10" t="s">
        <v>139</v>
      </c>
      <c r="D14" s="10"/>
      <c r="E14" s="10"/>
    </row>
    <row r="15" spans="1:8" x14ac:dyDescent="0.25">
      <c r="A15" s="10" t="s">
        <v>102</v>
      </c>
      <c r="B15" s="10" t="s">
        <v>103</v>
      </c>
      <c r="C15" s="10" t="s">
        <v>139</v>
      </c>
      <c r="D15" s="10"/>
      <c r="E15" s="10"/>
    </row>
    <row r="16" spans="1:8" x14ac:dyDescent="0.25">
      <c r="A16" s="10" t="s">
        <v>104</v>
      </c>
      <c r="B16" s="10" t="s">
        <v>105</v>
      </c>
      <c r="C16" s="10" t="s">
        <v>139</v>
      </c>
      <c r="D16" s="10"/>
      <c r="E16" s="10"/>
    </row>
    <row r="17" spans="1:5" x14ac:dyDescent="0.25">
      <c r="A17" s="10" t="s">
        <v>106</v>
      </c>
      <c r="B17" s="10" t="s">
        <v>107</v>
      </c>
      <c r="C17" s="10" t="s">
        <v>139</v>
      </c>
      <c r="D17" s="10"/>
      <c r="E17" s="10"/>
    </row>
    <row r="18" spans="1:5" x14ac:dyDescent="0.25">
      <c r="A18" s="10" t="s">
        <v>108</v>
      </c>
      <c r="B18" s="10" t="s">
        <v>109</v>
      </c>
      <c r="C18" s="10" t="s">
        <v>140</v>
      </c>
      <c r="D18" s="10" t="s">
        <v>146</v>
      </c>
      <c r="E18" s="10"/>
    </row>
    <row r="19" spans="1:5" x14ac:dyDescent="0.25">
      <c r="A19" s="10" t="s">
        <v>110</v>
      </c>
      <c r="B19" s="10" t="s">
        <v>111</v>
      </c>
      <c r="C19" s="10" t="s">
        <v>139</v>
      </c>
      <c r="D19" s="10"/>
      <c r="E19" s="10"/>
    </row>
    <row r="20" spans="1:5" x14ac:dyDescent="0.25">
      <c r="A20" s="10" t="s">
        <v>112</v>
      </c>
      <c r="B20" s="10" t="s">
        <v>113</v>
      </c>
      <c r="C20" s="10" t="s">
        <v>139</v>
      </c>
      <c r="D20" s="10"/>
      <c r="E20" s="10"/>
    </row>
    <row r="21" spans="1:5" x14ac:dyDescent="0.25">
      <c r="A21" s="10" t="s">
        <v>114</v>
      </c>
      <c r="B21" s="10" t="s">
        <v>115</v>
      </c>
      <c r="C21" s="10" t="s">
        <v>140</v>
      </c>
      <c r="D21" s="10" t="s">
        <v>83</v>
      </c>
      <c r="E21" s="11">
        <v>30485</v>
      </c>
    </row>
    <row r="22" spans="1:5" x14ac:dyDescent="0.25">
      <c r="A22" s="10" t="s">
        <v>116</v>
      </c>
      <c r="B22" s="10" t="s">
        <v>109</v>
      </c>
      <c r="C22" s="10" t="s">
        <v>139</v>
      </c>
      <c r="D22" s="10"/>
      <c r="E22" s="10"/>
    </row>
    <row r="23" spans="1:5" x14ac:dyDescent="0.25">
      <c r="A23" s="10" t="s">
        <v>117</v>
      </c>
      <c r="B23" s="10" t="s">
        <v>3</v>
      </c>
      <c r="C23" s="12" t="s">
        <v>139</v>
      </c>
      <c r="D23" s="10"/>
      <c r="E23" s="10"/>
    </row>
    <row r="24" spans="1:5" x14ac:dyDescent="0.25">
      <c r="A24" s="10" t="s">
        <v>118</v>
      </c>
      <c r="B24" s="10" t="s">
        <v>119</v>
      </c>
      <c r="C24" s="10" t="s">
        <v>139</v>
      </c>
      <c r="D24" s="10"/>
      <c r="E24" s="10"/>
    </row>
    <row r="25" spans="1:5" x14ac:dyDescent="0.25">
      <c r="A25" s="10" t="s">
        <v>120</v>
      </c>
      <c r="B25" s="10" t="s">
        <v>121</v>
      </c>
      <c r="C25" s="10" t="s">
        <v>139</v>
      </c>
      <c r="D25" s="10"/>
      <c r="E25" s="10"/>
    </row>
    <row r="26" spans="1:5" x14ac:dyDescent="0.25">
      <c r="A26" s="10" t="s">
        <v>122</v>
      </c>
      <c r="B26" s="10" t="s">
        <v>123</v>
      </c>
      <c r="C26" s="10" t="s">
        <v>139</v>
      </c>
      <c r="E26" s="10"/>
    </row>
    <row r="27" spans="1:5" x14ac:dyDescent="0.25">
      <c r="A27" s="10" t="s">
        <v>124</v>
      </c>
      <c r="B27" s="10" t="s">
        <v>125</v>
      </c>
      <c r="C27" s="10" t="s">
        <v>139</v>
      </c>
      <c r="D27" s="10"/>
      <c r="E27" s="10"/>
    </row>
    <row r="28" spans="1:5" x14ac:dyDescent="0.25">
      <c r="A28" s="10" t="s">
        <v>126</v>
      </c>
      <c r="B28" s="10" t="s">
        <v>127</v>
      </c>
      <c r="C28" s="10" t="s">
        <v>139</v>
      </c>
      <c r="D28" s="10"/>
      <c r="E28" s="10"/>
    </row>
    <row r="29" spans="1:5" x14ac:dyDescent="0.25">
      <c r="A29" s="10" t="s">
        <v>128</v>
      </c>
      <c r="B29" s="10" t="s">
        <v>129</v>
      </c>
      <c r="C29" s="10" t="s">
        <v>139</v>
      </c>
      <c r="D29" s="10"/>
      <c r="E29" s="10"/>
    </row>
    <row r="30" spans="1:5" x14ac:dyDescent="0.25">
      <c r="A30" s="10" t="s">
        <v>130</v>
      </c>
      <c r="B30" s="10" t="s">
        <v>131</v>
      </c>
      <c r="C30" s="10" t="s">
        <v>139</v>
      </c>
      <c r="D30" s="10"/>
      <c r="E3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tabSelected="1" workbookViewId="0"/>
  </sheetViews>
  <sheetFormatPr defaultRowHeight="15" x14ac:dyDescent="0.25"/>
  <cols>
    <col min="1" max="1" width="52.7109375" customWidth="1"/>
    <col min="2" max="2" width="54.5703125" customWidth="1"/>
    <col min="3" max="3" width="11.140625" customWidth="1"/>
    <col min="4" max="4" width="39.5703125" customWidth="1"/>
    <col min="5" max="5" width="10.28515625" customWidth="1"/>
  </cols>
  <sheetData>
    <row r="1" spans="1:8" x14ac:dyDescent="0.25">
      <c r="A1" s="1" t="s">
        <v>0</v>
      </c>
      <c r="B1" s="1" t="s">
        <v>1</v>
      </c>
      <c r="C1" s="2" t="s">
        <v>136</v>
      </c>
      <c r="D1" s="2" t="s">
        <v>137</v>
      </c>
      <c r="E1" s="3" t="s">
        <v>138</v>
      </c>
      <c r="G1" s="4" t="s">
        <v>139</v>
      </c>
      <c r="H1" s="5">
        <f>COUNTIF(C:C,G1)</f>
        <v>25</v>
      </c>
    </row>
    <row r="2" spans="1:8" x14ac:dyDescent="0.25">
      <c r="A2" s="10" t="s">
        <v>63</v>
      </c>
      <c r="B2" s="10" t="s">
        <v>80</v>
      </c>
      <c r="C2" s="10" t="s">
        <v>139</v>
      </c>
      <c r="D2" s="10"/>
      <c r="E2" s="10"/>
      <c r="G2" s="6" t="s">
        <v>140</v>
      </c>
      <c r="H2" s="7">
        <f>COUNTIF(C:C,G2)</f>
        <v>3</v>
      </c>
    </row>
    <row r="3" spans="1:8" ht="15.75" thickBot="1" x14ac:dyDescent="0.3">
      <c r="A3" s="10" t="s">
        <v>81</v>
      </c>
      <c r="B3" s="10" t="s">
        <v>3</v>
      </c>
      <c r="C3" s="10" t="s">
        <v>139</v>
      </c>
      <c r="D3" s="10"/>
      <c r="E3" s="10"/>
      <c r="G3" s="8" t="s">
        <v>141</v>
      </c>
      <c r="H3" s="9">
        <f>H1/SUM(H1:H2)</f>
        <v>0.8928571428571429</v>
      </c>
    </row>
    <row r="4" spans="1:8" x14ac:dyDescent="0.25">
      <c r="A4" s="10" t="s">
        <v>82</v>
      </c>
      <c r="B4" s="10" t="s">
        <v>83</v>
      </c>
      <c r="C4" s="10" t="s">
        <v>140</v>
      </c>
      <c r="D4" s="10" t="s">
        <v>115</v>
      </c>
      <c r="E4" s="11">
        <v>30481</v>
      </c>
    </row>
    <row r="5" spans="1:8" x14ac:dyDescent="0.25">
      <c r="A5" s="10" t="s">
        <v>84</v>
      </c>
      <c r="B5" s="10" t="s">
        <v>85</v>
      </c>
      <c r="C5" s="10" t="s">
        <v>139</v>
      </c>
      <c r="D5" s="10"/>
      <c r="E5" s="10"/>
    </row>
    <row r="6" spans="1:8" x14ac:dyDescent="0.25">
      <c r="A6" s="10" t="s">
        <v>86</v>
      </c>
      <c r="B6" s="10" t="s">
        <v>87</v>
      </c>
      <c r="C6" s="10" t="s">
        <v>139</v>
      </c>
      <c r="D6" s="10"/>
      <c r="E6" s="10"/>
    </row>
    <row r="7" spans="1:8" x14ac:dyDescent="0.25">
      <c r="A7" s="10" t="s">
        <v>88</v>
      </c>
      <c r="B7" s="10" t="s">
        <v>88</v>
      </c>
      <c r="C7" s="10" t="s">
        <v>139</v>
      </c>
      <c r="D7" s="10" t="s">
        <v>145</v>
      </c>
      <c r="E7" s="10"/>
    </row>
    <row r="8" spans="1:8" x14ac:dyDescent="0.25">
      <c r="A8" s="10" t="s">
        <v>89</v>
      </c>
      <c r="B8" s="10" t="s">
        <v>90</v>
      </c>
      <c r="C8" s="10" t="s">
        <v>139</v>
      </c>
      <c r="D8" s="10"/>
      <c r="E8" s="10"/>
    </row>
    <row r="9" spans="1:8" x14ac:dyDescent="0.25">
      <c r="A9" s="10" t="s">
        <v>91</v>
      </c>
      <c r="B9" s="10" t="s">
        <v>92</v>
      </c>
      <c r="C9" s="10" t="s">
        <v>139</v>
      </c>
      <c r="D9" s="10"/>
      <c r="E9" s="10"/>
    </row>
    <row r="10" spans="1:8" x14ac:dyDescent="0.25">
      <c r="A10" s="10" t="s">
        <v>93</v>
      </c>
      <c r="B10" s="10" t="s">
        <v>94</v>
      </c>
      <c r="C10" s="10" t="s">
        <v>139</v>
      </c>
      <c r="D10" s="10"/>
      <c r="E10" s="10"/>
    </row>
    <row r="11" spans="1:8" x14ac:dyDescent="0.25">
      <c r="A11" s="10" t="s">
        <v>95</v>
      </c>
      <c r="B11" s="10" t="s">
        <v>36</v>
      </c>
      <c r="C11" s="10" t="s">
        <v>139</v>
      </c>
      <c r="D11" s="10"/>
      <c r="E11" s="10"/>
    </row>
    <row r="12" spans="1:8" x14ac:dyDescent="0.25">
      <c r="A12" s="10" t="s">
        <v>96</v>
      </c>
      <c r="B12" s="10" t="s">
        <v>97</v>
      </c>
      <c r="C12" s="10" t="s">
        <v>139</v>
      </c>
      <c r="D12" s="10" t="s">
        <v>145</v>
      </c>
      <c r="E12" s="10"/>
    </row>
    <row r="13" spans="1:8" x14ac:dyDescent="0.25">
      <c r="A13" s="10" t="s">
        <v>98</v>
      </c>
      <c r="B13" s="10" t="s">
        <v>99</v>
      </c>
      <c r="C13" s="10" t="s">
        <v>139</v>
      </c>
      <c r="D13" s="10"/>
      <c r="E13" s="10"/>
    </row>
    <row r="14" spans="1:8" x14ac:dyDescent="0.25">
      <c r="A14" s="10" t="s">
        <v>100</v>
      </c>
      <c r="B14" s="10" t="s">
        <v>101</v>
      </c>
      <c r="C14" s="10" t="s">
        <v>139</v>
      </c>
      <c r="D14" s="10"/>
      <c r="E14" s="10"/>
    </row>
    <row r="15" spans="1:8" x14ac:dyDescent="0.25">
      <c r="A15" s="10" t="s">
        <v>102</v>
      </c>
      <c r="B15" s="10" t="s">
        <v>103</v>
      </c>
      <c r="C15" s="10" t="s">
        <v>139</v>
      </c>
      <c r="D15" s="10"/>
      <c r="E15" s="10"/>
    </row>
    <row r="16" spans="1:8" x14ac:dyDescent="0.25">
      <c r="A16" s="10" t="s">
        <v>104</v>
      </c>
      <c r="B16" s="10" t="s">
        <v>105</v>
      </c>
      <c r="C16" s="10" t="s">
        <v>139</v>
      </c>
      <c r="D16" s="10"/>
      <c r="E16" s="10"/>
    </row>
    <row r="17" spans="1:5" x14ac:dyDescent="0.25">
      <c r="A17" s="10" t="s">
        <v>106</v>
      </c>
      <c r="B17" s="10" t="s">
        <v>107</v>
      </c>
      <c r="C17" s="10" t="s">
        <v>139</v>
      </c>
      <c r="D17" s="10"/>
      <c r="E17" s="10"/>
    </row>
    <row r="18" spans="1:5" x14ac:dyDescent="0.25">
      <c r="A18" s="10" t="s">
        <v>108</v>
      </c>
      <c r="B18" s="10" t="s">
        <v>109</v>
      </c>
      <c r="C18" s="10" t="s">
        <v>140</v>
      </c>
      <c r="D18" s="10" t="s">
        <v>146</v>
      </c>
      <c r="E18" s="10"/>
    </row>
    <row r="19" spans="1:5" x14ac:dyDescent="0.25">
      <c r="A19" s="10" t="s">
        <v>110</v>
      </c>
      <c r="B19" s="10" t="s">
        <v>111</v>
      </c>
      <c r="C19" s="10" t="s">
        <v>139</v>
      </c>
      <c r="D19" s="10"/>
      <c r="E19" s="10"/>
    </row>
    <row r="20" spans="1:5" x14ac:dyDescent="0.25">
      <c r="A20" s="10" t="s">
        <v>114</v>
      </c>
      <c r="B20" s="10" t="s">
        <v>115</v>
      </c>
      <c r="C20" s="10" t="s">
        <v>140</v>
      </c>
      <c r="D20" s="10" t="s">
        <v>83</v>
      </c>
      <c r="E20" s="11">
        <v>30485</v>
      </c>
    </row>
    <row r="21" spans="1:5" x14ac:dyDescent="0.25">
      <c r="A21" s="10" t="s">
        <v>116</v>
      </c>
      <c r="B21" s="10" t="s">
        <v>109</v>
      </c>
      <c r="C21" s="10" t="s">
        <v>139</v>
      </c>
      <c r="D21" s="10"/>
      <c r="E21" s="10"/>
    </row>
    <row r="22" spans="1:5" x14ac:dyDescent="0.25">
      <c r="A22" s="10" t="s">
        <v>117</v>
      </c>
      <c r="B22" s="10" t="s">
        <v>3</v>
      </c>
      <c r="C22" s="10" t="s">
        <v>139</v>
      </c>
      <c r="D22" s="10"/>
      <c r="E22" s="10"/>
    </row>
    <row r="23" spans="1:5" x14ac:dyDescent="0.25">
      <c r="A23" s="10" t="s">
        <v>118</v>
      </c>
      <c r="B23" s="10" t="s">
        <v>119</v>
      </c>
      <c r="C23" s="10" t="s">
        <v>139</v>
      </c>
      <c r="D23" s="10"/>
      <c r="E23" s="10"/>
    </row>
    <row r="24" spans="1:5" x14ac:dyDescent="0.25">
      <c r="A24" s="10" t="s">
        <v>120</v>
      </c>
      <c r="B24" s="10" t="s">
        <v>121</v>
      </c>
      <c r="C24" s="10" t="s">
        <v>139</v>
      </c>
      <c r="D24" s="10"/>
      <c r="E24" s="10"/>
    </row>
    <row r="25" spans="1:5" x14ac:dyDescent="0.25">
      <c r="A25" s="10" t="s">
        <v>122</v>
      </c>
      <c r="B25" s="10" t="s">
        <v>123</v>
      </c>
      <c r="C25" s="10" t="s">
        <v>139</v>
      </c>
      <c r="D25" s="10"/>
      <c r="E25" s="10"/>
    </row>
    <row r="26" spans="1:5" x14ac:dyDescent="0.25">
      <c r="A26" s="10" t="s">
        <v>124</v>
      </c>
      <c r="B26" s="10" t="s">
        <v>125</v>
      </c>
      <c r="C26" s="10" t="s">
        <v>139</v>
      </c>
      <c r="D26" s="10"/>
      <c r="E26" s="10"/>
    </row>
    <row r="27" spans="1:5" x14ac:dyDescent="0.25">
      <c r="A27" s="10" t="s">
        <v>126</v>
      </c>
      <c r="B27" s="10" t="s">
        <v>127</v>
      </c>
      <c r="C27" s="10" t="s">
        <v>139</v>
      </c>
      <c r="D27" s="10"/>
      <c r="E27" s="10"/>
    </row>
    <row r="28" spans="1:5" x14ac:dyDescent="0.25">
      <c r="A28" s="10" t="s">
        <v>128</v>
      </c>
      <c r="B28" s="10" t="s">
        <v>129</v>
      </c>
      <c r="C28" s="10" t="s">
        <v>139</v>
      </c>
      <c r="D28" s="10"/>
      <c r="E28" s="10"/>
    </row>
    <row r="29" spans="1:5" x14ac:dyDescent="0.25">
      <c r="A29" s="10" t="s">
        <v>130</v>
      </c>
      <c r="B29" s="10" t="s">
        <v>131</v>
      </c>
      <c r="C29" s="10" t="s">
        <v>139</v>
      </c>
      <c r="D29" s="10"/>
      <c r="E2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2026-03-27T16:43:04Z</dcterms:created>
  <dcterms:modified xsi:type="dcterms:W3CDTF">2026-04-06T10:27:53Z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2026-04-01T09:31:58Z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6f05c160-fb12-4b6d-9d19-cc4e314ce3c2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