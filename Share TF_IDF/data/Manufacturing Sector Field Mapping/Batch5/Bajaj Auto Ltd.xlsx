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5"/>
  <workbookPr/>
  <mc:AlternateContent xmlns:mc="http://schemas.openxmlformats.org/markup-compatibility/2006">
    <mc:Choice Requires="x15">
      <x15ac:absPath xmlns:x15ac="http://schemas.microsoft.com/office/spreadsheetml/2010/11/ac" url="M:\CFD-Finance\Finstinct Output Processed File\Manufacturing\Datewise\01-04-2026\"/>
    </mc:Choice>
  </mc:AlternateContent>
  <xr:revisionPtr revIDLastSave="0" documentId="13_ncr:1_{D738396B-745E-4CB5-BB7A-04CF0C18C4AE}" xr6:coauthVersionLast="47" xr6:coauthVersionMax="47" xr10:uidLastSave="{00000000-0000-0000-0000-000000000000}"/>
  <bookViews>
    <workbookView xWindow="-120" yWindow="-120" windowWidth="20730" windowHeight="11040" firstSheet="5" activeTab="5" xr2:uid="{00000000-000D-0000-FFFF-FFFF00000000}"/>
  </bookViews>
  <sheets>
    <sheet name="Consolidated Profit &amp; Loss" sheetId="4" r:id="rId1"/>
    <sheet name="Standalone Profit &amp; Loss" sheetId="1" r:id="rId2"/>
    <sheet name="Standalone Balance Sheet" sheetId="2" r:id="rId3"/>
    <sheet name="Consolidated Balance Sheet" sheetId="5" r:id="rId4"/>
    <sheet name="Standalone Cash Flow" sheetId="3" r:id="rId5"/>
    <sheet name="Consolidated Cash Flow" sheetId="6" r:id="rId6"/>
    <sheet name="Consolidated Segment Reporting" sheetId="7" r:id="rId7"/>
  </sheets>
  <definedNames>
    <definedName name="_xlnm._FilterDatabase" localSheetId="3" hidden="1">'Consolidated Balance Sheet'!$A$1:$E$58</definedName>
    <definedName name="_xlnm._FilterDatabase" localSheetId="4" hidden="1">'Standalone Cash Flow'!$A$1:$H$71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2" l="1"/>
  <c r="H1" i="2"/>
  <c r="H2" i="3"/>
  <c r="H1" i="3"/>
  <c r="H2" i="4"/>
  <c r="H1" i="4"/>
  <c r="H2" i="6"/>
  <c r="H1" i="6"/>
  <c r="H3" i="7"/>
  <c r="H2" i="7"/>
  <c r="H1" i="7"/>
  <c r="H2" i="1"/>
  <c r="H1" i="1"/>
  <c r="H3" i="6" l="1"/>
  <c r="H3" i="3"/>
  <c r="H1" i="5"/>
  <c r="H2" i="5"/>
  <c r="H3" i="2"/>
  <c r="H3" i="4"/>
  <c r="H3" i="1"/>
  <c r="H3" i="5" l="1"/>
</calcChain>
</file>

<file path=xl/sharedStrings.xml><?xml version="1.0" encoding="utf-8"?>
<sst xmlns="http://schemas.openxmlformats.org/spreadsheetml/2006/main" count="1194" uniqueCount="326">
  <si>
    <t>Particulars</t>
  </si>
  <si>
    <t>Cogencis Field</t>
  </si>
  <si>
    <t>Status</t>
  </si>
  <si>
    <t>Correct Field Mapping</t>
  </si>
  <si>
    <t>Field id</t>
  </si>
  <si>
    <t>Correct</t>
  </si>
  <si>
    <t>Revenue from contracts with customers</t>
  </si>
  <si>
    <t>Gross Sales/Income from Operations</t>
  </si>
  <si>
    <t>Incorrect</t>
  </si>
  <si>
    <t>Other operating revenue</t>
  </si>
  <si>
    <t>Other Operating Income</t>
  </si>
  <si>
    <t>Accuracy %</t>
  </si>
  <si>
    <t>Total revenue from operations</t>
  </si>
  <si>
    <t>Total Income from Operations (net)</t>
  </si>
  <si>
    <t>Other income</t>
  </si>
  <si>
    <t>Miscellaneous Income</t>
  </si>
  <si>
    <t>Total income</t>
  </si>
  <si>
    <t>Total Income</t>
  </si>
  <si>
    <t>Expenses</t>
  </si>
  <si>
    <t>Lable</t>
  </si>
  <si>
    <t>Cost of raw materials and components consumed</t>
  </si>
  <si>
    <t>Cost of Materials Consumed</t>
  </si>
  <si>
    <t>Purchase of traded goods</t>
  </si>
  <si>
    <t>Purchase of Stock-in-Trade</t>
  </si>
  <si>
    <t>Changes in Inventories of finished goods, work-in-proaress and traded goods</t>
  </si>
  <si>
    <t>Changes in Inventories of Finished Goods, Work-In-Progress and Stock-In-Trade</t>
  </si>
  <si>
    <t>Employee benefits expense</t>
  </si>
  <si>
    <t>Employee Benefit Expense</t>
  </si>
  <si>
    <t>Finance costs</t>
  </si>
  <si>
    <t>Finance Costs</t>
  </si>
  <si>
    <t>Depreciation and amortisation expense</t>
  </si>
  <si>
    <t>Depreciation, Depletion and Amortisation Expense</t>
  </si>
  <si>
    <t>Other expenses</t>
  </si>
  <si>
    <t>Other Expenses</t>
  </si>
  <si>
    <t>Expenses capitalised</t>
  </si>
  <si>
    <t>Total Field</t>
  </si>
  <si>
    <t>Expenses Capitalised</t>
  </si>
  <si>
    <t>Total expenses</t>
  </si>
  <si>
    <t>Total Expenses</t>
  </si>
  <si>
    <t>Share of loss of associate</t>
  </si>
  <si>
    <t>Share of Profit/(loss) of associates and Joint Ventures before ebt</t>
  </si>
  <si>
    <t>Profit before exceptional items and tax</t>
  </si>
  <si>
    <t>Profit/(Loss) from Ordinary Activities after Finance Costs but before Exceptional Items</t>
  </si>
  <si>
    <t>Exceptional items</t>
  </si>
  <si>
    <t>Other Exceptional Items</t>
  </si>
  <si>
    <t>Profit before tax</t>
  </si>
  <si>
    <t>Profit/(Loss) From Ordinary Activities before Tax</t>
  </si>
  <si>
    <t>Tax expense</t>
  </si>
  <si>
    <t>Current tax</t>
  </si>
  <si>
    <t>Tax Expense</t>
  </si>
  <si>
    <t>Deferred tax</t>
  </si>
  <si>
    <t>Deferred Tax</t>
  </si>
  <si>
    <t>Deferred tax -exceptional Item</t>
  </si>
  <si>
    <t>Total tax expense</t>
  </si>
  <si>
    <t>Profit after tax, before deferred tax-exceptional item</t>
  </si>
  <si>
    <t>Ignore this field</t>
  </si>
  <si>
    <t>Profit after tax</t>
  </si>
  <si>
    <t>Net Profit/(Loss) for the Period</t>
  </si>
  <si>
    <t>Net Profit/(Loss) from Ordinary Activities after Tax</t>
  </si>
  <si>
    <t>Profit attributable to non-controlling interest</t>
  </si>
  <si>
    <t>Minority Interest</t>
  </si>
  <si>
    <t xml:space="preserve">Profit for the period </t>
  </si>
  <si>
    <t>Other comprehensive income, net of tax</t>
  </si>
  <si>
    <t>Items that will not be reclassified to Profit or Loss</t>
  </si>
  <si>
    <t>Label</t>
  </si>
  <si>
    <t>Items that will not be reclassified to profit or loss</t>
  </si>
  <si>
    <t>Items that will be reclassified to profit or loss</t>
  </si>
  <si>
    <t>Items that will be reclassified to Profit or Loss</t>
  </si>
  <si>
    <t>Total other comprehensive income, net of tax</t>
  </si>
  <si>
    <t>Other Comprehensive Income</t>
  </si>
  <si>
    <t>Total comprehensive income</t>
  </si>
  <si>
    <t>Total Comprehensive Income Attributable To</t>
  </si>
  <si>
    <t>Total Comprehensive Gain (Loss) For the Year</t>
  </si>
  <si>
    <t>Profit attributable to:</t>
  </si>
  <si>
    <t>Owners of the company</t>
  </si>
  <si>
    <t>Non-controlling interests</t>
  </si>
  <si>
    <t>Non-Controlling Interests</t>
  </si>
  <si>
    <t>Total comprehensive income attributable to</t>
  </si>
  <si>
    <t>Paid-up equity share capital (Face value of~ 10)</t>
  </si>
  <si>
    <t>Paid-Up Equity Share Capital</t>
  </si>
  <si>
    <t>Other equity</t>
  </si>
  <si>
    <t>Reserve excluding Revaluation Reserves (as per Balance Sheet of Previous Accounting Year)</t>
  </si>
  <si>
    <t>Basic earnings per share (f) (not annualised except for the year ended 31 March 2025)</t>
  </si>
  <si>
    <t>Basic EPS</t>
  </si>
  <si>
    <t>Diluted earnings per share (') (not annualised except for the year ended 31 March 2025)</t>
  </si>
  <si>
    <t>Diluted EPS</t>
  </si>
  <si>
    <t>Revenue from operations</t>
  </si>
  <si>
    <t>Changes in inventories of finished ! loods work - in - progress and traded goods</t>
  </si>
  <si>
    <t>profit before and tax exceptional items</t>
  </si>
  <si>
    <t>Deferred tax - exceptional item</t>
  </si>
  <si>
    <t>Profit for the period before deferred tax exceptional item</t>
  </si>
  <si>
    <t>Profit for the period</t>
  </si>
  <si>
    <t>Other comprehensive Income net of tax</t>
  </si>
  <si>
    <t>Total comprehensive Income</t>
  </si>
  <si>
    <t>Paid-up eqully share capital {Face value oft 10)</t>
  </si>
  <si>
    <t>Basic earnings per share(') (not annualised except for the year ended 31 March 2025)</t>
  </si>
  <si>
    <t>Diluted earnings per share~) (not annualised except for the year ended 31 March 2025)</t>
  </si>
  <si>
    <t>Non-current assets</t>
  </si>
  <si>
    <t>Property, plant and equipment</t>
  </si>
  <si>
    <t>Property, Plant &amp; Equipment</t>
  </si>
  <si>
    <t>Capital work - in - progress</t>
  </si>
  <si>
    <t>Capital Work-In-Progress</t>
  </si>
  <si>
    <t>Investment property</t>
  </si>
  <si>
    <t>Investment Property</t>
  </si>
  <si>
    <t>Intangible assets</t>
  </si>
  <si>
    <t>Other Intangible Assets</t>
  </si>
  <si>
    <t>Intangible assets under development</t>
  </si>
  <si>
    <t>Investment in subsidiaries</t>
  </si>
  <si>
    <t>Non-Current Investments</t>
  </si>
  <si>
    <t>Financial assets</t>
  </si>
  <si>
    <t>lnvestmenls</t>
  </si>
  <si>
    <t>NOVAL</t>
  </si>
  <si>
    <t>Loans</t>
  </si>
  <si>
    <t>Loans, Current</t>
  </si>
  <si>
    <t>Loans Non-Current</t>
  </si>
  <si>
    <t>Other financial assets</t>
  </si>
  <si>
    <t>Other Non-Current Financial Assets</t>
  </si>
  <si>
    <t>Income tax assets ( net )</t>
  </si>
  <si>
    <t>Current Tax Assets (Net)</t>
  </si>
  <si>
    <t>Income Tax assets (net)</t>
  </si>
  <si>
    <t>Other non - current assets</t>
  </si>
  <si>
    <t>Other Non-Current Assets</t>
  </si>
  <si>
    <t>Sub - total Non - current assets assets</t>
  </si>
  <si>
    <t>Total Non-Current Assets</t>
  </si>
  <si>
    <t>Current assets</t>
  </si>
  <si>
    <t>Inventories</t>
  </si>
  <si>
    <t>lnvestments</t>
  </si>
  <si>
    <t>Current Investments</t>
  </si>
  <si>
    <t>Trade receivables</t>
  </si>
  <si>
    <t>Trade Receivables</t>
  </si>
  <si>
    <t>Cash and cash equivalents</t>
  </si>
  <si>
    <t>Cash And Cash Equivalents</t>
  </si>
  <si>
    <t>Other bank balances</t>
  </si>
  <si>
    <t>Bank balance other than cash and cash equivalents</t>
  </si>
  <si>
    <t>Other Current Financial Assets</t>
  </si>
  <si>
    <t>Other current assets</t>
  </si>
  <si>
    <t>Other Current Assets</t>
  </si>
  <si>
    <t>Sub - total   Current assets</t>
  </si>
  <si>
    <t>Total Current Assets</t>
  </si>
  <si>
    <t>Total - Assets</t>
  </si>
  <si>
    <t>Total Assets</t>
  </si>
  <si>
    <t>Equity and   liabilities</t>
  </si>
  <si>
    <t>Equity</t>
  </si>
  <si>
    <t>Equily share capital</t>
  </si>
  <si>
    <t>Share Capital</t>
  </si>
  <si>
    <t>Reserves And Surplus/Other Equity</t>
  </si>
  <si>
    <t>Sub - total-Equity</t>
  </si>
  <si>
    <t>Total Share Holder's Funds</t>
  </si>
  <si>
    <t>Non - current liabilities</t>
  </si>
  <si>
    <t>Financial liabilities</t>
  </si>
  <si>
    <t>Sales tax deferral</t>
  </si>
  <si>
    <t>Deferred Tax Assets (Net)</t>
  </si>
  <si>
    <t>Provisions</t>
  </si>
  <si>
    <t>Long-Term Provisions</t>
  </si>
  <si>
    <t>Deferred tax liabilities ( net )</t>
  </si>
  <si>
    <t>Deferred Tax Liability (Net)</t>
  </si>
  <si>
    <t>Government grant</t>
  </si>
  <si>
    <t>Deferred government grants, Current</t>
  </si>
  <si>
    <t>Deferred government grants, Non-current</t>
  </si>
  <si>
    <t>Other non - current liabilities</t>
  </si>
  <si>
    <t>Other Non-Current Liabilities</t>
  </si>
  <si>
    <t>Sub-total - Non-current liabilities</t>
  </si>
  <si>
    <t>Total Non-Current Liabilities</t>
  </si>
  <si>
    <t>Current liabilities</t>
  </si>
  <si>
    <t>Shorl-term borrowings</t>
  </si>
  <si>
    <t>Borrowings</t>
  </si>
  <si>
    <t>Trade payables</t>
  </si>
  <si>
    <t>Trade Payables</t>
  </si>
  <si>
    <t>Total outstanding dues of micro enterprises and small enterprises</t>
  </si>
  <si>
    <t>Total outstanding dues of creditors other than micro enterprises and small enterprises</t>
  </si>
  <si>
    <t>Other financial liabilities</t>
  </si>
  <si>
    <t>Other Non Current Financial Liabilities</t>
  </si>
  <si>
    <t>Other Current Financial Liabilities</t>
  </si>
  <si>
    <t>Other current liabilities</t>
  </si>
  <si>
    <t>Other liabilities</t>
  </si>
  <si>
    <t>Short-Term Provisions</t>
  </si>
  <si>
    <t>Current tax liabilities ( net )</t>
  </si>
  <si>
    <t>Current Tax Liabilities (Net)</t>
  </si>
  <si>
    <t>Sub - total   Current liabllities</t>
  </si>
  <si>
    <t>Total -Equity and liabilities</t>
  </si>
  <si>
    <t>Total Equity And Liabilities</t>
  </si>
  <si>
    <t>Investment in asssociale of subsidiary</t>
  </si>
  <si>
    <t>Deferred tax assets</t>
  </si>
  <si>
    <t>Sub - total Non - current assets</t>
  </si>
  <si>
    <t>Equity and liabilities</t>
  </si>
  <si>
    <t>Equity atributable to owners of the Company</t>
  </si>
  <si>
    <t>Non-controlling interest</t>
  </si>
  <si>
    <t>Sub-total - Total equity</t>
  </si>
  <si>
    <t>Net Profit Before Tax And Exceptional Item</t>
  </si>
  <si>
    <t>Adjustments to reconcile profit before tax to net cash flows:</t>
  </si>
  <si>
    <t>Add :</t>
  </si>
  <si>
    <t>Depreciation and amortisation</t>
  </si>
  <si>
    <t>Depreciation and Amortisation Expense</t>
  </si>
  <si>
    <t>Loss on property plant and equipment sold demolished discarded and scrapped</t>
  </si>
  <si>
    <t>Loss On Sale Of Fixed Assets</t>
  </si>
  <si>
    <t>Provision for doubtful debts and advances</t>
  </si>
  <si>
    <t>Provision For Doubtful Debts</t>
  </si>
  <si>
    <t>Bad debts written off</t>
  </si>
  <si>
    <t>Bad Debts Written Off</t>
  </si>
  <si>
    <t>Share based payment to employees</t>
  </si>
  <si>
    <t>Others-Before Working Capital Changes</t>
  </si>
  <si>
    <t>Employees Stock Options Grants</t>
  </si>
  <si>
    <t>Exchange loss/(gain ) on cash and cash equivalents</t>
  </si>
  <si>
    <t>Net Increase in Cash and Cash Equivalents</t>
  </si>
  <si>
    <t>Foreign Exchange Gain / Loss</t>
  </si>
  <si>
    <t>Exchange loss/(gain ) on trade receivables</t>
  </si>
  <si>
    <t>Trade And Other Receivables</t>
  </si>
  <si>
    <t>Exchange loss/(gain) on import payables</t>
  </si>
  <si>
    <t>Trade Payables And Others</t>
  </si>
  <si>
    <t>Exchange loss/(gain ) on borrowings</t>
  </si>
  <si>
    <t>Profit On Sale Of Investments</t>
  </si>
  <si>
    <t>Exchange loss/(gain ) on loans given</t>
  </si>
  <si>
    <t>Repayment Of Long Term Borrowings</t>
  </si>
  <si>
    <t>Fair value change in derivative instrument</t>
  </si>
  <si>
    <t>Interest adjustment on Government grant</t>
  </si>
  <si>
    <t>Others-Investing Activities</t>
  </si>
  <si>
    <t>Interest expense</t>
  </si>
  <si>
    <t>Interest Expense</t>
  </si>
  <si>
    <t>Less :</t>
  </si>
  <si>
    <t>Investment income included in above:</t>
  </si>
  <si>
    <t>Other adjustments to reconcile profit (loss)</t>
  </si>
  <si>
    <t>Interest income on fixed income securities</t>
  </si>
  <si>
    <t>Interest Income</t>
  </si>
  <si>
    <t>Interest income on fixed deposits</t>
  </si>
  <si>
    <t>Interest income on loans</t>
  </si>
  <si>
    <t>Interest income on exchange traded funds</t>
  </si>
  <si>
    <t>Investments in Mutual Funds</t>
  </si>
  <si>
    <t>Interest income on fixed maturtty plans</t>
  </si>
  <si>
    <t>Profit/(loss ) on sale of other investments net</t>
  </si>
  <si>
    <t>Gain on valuation and gain on realisation of mutual funds measured at fair value through profit or loss</t>
  </si>
  <si>
    <t>Dividend income on other strategic investments</t>
  </si>
  <si>
    <t>Dividend Received</t>
  </si>
  <si>
    <t>Amortisation of premium / discount on acquisition of fixed income securtties</t>
  </si>
  <si>
    <t>Government grants</t>
  </si>
  <si>
    <t>Others-Financing Activities</t>
  </si>
  <si>
    <t>Surplus on sale of property plant and equipment</t>
  </si>
  <si>
    <t>Sale Of Fixed Assets (Tangible / Intangible)</t>
  </si>
  <si>
    <t>Change in assets and liabilities</t>
  </si>
  <si>
    <t>(lncrease)/decrease in inventories</t>
  </si>
  <si>
    <t>(lncrease)/decrease in trade receivables</t>
  </si>
  <si>
    <t>(lncrease)/decrease in loans and other assets</t>
  </si>
  <si>
    <t>Other Current and Non Current Assets</t>
  </si>
  <si>
    <t>Loans And Advances</t>
  </si>
  <si>
    <t>lncrease/(decrease) in liabilities and provisions</t>
  </si>
  <si>
    <t>Other Current and Non Current Liabilities</t>
  </si>
  <si>
    <t>Annuity payments (net) to VRS/Welfare scheme optees</t>
  </si>
  <si>
    <t>Purchase Of Fixed Assets (Tangible / Intangible)</t>
  </si>
  <si>
    <t>Others-From Operations</t>
  </si>
  <si>
    <t>Net cash from operating activities before income-tax</t>
  </si>
  <si>
    <t>Cash Generated From Operations</t>
  </si>
  <si>
    <t>Income - tax paid</t>
  </si>
  <si>
    <t>Income Tax Paid</t>
  </si>
  <si>
    <t>Net cash flow from/ ( used In ) operating activities</t>
  </si>
  <si>
    <t>Net Cash Flow From Operating Activities</t>
  </si>
  <si>
    <t>Investing activities</t>
  </si>
  <si>
    <t>Investment in subsidiary</t>
  </si>
  <si>
    <t>Investment In Subsidiaries</t>
  </si>
  <si>
    <t>Sale of investments</t>
  </si>
  <si>
    <t>Sale Of Investments</t>
  </si>
  <si>
    <t>Purchase of investments</t>
  </si>
  <si>
    <t>Purchase Of Investments</t>
  </si>
  <si>
    <t>Sale/(purchase ) of liquid mutual funds etc . net</t>
  </si>
  <si>
    <t>Changes in treasury shares by ESOP trust</t>
  </si>
  <si>
    <t>(Increase)/ decrease in other bank balances</t>
  </si>
  <si>
    <t>Deposits with Banks placed</t>
  </si>
  <si>
    <t>Fixed Deposits</t>
  </si>
  <si>
    <t>Deposits with Banks redeemed</t>
  </si>
  <si>
    <t>Purchase of property plant and equipment ( including advances )</t>
  </si>
  <si>
    <t>Sale proceeds of property plant and equipment</t>
  </si>
  <si>
    <t>Loans given</t>
  </si>
  <si>
    <t>Cash Advances and Loans Made to Other Parties</t>
  </si>
  <si>
    <t>Expenditure on intangible assets ( including under development )</t>
  </si>
  <si>
    <t>Investment income</t>
  </si>
  <si>
    <t>Investment Income</t>
  </si>
  <si>
    <t>Interest Received</t>
  </si>
  <si>
    <t>(Increase)/ decrease in interest receivable</t>
  </si>
  <si>
    <t>Net cash flow from/ ( used in ) Investing activities</t>
  </si>
  <si>
    <t>Net Cash Flow From Investing Activities</t>
  </si>
  <si>
    <t>Financing activities</t>
  </si>
  <si>
    <t>Short term bank loan taken/(repaid )</t>
  </si>
  <si>
    <t>Repayment Of Short Term Borrowings</t>
  </si>
  <si>
    <t>Interest Paid</t>
  </si>
  <si>
    <t>Equity share buy - back ( incltax and expenses )</t>
  </si>
  <si>
    <t>Proceeds From Issue Of Equity Shares (Inclu Share Premium)</t>
  </si>
  <si>
    <t>Change in sales tax deferral liability</t>
  </si>
  <si>
    <t>Payments of lease liabilities</t>
  </si>
  <si>
    <t>Sales Tax Deferral</t>
  </si>
  <si>
    <t>Issue of capital ( including securities premium )</t>
  </si>
  <si>
    <t>Dividend paid ( including payment of unclaimed dividend )</t>
  </si>
  <si>
    <t>Dividend Paid</t>
  </si>
  <si>
    <t>Net cash flow from I (used In) financing activities</t>
  </si>
  <si>
    <t>Net Cash Flow From Financing Activities</t>
  </si>
  <si>
    <t>Net change in cash and cash equivalents</t>
  </si>
  <si>
    <t>Cash and cash equivalents at the beginning of the year</t>
  </si>
  <si>
    <t>Cash and Cash Equivalents at the Beginning of the Year</t>
  </si>
  <si>
    <t>Add/(Less ) : Effects of exchange ( loss)/gain on cash and cash equivalents</t>
  </si>
  <si>
    <t>Effect of Exchange Fluctuation Translation Reserve</t>
  </si>
  <si>
    <t>Cash and cash equivalents at the end of the year</t>
  </si>
  <si>
    <t>Cash and Cash Equivalents at the End of the Year</t>
  </si>
  <si>
    <t>Provision/ impairment for doubtful debts and advances/loans</t>
  </si>
  <si>
    <t>Interest expense (excluding financial services business)</t>
  </si>
  <si>
    <t>Interest income on fixed maturity plans</t>
  </si>
  <si>
    <t>Share Of Profit &amp; Loss from Partnership Firm or Association of Persons Etc</t>
  </si>
  <si>
    <t>Proceeds from borrowings</t>
  </si>
  <si>
    <t>Proceeds From Long Term Borrowings</t>
  </si>
  <si>
    <t>Repayment of borrowings</t>
  </si>
  <si>
    <t>Equity share buy-back (incl. tax and expenses)</t>
  </si>
  <si>
    <t>Issue of capital (including securities premium)</t>
  </si>
  <si>
    <t>Dividend paid (including payment of unclaimed dividend)</t>
  </si>
  <si>
    <t>Net cash flow from/ (used In) financing activities</t>
  </si>
  <si>
    <t>Change in foreign currency translation arising on consolidation</t>
  </si>
  <si>
    <t>Cash and cash equivalents at the beginning of the period</t>
  </si>
  <si>
    <t>Addl(Less) : Effects of exchange (loss)/gain on cash and cash equivalents</t>
  </si>
  <si>
    <t>Cash and cash equivalents at the end of the period</t>
  </si>
  <si>
    <t>Automotive</t>
  </si>
  <si>
    <t>Investments</t>
  </si>
  <si>
    <t>Financing</t>
  </si>
  <si>
    <t>Total</t>
  </si>
  <si>
    <t>Segment profit before tax and finance costs</t>
  </si>
  <si>
    <t>Less: Finance costs (excludes Financial Services business)</t>
  </si>
  <si>
    <t>Total profit before tax</t>
  </si>
  <si>
    <t>Capital employed</t>
  </si>
  <si>
    <t>Segment assets</t>
  </si>
  <si>
    <t>Unallocable</t>
  </si>
  <si>
    <t>Sub-total</t>
  </si>
  <si>
    <t>Segment liabilities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</si>
</sst>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2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/>
    <xf numFmtId="0" fontId="3" fillId="2" borderId="1" xfId="0" applyFont="1" applyFill="1" applyBorder="1" applyAlignment="1">
      <alignment horizont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9" fontId="0" fillId="0" borderId="7" xfId="1" applyFont="1" applyBorder="1"/>
    <xf numFmtId="0" fontId="0" fillId="0" borderId="1" xfId="0" applyBorder="1"/>
    <xf numFmtId="0" fontId="0" fillId="2" borderId="1" xfId="0" applyFill="1" applyBorder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44"/>
  <sheetViews>
    <sheetView workbookViewId="0"/>
  </sheetViews>
  <sheetFormatPr defaultRowHeight="15"/>
  <cols>
    <col min="1" max="1" width="52.28515625" customWidth="1"/>
    <col min="2" max="2" width="54" customWidth="1"/>
    <col min="4" max="4" width="46.7109375" bestFit="1" customWidth="1"/>
  </cols>
  <sheetData>
    <row r="1" spans="1:8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  <c r="G1" s="4" t="s">
        <v>5</v>
      </c>
      <c r="H1" s="5">
        <f>COUNTIF(C:C,G1)</f>
        <v>36</v>
      </c>
    </row>
    <row r="2" spans="1:8">
      <c r="A2" s="10" t="s">
        <v>6</v>
      </c>
      <c r="B2" s="10" t="s">
        <v>7</v>
      </c>
      <c r="C2" s="10" t="s">
        <v>5</v>
      </c>
      <c r="D2" s="10"/>
      <c r="E2" s="10"/>
      <c r="G2" s="6" t="s">
        <v>8</v>
      </c>
      <c r="H2" s="7">
        <f>COUNTIF(C:C,G2)</f>
        <v>6</v>
      </c>
    </row>
    <row r="3" spans="1:8" ht="15.75" thickBot="1">
      <c r="A3" s="10" t="s">
        <v>9</v>
      </c>
      <c r="B3" s="10" t="s">
        <v>10</v>
      </c>
      <c r="C3" s="10" t="s">
        <v>5</v>
      </c>
      <c r="D3" s="10"/>
      <c r="E3" s="10"/>
      <c r="G3" s="8" t="s">
        <v>11</v>
      </c>
      <c r="H3" s="9">
        <f>H1/SUM(H1:H2)</f>
        <v>0.8571428571428571</v>
      </c>
    </row>
    <row r="4" spans="1:8">
      <c r="A4" s="10" t="s">
        <v>12</v>
      </c>
      <c r="B4" s="10" t="s">
        <v>13</v>
      </c>
      <c r="C4" s="10" t="s">
        <v>5</v>
      </c>
      <c r="D4" s="10"/>
      <c r="E4" s="10"/>
    </row>
    <row r="5" spans="1:8">
      <c r="A5" s="10" t="s">
        <v>14</v>
      </c>
      <c r="B5" s="10" t="s">
        <v>15</v>
      </c>
      <c r="C5" s="10" t="s">
        <v>5</v>
      </c>
      <c r="D5" s="10"/>
      <c r="E5" s="10"/>
    </row>
    <row r="6" spans="1:8">
      <c r="A6" s="10" t="s">
        <v>16</v>
      </c>
      <c r="B6" s="10" t="s">
        <v>17</v>
      </c>
      <c r="C6" s="10" t="s">
        <v>5</v>
      </c>
      <c r="D6" s="10"/>
      <c r="E6" s="10"/>
    </row>
    <row r="7" spans="1:8">
      <c r="A7" s="10" t="s">
        <v>18</v>
      </c>
      <c r="B7" s="10" t="s">
        <v>19</v>
      </c>
      <c r="C7" s="10" t="s">
        <v>5</v>
      </c>
      <c r="D7" s="10"/>
      <c r="E7" s="10"/>
    </row>
    <row r="8" spans="1:8">
      <c r="A8" s="10" t="s">
        <v>20</v>
      </c>
      <c r="B8" s="10" t="s">
        <v>21</v>
      </c>
      <c r="C8" s="10" t="s">
        <v>5</v>
      </c>
      <c r="D8" s="10"/>
      <c r="E8" s="10"/>
    </row>
    <row r="9" spans="1:8">
      <c r="A9" s="10" t="s">
        <v>22</v>
      </c>
      <c r="B9" s="10" t="s">
        <v>23</v>
      </c>
      <c r="C9" s="10" t="s">
        <v>5</v>
      </c>
      <c r="D9" s="10"/>
      <c r="E9" s="10"/>
    </row>
    <row r="10" spans="1:8">
      <c r="A10" s="10" t="s">
        <v>24</v>
      </c>
      <c r="B10" s="10" t="s">
        <v>25</v>
      </c>
      <c r="C10" s="10" t="s">
        <v>5</v>
      </c>
      <c r="D10" s="10"/>
      <c r="E10" s="10"/>
    </row>
    <row r="11" spans="1:8">
      <c r="A11" s="10" t="s">
        <v>26</v>
      </c>
      <c r="B11" s="10" t="s">
        <v>27</v>
      </c>
      <c r="C11" s="10" t="s">
        <v>5</v>
      </c>
      <c r="D11" s="10"/>
      <c r="E11" s="10"/>
    </row>
    <row r="12" spans="1:8">
      <c r="A12" s="10" t="s">
        <v>28</v>
      </c>
      <c r="B12" s="10" t="s">
        <v>29</v>
      </c>
      <c r="C12" s="10" t="s">
        <v>5</v>
      </c>
      <c r="D12" s="10"/>
      <c r="E12" s="10"/>
    </row>
    <row r="13" spans="1:8">
      <c r="A13" s="10" t="s">
        <v>30</v>
      </c>
      <c r="B13" s="10" t="s">
        <v>31</v>
      </c>
      <c r="C13" s="10" t="s">
        <v>5</v>
      </c>
      <c r="D13" s="10"/>
      <c r="E13" s="10"/>
    </row>
    <row r="14" spans="1:8">
      <c r="A14" s="10" t="s">
        <v>32</v>
      </c>
      <c r="B14" s="10" t="s">
        <v>33</v>
      </c>
      <c r="C14" s="10" t="s">
        <v>5</v>
      </c>
      <c r="D14" s="10"/>
      <c r="E14" s="10"/>
    </row>
    <row r="15" spans="1:8">
      <c r="A15" s="10" t="s">
        <v>34</v>
      </c>
      <c r="B15" s="10" t="s">
        <v>35</v>
      </c>
      <c r="C15" s="10" t="s">
        <v>8</v>
      </c>
      <c r="D15" s="10" t="s">
        <v>36</v>
      </c>
      <c r="E15" s="11">
        <v>243</v>
      </c>
    </row>
    <row r="16" spans="1:8">
      <c r="A16" s="10" t="s">
        <v>37</v>
      </c>
      <c r="B16" s="10" t="s">
        <v>38</v>
      </c>
      <c r="C16" s="10" t="s">
        <v>5</v>
      </c>
      <c r="D16" s="10"/>
      <c r="E16" s="10"/>
    </row>
    <row r="17" spans="1:5">
      <c r="A17" s="10" t="s">
        <v>39</v>
      </c>
      <c r="B17" s="10" t="s">
        <v>40</v>
      </c>
      <c r="C17" s="10" t="s">
        <v>5</v>
      </c>
      <c r="D17" s="10"/>
      <c r="E17" s="10"/>
    </row>
    <row r="18" spans="1:5">
      <c r="A18" s="10" t="s">
        <v>41</v>
      </c>
      <c r="B18" s="10" t="s">
        <v>42</v>
      </c>
      <c r="C18" s="10" t="s">
        <v>5</v>
      </c>
      <c r="D18" s="10"/>
      <c r="E18" s="10"/>
    </row>
    <row r="19" spans="1:5">
      <c r="A19" s="10" t="s">
        <v>43</v>
      </c>
      <c r="B19" s="10" t="s">
        <v>44</v>
      </c>
      <c r="C19" s="10" t="s">
        <v>5</v>
      </c>
      <c r="D19" s="10"/>
      <c r="E19" s="10"/>
    </row>
    <row r="20" spans="1:5">
      <c r="A20" s="10" t="s">
        <v>45</v>
      </c>
      <c r="B20" s="10" t="s">
        <v>46</v>
      </c>
      <c r="C20" s="10" t="s">
        <v>5</v>
      </c>
      <c r="D20" s="10"/>
      <c r="E20" s="10"/>
    </row>
    <row r="21" spans="1:5">
      <c r="A21" s="10" t="s">
        <v>47</v>
      </c>
      <c r="B21" s="10" t="s">
        <v>19</v>
      </c>
      <c r="C21" s="10" t="s">
        <v>5</v>
      </c>
      <c r="D21" s="10"/>
      <c r="E21" s="10"/>
    </row>
    <row r="22" spans="1:5">
      <c r="A22" s="10" t="s">
        <v>48</v>
      </c>
      <c r="B22" s="10" t="s">
        <v>49</v>
      </c>
      <c r="C22" s="10" t="s">
        <v>5</v>
      </c>
      <c r="D22" s="10"/>
      <c r="E22" s="10"/>
    </row>
    <row r="23" spans="1:5">
      <c r="A23" s="10" t="s">
        <v>50</v>
      </c>
      <c r="B23" s="10" t="s">
        <v>51</v>
      </c>
      <c r="C23" s="10" t="s">
        <v>5</v>
      </c>
      <c r="D23" s="10"/>
      <c r="E23" s="10"/>
    </row>
    <row r="24" spans="1:5">
      <c r="A24" s="10" t="s">
        <v>52</v>
      </c>
      <c r="B24" s="10" t="s">
        <v>51</v>
      </c>
      <c r="C24" s="10" t="s">
        <v>5</v>
      </c>
      <c r="D24" s="10"/>
      <c r="E24" s="10"/>
    </row>
    <row r="25" spans="1:5">
      <c r="A25" s="10" t="s">
        <v>53</v>
      </c>
      <c r="B25" s="10" t="s">
        <v>35</v>
      </c>
      <c r="C25" s="10"/>
      <c r="D25" s="10"/>
      <c r="E25" s="10"/>
    </row>
    <row r="26" spans="1:5">
      <c r="A26" s="10" t="s">
        <v>54</v>
      </c>
      <c r="B26" s="10" t="s">
        <v>46</v>
      </c>
      <c r="C26" s="10" t="s">
        <v>8</v>
      </c>
      <c r="D26" s="10" t="s">
        <v>55</v>
      </c>
      <c r="E26" s="10"/>
    </row>
    <row r="27" spans="1:5">
      <c r="A27" s="10" t="s">
        <v>56</v>
      </c>
      <c r="B27" s="10" t="s">
        <v>57</v>
      </c>
      <c r="C27" s="10" t="s">
        <v>8</v>
      </c>
      <c r="D27" s="10" t="s">
        <v>58</v>
      </c>
      <c r="E27" s="10">
        <v>270</v>
      </c>
    </row>
    <row r="28" spans="1:5">
      <c r="A28" s="10" t="s">
        <v>59</v>
      </c>
      <c r="B28" s="10" t="s">
        <v>60</v>
      </c>
      <c r="C28" s="10" t="s">
        <v>5</v>
      </c>
      <c r="D28" s="10"/>
      <c r="E28" s="10"/>
    </row>
    <row r="29" spans="1:5">
      <c r="A29" s="10" t="s">
        <v>61</v>
      </c>
      <c r="B29" s="10" t="s">
        <v>57</v>
      </c>
      <c r="C29" s="10" t="s">
        <v>5</v>
      </c>
      <c r="D29" s="10"/>
      <c r="E29" s="10"/>
    </row>
    <row r="30" spans="1:5">
      <c r="A30" s="10" t="s">
        <v>62</v>
      </c>
      <c r="B30" s="10" t="s">
        <v>63</v>
      </c>
      <c r="C30" s="10" t="s">
        <v>8</v>
      </c>
      <c r="D30" s="10" t="s">
        <v>64</v>
      </c>
      <c r="E30" s="10"/>
    </row>
    <row r="31" spans="1:5">
      <c r="A31" s="10" t="s">
        <v>65</v>
      </c>
      <c r="B31" s="10" t="s">
        <v>63</v>
      </c>
      <c r="C31" s="10" t="s">
        <v>5</v>
      </c>
      <c r="D31" s="10"/>
      <c r="E31" s="10"/>
    </row>
    <row r="32" spans="1:5">
      <c r="A32" s="10" t="s">
        <v>66</v>
      </c>
      <c r="B32" s="10" t="s">
        <v>67</v>
      </c>
      <c r="C32" s="10" t="s">
        <v>5</v>
      </c>
      <c r="D32" s="10"/>
      <c r="E32" s="10"/>
    </row>
    <row r="33" spans="1:5">
      <c r="A33" s="10" t="s">
        <v>68</v>
      </c>
      <c r="B33" s="10" t="s">
        <v>69</v>
      </c>
      <c r="C33" s="10" t="s">
        <v>5</v>
      </c>
      <c r="D33" s="10"/>
      <c r="E33" s="10"/>
    </row>
    <row r="34" spans="1:5">
      <c r="A34" s="10" t="s">
        <v>70</v>
      </c>
      <c r="B34" s="10" t="s">
        <v>71</v>
      </c>
      <c r="C34" s="10" t="s">
        <v>8</v>
      </c>
      <c r="D34" s="10" t="s">
        <v>72</v>
      </c>
      <c r="E34" s="10">
        <v>20019</v>
      </c>
    </row>
    <row r="35" spans="1:5">
      <c r="A35" s="10" t="s">
        <v>73</v>
      </c>
      <c r="B35" s="10" t="s">
        <v>19</v>
      </c>
      <c r="C35" s="10" t="s">
        <v>5</v>
      </c>
      <c r="D35" s="10"/>
      <c r="E35" s="10"/>
    </row>
    <row r="36" spans="1:5">
      <c r="A36" s="10" t="s">
        <v>74</v>
      </c>
      <c r="B36" s="10" t="s">
        <v>74</v>
      </c>
      <c r="C36" s="10" t="s">
        <v>5</v>
      </c>
      <c r="D36" s="10" t="s">
        <v>74</v>
      </c>
      <c r="E36" s="10">
        <v>22299</v>
      </c>
    </row>
    <row r="37" spans="1:5">
      <c r="A37" s="10" t="s">
        <v>75</v>
      </c>
      <c r="B37" s="10" t="s">
        <v>76</v>
      </c>
      <c r="C37" s="10" t="s">
        <v>5</v>
      </c>
      <c r="D37" s="10" t="s">
        <v>76</v>
      </c>
      <c r="E37" s="10">
        <v>22298</v>
      </c>
    </row>
    <row r="38" spans="1:5">
      <c r="A38" s="10" t="s">
        <v>77</v>
      </c>
      <c r="B38" s="10" t="s">
        <v>19</v>
      </c>
      <c r="C38" s="10" t="s">
        <v>5</v>
      </c>
      <c r="D38" s="10"/>
      <c r="E38" s="10"/>
    </row>
    <row r="39" spans="1:5">
      <c r="A39" s="10" t="s">
        <v>74</v>
      </c>
      <c r="B39" s="10" t="s">
        <v>74</v>
      </c>
      <c r="C39" s="10" t="s">
        <v>5</v>
      </c>
      <c r="D39" s="10" t="s">
        <v>74</v>
      </c>
      <c r="E39" s="10">
        <v>22303</v>
      </c>
    </row>
    <row r="40" spans="1:5">
      <c r="A40" s="10" t="s">
        <v>75</v>
      </c>
      <c r="B40" s="10" t="s">
        <v>76</v>
      </c>
      <c r="C40" s="10" t="s">
        <v>5</v>
      </c>
      <c r="D40" s="10" t="s">
        <v>76</v>
      </c>
      <c r="E40" s="10">
        <v>22302</v>
      </c>
    </row>
    <row r="41" spans="1:5">
      <c r="A41" s="10" t="s">
        <v>78</v>
      </c>
      <c r="B41" s="10" t="s">
        <v>79</v>
      </c>
      <c r="C41" s="10" t="s">
        <v>5</v>
      </c>
      <c r="D41" s="10"/>
      <c r="E41" s="10"/>
    </row>
    <row r="42" spans="1:5">
      <c r="A42" s="10" t="s">
        <v>80</v>
      </c>
      <c r="B42" s="10" t="s">
        <v>81</v>
      </c>
      <c r="C42" s="10" t="s">
        <v>5</v>
      </c>
      <c r="D42" s="10"/>
      <c r="E42" s="10"/>
    </row>
    <row r="43" spans="1:5">
      <c r="A43" s="10" t="s">
        <v>82</v>
      </c>
      <c r="B43" s="10" t="s">
        <v>19</v>
      </c>
      <c r="C43" s="10" t="s">
        <v>8</v>
      </c>
      <c r="D43" s="10" t="s">
        <v>83</v>
      </c>
      <c r="E43" s="10">
        <v>222</v>
      </c>
    </row>
    <row r="44" spans="1:5">
      <c r="A44" s="10" t="s">
        <v>84</v>
      </c>
      <c r="B44" s="10" t="s">
        <v>85</v>
      </c>
      <c r="C44" s="10" t="s">
        <v>5</v>
      </c>
      <c r="D44" s="10"/>
      <c r="E44" s="10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6"/>
  <sheetViews>
    <sheetView workbookViewId="0">
      <selection activeCell="B16" sqref="B16"/>
    </sheetView>
  </sheetViews>
  <sheetFormatPr defaultRowHeight="15"/>
  <cols>
    <col min="1" max="1" width="59" customWidth="1"/>
    <col min="2" max="2" width="48" customWidth="1"/>
    <col min="4" max="4" width="41.85546875" bestFit="1" customWidth="1"/>
  </cols>
  <sheetData>
    <row r="1" spans="1:8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  <c r="G1" s="4" t="s">
        <v>5</v>
      </c>
      <c r="H1" s="5">
        <f>COUNTIF(C:C,G1)</f>
        <v>28</v>
      </c>
    </row>
    <row r="2" spans="1:8">
      <c r="A2" s="10" t="s">
        <v>86</v>
      </c>
      <c r="B2" s="10" t="s">
        <v>7</v>
      </c>
      <c r="C2" s="10" t="s">
        <v>8</v>
      </c>
      <c r="D2" s="10" t="s">
        <v>64</v>
      </c>
      <c r="E2" s="10"/>
      <c r="G2" s="6" t="s">
        <v>8</v>
      </c>
      <c r="H2" s="7">
        <f>COUNTIF(C:C,G2)</f>
        <v>6</v>
      </c>
    </row>
    <row r="3" spans="1:8" ht="15.75" thickBot="1">
      <c r="A3" s="10" t="s">
        <v>6</v>
      </c>
      <c r="B3" s="10" t="s">
        <v>7</v>
      </c>
      <c r="C3" s="10" t="s">
        <v>5</v>
      </c>
      <c r="D3" s="10"/>
      <c r="E3" s="10"/>
      <c r="G3" s="8" t="s">
        <v>11</v>
      </c>
      <c r="H3" s="9">
        <f>H1/SUM(H1:H2)</f>
        <v>0.82352941176470584</v>
      </c>
    </row>
    <row r="4" spans="1:8">
      <c r="A4" s="10" t="s">
        <v>9</v>
      </c>
      <c r="B4" s="10" t="s">
        <v>10</v>
      </c>
      <c r="C4" s="10" t="s">
        <v>5</v>
      </c>
      <c r="D4" s="10"/>
      <c r="E4" s="10"/>
    </row>
    <row r="5" spans="1:8">
      <c r="A5" s="10" t="s">
        <v>12</v>
      </c>
      <c r="B5" s="10" t="s">
        <v>13</v>
      </c>
      <c r="C5" s="10" t="s">
        <v>5</v>
      </c>
      <c r="D5" s="10"/>
      <c r="E5" s="10"/>
    </row>
    <row r="6" spans="1:8">
      <c r="A6" s="10" t="s">
        <v>14</v>
      </c>
      <c r="B6" s="10" t="s">
        <v>15</v>
      </c>
      <c r="C6" s="10" t="s">
        <v>5</v>
      </c>
      <c r="D6" s="10"/>
      <c r="E6" s="10"/>
    </row>
    <row r="7" spans="1:8">
      <c r="A7" s="10" t="s">
        <v>16</v>
      </c>
      <c r="B7" s="10" t="s">
        <v>17</v>
      </c>
      <c r="C7" s="10" t="s">
        <v>5</v>
      </c>
      <c r="D7" s="10"/>
      <c r="E7" s="10"/>
    </row>
    <row r="8" spans="1:8">
      <c r="A8" s="10" t="s">
        <v>18</v>
      </c>
      <c r="B8" s="10" t="s">
        <v>19</v>
      </c>
      <c r="C8" s="10" t="s">
        <v>5</v>
      </c>
      <c r="D8" s="10"/>
      <c r="E8" s="10"/>
    </row>
    <row r="9" spans="1:8">
      <c r="A9" s="10" t="s">
        <v>20</v>
      </c>
      <c r="B9" s="10" t="s">
        <v>21</v>
      </c>
      <c r="C9" s="10" t="s">
        <v>5</v>
      </c>
      <c r="D9" s="10"/>
      <c r="E9" s="10"/>
    </row>
    <row r="10" spans="1:8">
      <c r="A10" s="10" t="s">
        <v>22</v>
      </c>
      <c r="B10" s="10" t="s">
        <v>23</v>
      </c>
      <c r="C10" s="10" t="s">
        <v>5</v>
      </c>
      <c r="D10" s="10"/>
      <c r="E10" s="10"/>
    </row>
    <row r="11" spans="1:8">
      <c r="A11" s="10" t="s">
        <v>87</v>
      </c>
      <c r="B11" s="10" t="s">
        <v>25</v>
      </c>
      <c r="C11" s="10" t="s">
        <v>5</v>
      </c>
      <c r="D11" s="10"/>
      <c r="E11" s="10"/>
    </row>
    <row r="12" spans="1:8">
      <c r="A12" s="10" t="s">
        <v>26</v>
      </c>
      <c r="B12" s="10" t="s">
        <v>27</v>
      </c>
      <c r="C12" s="10" t="s">
        <v>5</v>
      </c>
      <c r="D12" s="10"/>
      <c r="E12" s="10"/>
    </row>
    <row r="13" spans="1:8">
      <c r="A13" s="10" t="s">
        <v>28</v>
      </c>
      <c r="B13" s="10" t="s">
        <v>29</v>
      </c>
      <c r="C13" s="10" t="s">
        <v>5</v>
      </c>
      <c r="D13" s="10"/>
      <c r="E13" s="10"/>
    </row>
    <row r="14" spans="1:8">
      <c r="A14" s="10" t="s">
        <v>30</v>
      </c>
      <c r="B14" s="10" t="s">
        <v>31</v>
      </c>
      <c r="C14" s="10" t="s">
        <v>5</v>
      </c>
      <c r="D14" s="10"/>
      <c r="E14" s="10"/>
    </row>
    <row r="15" spans="1:8">
      <c r="A15" s="10" t="s">
        <v>32</v>
      </c>
      <c r="B15" s="10" t="s">
        <v>33</v>
      </c>
      <c r="C15" s="10" t="s">
        <v>5</v>
      </c>
      <c r="D15" s="10"/>
      <c r="E15" s="10"/>
    </row>
    <row r="16" spans="1:8">
      <c r="A16" s="10" t="s">
        <v>34</v>
      </c>
      <c r="B16" s="10" t="s">
        <v>35</v>
      </c>
      <c r="C16" s="10" t="s">
        <v>8</v>
      </c>
      <c r="D16" s="10" t="s">
        <v>36</v>
      </c>
      <c r="E16" s="11">
        <v>243</v>
      </c>
    </row>
    <row r="17" spans="1:5">
      <c r="A17" s="10" t="s">
        <v>37</v>
      </c>
      <c r="B17" s="10" t="s">
        <v>38</v>
      </c>
      <c r="C17" s="10" t="s">
        <v>5</v>
      </c>
      <c r="D17" s="10"/>
      <c r="E17" s="10"/>
    </row>
    <row r="18" spans="1:5">
      <c r="A18" s="10" t="s">
        <v>88</v>
      </c>
      <c r="B18" s="10" t="s">
        <v>42</v>
      </c>
      <c r="C18" s="10" t="s">
        <v>5</v>
      </c>
      <c r="D18" s="10"/>
      <c r="E18" s="10"/>
    </row>
    <row r="19" spans="1:5">
      <c r="A19" s="10" t="s">
        <v>43</v>
      </c>
      <c r="B19" s="10" t="s">
        <v>44</v>
      </c>
      <c r="C19" s="10" t="s">
        <v>5</v>
      </c>
      <c r="D19" s="10"/>
      <c r="E19" s="10"/>
    </row>
    <row r="20" spans="1:5">
      <c r="A20" s="10" t="s">
        <v>45</v>
      </c>
      <c r="B20" s="10" t="s">
        <v>46</v>
      </c>
      <c r="C20" s="10" t="s">
        <v>5</v>
      </c>
      <c r="D20" s="10"/>
      <c r="E20" s="10"/>
    </row>
    <row r="21" spans="1:5">
      <c r="A21" s="10" t="s">
        <v>47</v>
      </c>
      <c r="B21" s="10" t="s">
        <v>19</v>
      </c>
      <c r="C21" s="10" t="s">
        <v>5</v>
      </c>
      <c r="D21" s="10"/>
      <c r="E21" s="10"/>
    </row>
    <row r="22" spans="1:5">
      <c r="A22" s="10" t="s">
        <v>48</v>
      </c>
      <c r="B22" s="10" t="s">
        <v>49</v>
      </c>
      <c r="C22" s="10" t="s">
        <v>5</v>
      </c>
      <c r="D22" s="10"/>
      <c r="E22" s="10"/>
    </row>
    <row r="23" spans="1:5">
      <c r="A23" s="10" t="s">
        <v>50</v>
      </c>
      <c r="B23" s="10" t="s">
        <v>51</v>
      </c>
      <c r="C23" s="10" t="s">
        <v>5</v>
      </c>
      <c r="D23" s="10"/>
      <c r="E23" s="10"/>
    </row>
    <row r="24" spans="1:5">
      <c r="A24" s="10" t="s">
        <v>89</v>
      </c>
      <c r="B24" s="10" t="s">
        <v>51</v>
      </c>
      <c r="C24" s="10" t="s">
        <v>5</v>
      </c>
      <c r="D24" s="10"/>
      <c r="E24" s="10"/>
    </row>
    <row r="25" spans="1:5">
      <c r="A25" s="10" t="s">
        <v>53</v>
      </c>
      <c r="B25" s="10" t="s">
        <v>35</v>
      </c>
      <c r="C25" s="10"/>
      <c r="D25" s="10"/>
      <c r="E25" s="10"/>
    </row>
    <row r="26" spans="1:5">
      <c r="A26" s="10" t="s">
        <v>90</v>
      </c>
      <c r="B26" s="10" t="s">
        <v>46</v>
      </c>
      <c r="C26" s="10" t="s">
        <v>8</v>
      </c>
      <c r="D26" s="10" t="s">
        <v>55</v>
      </c>
      <c r="E26" s="10"/>
    </row>
    <row r="27" spans="1:5">
      <c r="A27" s="10" t="s">
        <v>91</v>
      </c>
      <c r="B27" s="10" t="s">
        <v>57</v>
      </c>
      <c r="C27" s="10" t="s">
        <v>5</v>
      </c>
      <c r="D27" s="10"/>
      <c r="E27" s="10"/>
    </row>
    <row r="28" spans="1:5">
      <c r="A28" s="10" t="s">
        <v>92</v>
      </c>
      <c r="B28" s="10" t="s">
        <v>69</v>
      </c>
      <c r="C28" s="10" t="s">
        <v>8</v>
      </c>
      <c r="D28" s="10" t="s">
        <v>64</v>
      </c>
      <c r="E28" s="10"/>
    </row>
    <row r="29" spans="1:5">
      <c r="A29" s="10" t="s">
        <v>65</v>
      </c>
      <c r="B29" s="10" t="s">
        <v>63</v>
      </c>
      <c r="C29" s="10" t="s">
        <v>5</v>
      </c>
      <c r="D29" s="10"/>
      <c r="E29" s="10"/>
    </row>
    <row r="30" spans="1:5">
      <c r="A30" s="10" t="s">
        <v>66</v>
      </c>
      <c r="B30" s="10" t="s">
        <v>67</v>
      </c>
      <c r="C30" s="10" t="s">
        <v>5</v>
      </c>
      <c r="D30" s="10"/>
      <c r="E30" s="10"/>
    </row>
    <row r="31" spans="1:5">
      <c r="A31" s="10" t="s">
        <v>68</v>
      </c>
      <c r="B31" s="10" t="s">
        <v>69</v>
      </c>
      <c r="C31" s="10" t="s">
        <v>5</v>
      </c>
      <c r="D31" s="10"/>
      <c r="E31" s="10"/>
    </row>
    <row r="32" spans="1:5">
      <c r="A32" s="10" t="s">
        <v>93</v>
      </c>
      <c r="B32" s="10" t="s">
        <v>71</v>
      </c>
      <c r="C32" s="10" t="s">
        <v>8</v>
      </c>
      <c r="D32" s="10" t="s">
        <v>72</v>
      </c>
      <c r="E32" s="10">
        <v>20019</v>
      </c>
    </row>
    <row r="33" spans="1:5">
      <c r="A33" s="10" t="s">
        <v>94</v>
      </c>
      <c r="B33" s="10" t="s">
        <v>79</v>
      </c>
      <c r="C33" s="10" t="s">
        <v>5</v>
      </c>
      <c r="D33" s="10"/>
      <c r="E33" s="10"/>
    </row>
    <row r="34" spans="1:5">
      <c r="A34" s="10" t="s">
        <v>80</v>
      </c>
      <c r="B34" s="10" t="s">
        <v>81</v>
      </c>
      <c r="C34" s="10" t="s">
        <v>5</v>
      </c>
      <c r="D34" s="10"/>
      <c r="E34" s="10"/>
    </row>
    <row r="35" spans="1:5">
      <c r="A35" s="10" t="s">
        <v>95</v>
      </c>
      <c r="B35" s="10" t="s">
        <v>19</v>
      </c>
      <c r="C35" s="10" t="s">
        <v>8</v>
      </c>
      <c r="D35" s="10" t="s">
        <v>83</v>
      </c>
      <c r="E35" s="10">
        <v>222</v>
      </c>
    </row>
    <row r="36" spans="1:5">
      <c r="A36" s="10" t="s">
        <v>96</v>
      </c>
      <c r="B36" s="10" t="s">
        <v>85</v>
      </c>
      <c r="C36" s="10" t="s">
        <v>5</v>
      </c>
      <c r="D36" s="10"/>
      <c r="E36" s="10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3"/>
  <sheetViews>
    <sheetView workbookViewId="0">
      <selection activeCell="A2" sqref="A2"/>
    </sheetView>
  </sheetViews>
  <sheetFormatPr defaultRowHeight="15"/>
  <cols>
    <col min="1" max="1" width="43.42578125" customWidth="1"/>
    <col min="2" max="2" width="46.7109375" bestFit="1" customWidth="1"/>
    <col min="3" max="3" width="8.85546875" bestFit="1" customWidth="1"/>
    <col min="4" max="4" width="39" bestFit="1" customWidth="1"/>
    <col min="5" max="5" width="7.5703125" bestFit="1" customWidth="1"/>
  </cols>
  <sheetData>
    <row r="1" spans="1:8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  <c r="G1" s="4" t="s">
        <v>5</v>
      </c>
      <c r="H1" s="5">
        <f>COUNTIF(C:C,G1)</f>
        <v>43</v>
      </c>
    </row>
    <row r="2" spans="1:8">
      <c r="A2" s="10" t="s">
        <v>97</v>
      </c>
      <c r="B2" s="10" t="s">
        <v>19</v>
      </c>
      <c r="C2" s="10" t="s">
        <v>5</v>
      </c>
      <c r="D2" s="10"/>
      <c r="E2" s="10"/>
      <c r="G2" s="6" t="s">
        <v>8</v>
      </c>
      <c r="H2" s="7">
        <f>COUNTIF(C:C,G2)</f>
        <v>9</v>
      </c>
    </row>
    <row r="3" spans="1:8" ht="15.75" thickBot="1">
      <c r="A3" s="10" t="s">
        <v>98</v>
      </c>
      <c r="B3" s="10" t="s">
        <v>99</v>
      </c>
      <c r="C3" s="10" t="s">
        <v>5</v>
      </c>
      <c r="D3" s="10"/>
      <c r="E3" s="10"/>
      <c r="G3" s="8" t="s">
        <v>11</v>
      </c>
      <c r="H3" s="9">
        <f>H1/SUM(H1:H2)</f>
        <v>0.82692307692307687</v>
      </c>
    </row>
    <row r="4" spans="1:8">
      <c r="A4" s="10" t="s">
        <v>100</v>
      </c>
      <c r="B4" s="10" t="s">
        <v>101</v>
      </c>
      <c r="C4" s="10" t="s">
        <v>5</v>
      </c>
      <c r="D4" s="10"/>
      <c r="E4" s="10"/>
    </row>
    <row r="5" spans="1:8">
      <c r="A5" s="10" t="s">
        <v>102</v>
      </c>
      <c r="B5" s="10" t="s">
        <v>103</v>
      </c>
      <c r="C5" s="10" t="s">
        <v>5</v>
      </c>
      <c r="D5" s="10"/>
      <c r="E5" s="10"/>
    </row>
    <row r="6" spans="1:8">
      <c r="A6" s="10" t="s">
        <v>104</v>
      </c>
      <c r="B6" s="10" t="s">
        <v>105</v>
      </c>
      <c r="C6" s="10" t="s">
        <v>5</v>
      </c>
      <c r="D6" s="10"/>
      <c r="E6" s="10"/>
    </row>
    <row r="7" spans="1:8">
      <c r="A7" s="10" t="s">
        <v>106</v>
      </c>
      <c r="B7" s="10" t="s">
        <v>106</v>
      </c>
      <c r="C7" s="10" t="s">
        <v>5</v>
      </c>
      <c r="D7" s="10"/>
      <c r="E7" s="10"/>
    </row>
    <row r="8" spans="1:8">
      <c r="A8" s="10" t="s">
        <v>107</v>
      </c>
      <c r="B8" s="10" t="s">
        <v>108</v>
      </c>
      <c r="C8" s="10" t="s">
        <v>5</v>
      </c>
      <c r="D8" s="10"/>
      <c r="E8" s="10"/>
    </row>
    <row r="9" spans="1:8">
      <c r="A9" s="10" t="s">
        <v>109</v>
      </c>
      <c r="B9" s="10" t="s">
        <v>19</v>
      </c>
      <c r="C9" s="10" t="s">
        <v>5</v>
      </c>
      <c r="D9" s="10"/>
      <c r="E9" s="10"/>
    </row>
    <row r="10" spans="1:8">
      <c r="A10" s="10" t="s">
        <v>110</v>
      </c>
      <c r="B10" s="10" t="s">
        <v>111</v>
      </c>
      <c r="C10" s="10" t="s">
        <v>8</v>
      </c>
      <c r="D10" s="10" t="s">
        <v>108</v>
      </c>
      <c r="E10" s="10">
        <v>13748</v>
      </c>
    </row>
    <row r="11" spans="1:8">
      <c r="A11" s="10" t="s">
        <v>112</v>
      </c>
      <c r="B11" s="10" t="s">
        <v>113</v>
      </c>
      <c r="C11" s="10" t="s">
        <v>8</v>
      </c>
      <c r="D11" s="10" t="s">
        <v>114</v>
      </c>
      <c r="E11" s="10">
        <v>20217</v>
      </c>
    </row>
    <row r="12" spans="1:8">
      <c r="A12" s="10" t="s">
        <v>115</v>
      </c>
      <c r="B12" s="10" t="s">
        <v>116</v>
      </c>
      <c r="C12" s="10" t="s">
        <v>5</v>
      </c>
      <c r="D12" s="10"/>
      <c r="E12" s="10"/>
    </row>
    <row r="13" spans="1:8">
      <c r="A13" s="10" t="s">
        <v>117</v>
      </c>
      <c r="B13" s="10" t="s">
        <v>118</v>
      </c>
      <c r="C13" s="10" t="s">
        <v>8</v>
      </c>
      <c r="D13" s="10" t="s">
        <v>119</v>
      </c>
      <c r="E13" s="10">
        <v>20215</v>
      </c>
    </row>
    <row r="14" spans="1:8">
      <c r="A14" s="10" t="s">
        <v>120</v>
      </c>
      <c r="B14" s="10" t="s">
        <v>121</v>
      </c>
      <c r="C14" s="10" t="s">
        <v>5</v>
      </c>
      <c r="D14" s="10"/>
      <c r="E14" s="10"/>
    </row>
    <row r="15" spans="1:8">
      <c r="A15" s="10" t="s">
        <v>122</v>
      </c>
      <c r="B15" s="10" t="s">
        <v>123</v>
      </c>
      <c r="C15" s="10" t="s">
        <v>5</v>
      </c>
      <c r="D15" s="10"/>
      <c r="E15" s="10"/>
    </row>
    <row r="16" spans="1:8">
      <c r="A16" s="10" t="s">
        <v>124</v>
      </c>
      <c r="B16" s="10" t="s">
        <v>19</v>
      </c>
      <c r="C16" s="10" t="s">
        <v>5</v>
      </c>
      <c r="D16" s="10"/>
      <c r="E16" s="10"/>
    </row>
    <row r="17" spans="1:5">
      <c r="A17" s="10" t="s">
        <v>125</v>
      </c>
      <c r="B17" s="10" t="s">
        <v>125</v>
      </c>
      <c r="C17" s="10" t="s">
        <v>5</v>
      </c>
      <c r="D17" s="10"/>
      <c r="E17" s="10"/>
    </row>
    <row r="18" spans="1:5">
      <c r="A18" s="10" t="s">
        <v>109</v>
      </c>
      <c r="B18" s="10" t="s">
        <v>19</v>
      </c>
      <c r="C18" s="10" t="s">
        <v>5</v>
      </c>
      <c r="D18" s="10"/>
      <c r="E18" s="10"/>
    </row>
    <row r="19" spans="1:5">
      <c r="A19" s="10" t="s">
        <v>126</v>
      </c>
      <c r="B19" s="10" t="s">
        <v>60</v>
      </c>
      <c r="C19" s="10" t="s">
        <v>8</v>
      </c>
      <c r="D19" s="10" t="s">
        <v>127</v>
      </c>
      <c r="E19" s="10">
        <v>13724</v>
      </c>
    </row>
    <row r="20" spans="1:5">
      <c r="A20" s="10" t="s">
        <v>128</v>
      </c>
      <c r="B20" s="10" t="s">
        <v>129</v>
      </c>
      <c r="C20" s="10" t="s">
        <v>5</v>
      </c>
      <c r="D20" s="10" t="s">
        <v>129</v>
      </c>
      <c r="E20" s="10">
        <v>13780</v>
      </c>
    </row>
    <row r="21" spans="1:5">
      <c r="A21" s="10" t="s">
        <v>130</v>
      </c>
      <c r="B21" s="10" t="s">
        <v>131</v>
      </c>
      <c r="C21" s="10" t="s">
        <v>5</v>
      </c>
      <c r="D21" s="10"/>
      <c r="E21" s="10"/>
    </row>
    <row r="22" spans="1:5">
      <c r="A22" s="10" t="s">
        <v>132</v>
      </c>
      <c r="B22" s="10" t="s">
        <v>133</v>
      </c>
      <c r="C22" s="10" t="s">
        <v>5</v>
      </c>
      <c r="D22" s="10"/>
      <c r="E22" s="10"/>
    </row>
    <row r="23" spans="1:5">
      <c r="A23" s="10" t="s">
        <v>112</v>
      </c>
      <c r="B23" s="10" t="s">
        <v>113</v>
      </c>
      <c r="C23" s="10" t="s">
        <v>5</v>
      </c>
      <c r="D23" s="10"/>
      <c r="E23" s="10"/>
    </row>
    <row r="24" spans="1:5">
      <c r="A24" s="10" t="s">
        <v>115</v>
      </c>
      <c r="B24" s="10" t="s">
        <v>116</v>
      </c>
      <c r="C24" s="10" t="s">
        <v>8</v>
      </c>
      <c r="D24" s="10" t="s">
        <v>134</v>
      </c>
      <c r="E24" s="10">
        <v>20231</v>
      </c>
    </row>
    <row r="25" spans="1:5">
      <c r="A25" s="10" t="s">
        <v>135</v>
      </c>
      <c r="B25" s="10" t="s">
        <v>136</v>
      </c>
      <c r="C25" s="10" t="s">
        <v>5</v>
      </c>
      <c r="D25" s="10"/>
      <c r="E25" s="10"/>
    </row>
    <row r="26" spans="1:5">
      <c r="A26" s="10" t="s">
        <v>137</v>
      </c>
      <c r="B26" s="10" t="s">
        <v>138</v>
      </c>
      <c r="C26" s="10" t="s">
        <v>5</v>
      </c>
      <c r="D26" s="10"/>
      <c r="E26" s="10"/>
    </row>
    <row r="27" spans="1:5">
      <c r="A27" s="10" t="s">
        <v>139</v>
      </c>
      <c r="B27" s="10" t="s">
        <v>140</v>
      </c>
      <c r="C27" s="10" t="s">
        <v>5</v>
      </c>
      <c r="D27" s="10"/>
      <c r="E27" s="10"/>
    </row>
    <row r="28" spans="1:5">
      <c r="A28" s="10" t="s">
        <v>141</v>
      </c>
      <c r="B28" s="10" t="s">
        <v>19</v>
      </c>
      <c r="C28" s="10" t="s">
        <v>5</v>
      </c>
      <c r="D28" s="10"/>
      <c r="E28" s="10"/>
    </row>
    <row r="29" spans="1:5">
      <c r="A29" s="10" t="s">
        <v>142</v>
      </c>
      <c r="B29" s="10" t="s">
        <v>19</v>
      </c>
      <c r="C29" s="10" t="s">
        <v>5</v>
      </c>
      <c r="D29" s="10"/>
      <c r="E29" s="10"/>
    </row>
    <row r="30" spans="1:5">
      <c r="A30" s="10" t="s">
        <v>143</v>
      </c>
      <c r="B30" s="10" t="s">
        <v>144</v>
      </c>
      <c r="C30" s="10" t="s">
        <v>5</v>
      </c>
      <c r="D30" s="10"/>
      <c r="E30" s="10"/>
    </row>
    <row r="31" spans="1:5">
      <c r="A31" s="10" t="s">
        <v>80</v>
      </c>
      <c r="B31" s="10" t="s">
        <v>145</v>
      </c>
      <c r="C31" s="10" t="s">
        <v>5</v>
      </c>
      <c r="D31" s="10"/>
      <c r="E31" s="10"/>
    </row>
    <row r="32" spans="1:5">
      <c r="A32" s="10" t="s">
        <v>146</v>
      </c>
      <c r="B32" s="10" t="s">
        <v>147</v>
      </c>
      <c r="C32" s="10" t="s">
        <v>5</v>
      </c>
      <c r="D32" s="10"/>
      <c r="E32" s="10"/>
    </row>
    <row r="33" spans="1:5">
      <c r="A33" s="10" t="s">
        <v>148</v>
      </c>
      <c r="B33" s="10" t="s">
        <v>19</v>
      </c>
      <c r="C33" s="10" t="s">
        <v>5</v>
      </c>
      <c r="D33" s="10"/>
      <c r="E33" s="10"/>
    </row>
    <row r="34" spans="1:5">
      <c r="A34" s="10" t="s">
        <v>149</v>
      </c>
      <c r="B34" s="10" t="s">
        <v>19</v>
      </c>
      <c r="C34" s="10" t="s">
        <v>5</v>
      </c>
      <c r="D34" s="10"/>
      <c r="E34" s="10"/>
    </row>
    <row r="35" spans="1:5">
      <c r="A35" s="10" t="s">
        <v>150</v>
      </c>
      <c r="B35" s="10" t="s">
        <v>151</v>
      </c>
      <c r="C35" s="10" t="s">
        <v>5</v>
      </c>
      <c r="D35" s="10"/>
      <c r="E35" s="10"/>
    </row>
    <row r="36" spans="1:5">
      <c r="A36" s="10" t="s">
        <v>152</v>
      </c>
      <c r="B36" s="10" t="s">
        <v>153</v>
      </c>
      <c r="C36" s="10" t="s">
        <v>5</v>
      </c>
      <c r="D36" s="10"/>
      <c r="E36" s="10"/>
    </row>
    <row r="37" spans="1:5">
      <c r="A37" s="10" t="s">
        <v>154</v>
      </c>
      <c r="B37" s="10" t="s">
        <v>155</v>
      </c>
      <c r="C37" s="10" t="s">
        <v>5</v>
      </c>
      <c r="D37" s="10"/>
      <c r="E37" s="10"/>
    </row>
    <row r="38" spans="1:5">
      <c r="A38" s="10" t="s">
        <v>156</v>
      </c>
      <c r="B38" s="10" t="s">
        <v>157</v>
      </c>
      <c r="C38" s="10" t="s">
        <v>8</v>
      </c>
      <c r="D38" s="10" t="s">
        <v>158</v>
      </c>
      <c r="E38" s="10">
        <v>33070</v>
      </c>
    </row>
    <row r="39" spans="1:5">
      <c r="A39" s="10" t="s">
        <v>159</v>
      </c>
      <c r="B39" s="10" t="s">
        <v>160</v>
      </c>
      <c r="C39" s="10" t="s">
        <v>5</v>
      </c>
      <c r="D39" s="10"/>
      <c r="E39" s="10"/>
    </row>
    <row r="40" spans="1:5">
      <c r="A40" s="10" t="s">
        <v>161</v>
      </c>
      <c r="B40" s="10" t="s">
        <v>162</v>
      </c>
      <c r="C40" s="10" t="s">
        <v>5</v>
      </c>
      <c r="D40" s="10"/>
      <c r="E40" s="10"/>
    </row>
    <row r="41" spans="1:5">
      <c r="A41" s="10" t="s">
        <v>163</v>
      </c>
      <c r="B41" s="10" t="s">
        <v>19</v>
      </c>
      <c r="C41" s="10" t="s">
        <v>5</v>
      </c>
      <c r="D41" s="10"/>
      <c r="E41" s="10"/>
    </row>
    <row r="42" spans="1:5">
      <c r="A42" s="10" t="s">
        <v>149</v>
      </c>
      <c r="B42" s="10" t="s">
        <v>19</v>
      </c>
      <c r="C42" s="10" t="s">
        <v>5</v>
      </c>
      <c r="D42" s="10"/>
      <c r="E42" s="10"/>
    </row>
    <row r="43" spans="1:5">
      <c r="A43" s="10" t="s">
        <v>164</v>
      </c>
      <c r="B43" s="10" t="s">
        <v>165</v>
      </c>
      <c r="C43" s="10" t="s">
        <v>5</v>
      </c>
      <c r="D43" s="10" t="s">
        <v>165</v>
      </c>
      <c r="E43" s="10">
        <v>20209</v>
      </c>
    </row>
    <row r="44" spans="1:5">
      <c r="A44" s="10" t="s">
        <v>166</v>
      </c>
      <c r="B44" s="10" t="s">
        <v>167</v>
      </c>
      <c r="C44" s="10" t="s">
        <v>8</v>
      </c>
      <c r="D44" s="10" t="s">
        <v>64</v>
      </c>
      <c r="E44" s="10"/>
    </row>
    <row r="45" spans="1:5">
      <c r="A45" s="10" t="s">
        <v>168</v>
      </c>
      <c r="B45" s="10" t="s">
        <v>167</v>
      </c>
      <c r="C45" s="10" t="s">
        <v>5</v>
      </c>
      <c r="D45" s="10" t="s">
        <v>167</v>
      </c>
      <c r="E45" s="10">
        <v>13779</v>
      </c>
    </row>
    <row r="46" spans="1:5">
      <c r="A46" s="10" t="s">
        <v>169</v>
      </c>
      <c r="B46" s="10" t="s">
        <v>167</v>
      </c>
      <c r="C46" s="10" t="s">
        <v>5</v>
      </c>
      <c r="D46" s="10" t="s">
        <v>167</v>
      </c>
      <c r="E46" s="10">
        <v>13779</v>
      </c>
    </row>
    <row r="47" spans="1:5">
      <c r="A47" s="10" t="s">
        <v>170</v>
      </c>
      <c r="B47" s="10" t="s">
        <v>171</v>
      </c>
      <c r="C47" s="10" t="s">
        <v>8</v>
      </c>
      <c r="D47" s="10" t="s">
        <v>172</v>
      </c>
      <c r="E47" s="10">
        <v>20214</v>
      </c>
    </row>
    <row r="48" spans="1:5">
      <c r="A48" s="10" t="s">
        <v>173</v>
      </c>
      <c r="B48" s="10" t="s">
        <v>174</v>
      </c>
      <c r="C48" s="10" t="s">
        <v>5</v>
      </c>
      <c r="D48" s="10"/>
      <c r="E48" s="10"/>
    </row>
    <row r="49" spans="1:5">
      <c r="A49" s="10" t="s">
        <v>152</v>
      </c>
      <c r="B49" s="10" t="s">
        <v>153</v>
      </c>
      <c r="C49" s="10" t="s">
        <v>8</v>
      </c>
      <c r="D49" s="10" t="s">
        <v>175</v>
      </c>
      <c r="E49" s="10">
        <v>13767</v>
      </c>
    </row>
    <row r="50" spans="1:5">
      <c r="A50" s="10" t="s">
        <v>156</v>
      </c>
      <c r="B50" s="10" t="s">
        <v>157</v>
      </c>
      <c r="C50" s="10" t="s">
        <v>5</v>
      </c>
      <c r="D50" s="10"/>
      <c r="E50" s="10"/>
    </row>
    <row r="51" spans="1:5">
      <c r="A51" s="10" t="s">
        <v>176</v>
      </c>
      <c r="B51" s="10" t="s">
        <v>177</v>
      </c>
      <c r="C51" s="10" t="s">
        <v>5</v>
      </c>
      <c r="D51" s="10"/>
      <c r="E51" s="10"/>
    </row>
    <row r="52" spans="1:5">
      <c r="A52" s="10" t="s">
        <v>178</v>
      </c>
      <c r="B52" s="10" t="s">
        <v>162</v>
      </c>
      <c r="C52" s="10" t="s">
        <v>5</v>
      </c>
      <c r="D52" s="10"/>
      <c r="E52" s="10"/>
    </row>
    <row r="53" spans="1:5">
      <c r="A53" s="10" t="s">
        <v>179</v>
      </c>
      <c r="B53" s="10" t="s">
        <v>180</v>
      </c>
      <c r="C53" s="10" t="s">
        <v>5</v>
      </c>
      <c r="D53" s="10"/>
      <c r="E53" s="10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58"/>
  <sheetViews>
    <sheetView workbookViewId="0"/>
  </sheetViews>
  <sheetFormatPr defaultRowHeight="15"/>
  <cols>
    <col min="1" max="1" width="41.5703125" bestFit="1" customWidth="1"/>
    <col min="2" max="2" width="46.7109375" bestFit="1" customWidth="1"/>
    <col min="4" max="4" width="39" bestFit="1" customWidth="1"/>
  </cols>
  <sheetData>
    <row r="1" spans="1:8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  <c r="G1" s="4" t="s">
        <v>5</v>
      </c>
      <c r="H1" s="5">
        <f>COUNTIF(C:C,G1)</f>
        <v>45</v>
      </c>
    </row>
    <row r="2" spans="1:8">
      <c r="A2" s="10" t="s">
        <v>97</v>
      </c>
      <c r="B2" s="10" t="s">
        <v>19</v>
      </c>
      <c r="C2" s="10" t="s">
        <v>5</v>
      </c>
      <c r="D2" s="10"/>
      <c r="E2" s="10"/>
      <c r="G2" s="6" t="s">
        <v>8</v>
      </c>
      <c r="H2" s="7">
        <f>COUNTIF(C:C,G2)</f>
        <v>11</v>
      </c>
    </row>
    <row r="3" spans="1:8" ht="15.75" thickBot="1">
      <c r="A3" s="10" t="s">
        <v>98</v>
      </c>
      <c r="B3" s="10" t="s">
        <v>99</v>
      </c>
      <c r="C3" s="10" t="s">
        <v>5</v>
      </c>
      <c r="D3" s="10"/>
      <c r="E3" s="10"/>
      <c r="G3" s="8" t="s">
        <v>11</v>
      </c>
      <c r="H3" s="9">
        <f>H1/SUM(H1:H2)</f>
        <v>0.8035714285714286</v>
      </c>
    </row>
    <row r="4" spans="1:8">
      <c r="A4" s="10" t="s">
        <v>100</v>
      </c>
      <c r="B4" s="10" t="s">
        <v>101</v>
      </c>
      <c r="C4" s="10" t="s">
        <v>5</v>
      </c>
      <c r="D4" s="10"/>
      <c r="E4" s="10"/>
    </row>
    <row r="5" spans="1:8">
      <c r="A5" s="10" t="s">
        <v>102</v>
      </c>
      <c r="B5" s="10" t="s">
        <v>103</v>
      </c>
      <c r="C5" s="10" t="s">
        <v>5</v>
      </c>
      <c r="D5" s="10"/>
      <c r="E5" s="10"/>
    </row>
    <row r="6" spans="1:8">
      <c r="A6" s="10" t="s">
        <v>104</v>
      </c>
      <c r="B6" s="10" t="s">
        <v>105</v>
      </c>
      <c r="C6" s="10" t="s">
        <v>5</v>
      </c>
      <c r="D6" s="10"/>
      <c r="E6" s="10"/>
    </row>
    <row r="7" spans="1:8">
      <c r="A7" s="10" t="s">
        <v>106</v>
      </c>
      <c r="B7" s="10" t="s">
        <v>106</v>
      </c>
      <c r="C7" s="10" t="s">
        <v>5</v>
      </c>
      <c r="D7" s="10"/>
      <c r="E7" s="10"/>
    </row>
    <row r="8" spans="1:8">
      <c r="A8" s="10" t="s">
        <v>181</v>
      </c>
      <c r="B8" s="10" t="s">
        <v>144</v>
      </c>
      <c r="C8" s="10" t="s">
        <v>8</v>
      </c>
      <c r="D8" s="10" t="s">
        <v>108</v>
      </c>
      <c r="E8" s="10">
        <v>13748</v>
      </c>
    </row>
    <row r="9" spans="1:8">
      <c r="A9" s="10" t="s">
        <v>109</v>
      </c>
      <c r="B9" s="10" t="s">
        <v>19</v>
      </c>
      <c r="C9" s="10" t="s">
        <v>5</v>
      </c>
      <c r="D9" s="10"/>
      <c r="E9" s="10"/>
    </row>
    <row r="10" spans="1:8">
      <c r="A10" s="10" t="s">
        <v>110</v>
      </c>
      <c r="B10" s="10" t="s">
        <v>111</v>
      </c>
      <c r="C10" s="10" t="s">
        <v>8</v>
      </c>
      <c r="D10" s="10" t="s">
        <v>108</v>
      </c>
      <c r="E10" s="10">
        <v>13748</v>
      </c>
    </row>
    <row r="11" spans="1:8">
      <c r="A11" s="10" t="s">
        <v>112</v>
      </c>
      <c r="B11" s="10" t="s">
        <v>113</v>
      </c>
      <c r="C11" s="10" t="s">
        <v>8</v>
      </c>
      <c r="D11" s="10" t="s">
        <v>114</v>
      </c>
      <c r="E11" s="10">
        <v>20217</v>
      </c>
    </row>
    <row r="12" spans="1:8">
      <c r="A12" s="10" t="s">
        <v>115</v>
      </c>
      <c r="B12" s="10" t="s">
        <v>116</v>
      </c>
      <c r="C12" s="10" t="s">
        <v>5</v>
      </c>
      <c r="D12" s="10"/>
      <c r="E12" s="10"/>
    </row>
    <row r="13" spans="1:8">
      <c r="A13" s="10" t="s">
        <v>182</v>
      </c>
      <c r="B13" s="10" t="s">
        <v>151</v>
      </c>
      <c r="C13" s="10" t="s">
        <v>5</v>
      </c>
      <c r="D13" s="10"/>
      <c r="E13" s="10"/>
    </row>
    <row r="14" spans="1:8">
      <c r="A14" s="10" t="s">
        <v>117</v>
      </c>
      <c r="B14" s="10" t="s">
        <v>118</v>
      </c>
      <c r="C14" s="10" t="s">
        <v>8</v>
      </c>
      <c r="D14" s="10" t="s">
        <v>119</v>
      </c>
      <c r="E14" s="10">
        <v>20215</v>
      </c>
    </row>
    <row r="15" spans="1:8">
      <c r="A15" s="10" t="s">
        <v>120</v>
      </c>
      <c r="B15" s="10" t="s">
        <v>121</v>
      </c>
      <c r="C15" s="10" t="s">
        <v>5</v>
      </c>
      <c r="D15" s="10"/>
      <c r="E15" s="10"/>
    </row>
    <row r="16" spans="1:8">
      <c r="A16" s="10" t="s">
        <v>183</v>
      </c>
      <c r="B16" s="10" t="s">
        <v>123</v>
      </c>
      <c r="C16" s="10" t="s">
        <v>5</v>
      </c>
      <c r="D16" s="10"/>
      <c r="E16" s="10"/>
    </row>
    <row r="17" spans="1:5">
      <c r="A17" s="10" t="s">
        <v>124</v>
      </c>
      <c r="B17" s="10" t="s">
        <v>19</v>
      </c>
      <c r="C17" s="10" t="s">
        <v>5</v>
      </c>
      <c r="D17" s="10"/>
      <c r="E17" s="10"/>
    </row>
    <row r="18" spans="1:5">
      <c r="A18" s="10" t="s">
        <v>125</v>
      </c>
      <c r="B18" s="10" t="s">
        <v>125</v>
      </c>
      <c r="C18" s="10" t="s">
        <v>5</v>
      </c>
      <c r="D18" s="10"/>
      <c r="E18" s="10"/>
    </row>
    <row r="19" spans="1:5">
      <c r="A19" s="10" t="s">
        <v>109</v>
      </c>
      <c r="B19" s="10" t="s">
        <v>19</v>
      </c>
      <c r="C19" s="10" t="s">
        <v>5</v>
      </c>
      <c r="D19" s="10"/>
      <c r="E19" s="10"/>
    </row>
    <row r="20" spans="1:5">
      <c r="A20" s="10" t="s">
        <v>126</v>
      </c>
      <c r="B20" s="10" t="s">
        <v>60</v>
      </c>
      <c r="C20" s="10" t="s">
        <v>8</v>
      </c>
      <c r="D20" s="10" t="s">
        <v>127</v>
      </c>
      <c r="E20" s="10">
        <v>13724</v>
      </c>
    </row>
    <row r="21" spans="1:5">
      <c r="A21" s="10" t="s">
        <v>128</v>
      </c>
      <c r="B21" s="10" t="s">
        <v>129</v>
      </c>
      <c r="C21" s="10" t="s">
        <v>5</v>
      </c>
      <c r="D21" s="10" t="s">
        <v>129</v>
      </c>
      <c r="E21" s="10">
        <v>13780</v>
      </c>
    </row>
    <row r="22" spans="1:5">
      <c r="A22" s="10" t="s">
        <v>130</v>
      </c>
      <c r="B22" s="10" t="s">
        <v>131</v>
      </c>
      <c r="C22" s="10" t="s">
        <v>5</v>
      </c>
      <c r="D22" s="10"/>
      <c r="E22" s="10"/>
    </row>
    <row r="23" spans="1:5">
      <c r="A23" s="10" t="s">
        <v>132</v>
      </c>
      <c r="B23" s="10" t="s">
        <v>133</v>
      </c>
      <c r="C23" s="10" t="s">
        <v>5</v>
      </c>
      <c r="D23" s="10"/>
      <c r="E23" s="10"/>
    </row>
    <row r="24" spans="1:5">
      <c r="A24" s="10" t="s">
        <v>112</v>
      </c>
      <c r="B24" s="10" t="s">
        <v>113</v>
      </c>
      <c r="C24" s="10" t="s">
        <v>5</v>
      </c>
      <c r="D24" s="10"/>
      <c r="E24" s="10"/>
    </row>
    <row r="25" spans="1:5">
      <c r="A25" s="10" t="s">
        <v>115</v>
      </c>
      <c r="B25" s="10" t="s">
        <v>116</v>
      </c>
      <c r="C25" s="10" t="s">
        <v>8</v>
      </c>
      <c r="D25" s="10" t="s">
        <v>134</v>
      </c>
      <c r="E25" s="10">
        <v>20231</v>
      </c>
    </row>
    <row r="26" spans="1:5">
      <c r="A26" s="10" t="s">
        <v>135</v>
      </c>
      <c r="B26" s="10" t="s">
        <v>136</v>
      </c>
      <c r="C26" s="10" t="s">
        <v>5</v>
      </c>
      <c r="D26" s="10"/>
      <c r="E26" s="10"/>
    </row>
    <row r="27" spans="1:5">
      <c r="A27" s="10" t="s">
        <v>137</v>
      </c>
      <c r="B27" s="10" t="s">
        <v>138</v>
      </c>
      <c r="C27" s="10" t="s">
        <v>5</v>
      </c>
      <c r="D27" s="10"/>
      <c r="E27" s="10"/>
    </row>
    <row r="28" spans="1:5">
      <c r="A28" s="10" t="s">
        <v>139</v>
      </c>
      <c r="B28" s="10" t="s">
        <v>140</v>
      </c>
      <c r="C28" s="10" t="s">
        <v>5</v>
      </c>
      <c r="D28" s="10"/>
      <c r="E28" s="10"/>
    </row>
    <row r="29" spans="1:5">
      <c r="A29" s="10" t="s">
        <v>184</v>
      </c>
      <c r="B29" s="10" t="s">
        <v>19</v>
      </c>
      <c r="C29" s="10" t="s">
        <v>5</v>
      </c>
      <c r="D29" s="10"/>
      <c r="E29" s="10"/>
    </row>
    <row r="30" spans="1:5">
      <c r="A30" s="10" t="s">
        <v>142</v>
      </c>
      <c r="B30" s="10" t="s">
        <v>19</v>
      </c>
      <c r="C30" s="10" t="s">
        <v>5</v>
      </c>
      <c r="D30" s="10"/>
      <c r="E30" s="10"/>
    </row>
    <row r="31" spans="1:5">
      <c r="A31" s="10" t="s">
        <v>143</v>
      </c>
      <c r="B31" s="10" t="s">
        <v>144</v>
      </c>
      <c r="C31" s="10" t="s">
        <v>5</v>
      </c>
      <c r="D31" s="10"/>
      <c r="E31" s="10"/>
    </row>
    <row r="32" spans="1:5">
      <c r="A32" s="10" t="s">
        <v>80</v>
      </c>
      <c r="B32" s="10" t="s">
        <v>145</v>
      </c>
      <c r="C32" s="10" t="s">
        <v>5</v>
      </c>
      <c r="D32" s="10"/>
      <c r="E32" s="10"/>
    </row>
    <row r="33" spans="1:5">
      <c r="A33" s="10" t="s">
        <v>185</v>
      </c>
      <c r="B33" s="10" t="s">
        <v>147</v>
      </c>
      <c r="C33" s="10" t="s">
        <v>5</v>
      </c>
      <c r="D33" s="10"/>
      <c r="E33" s="10"/>
    </row>
    <row r="34" spans="1:5">
      <c r="A34" s="10" t="s">
        <v>186</v>
      </c>
      <c r="B34" s="10" t="s">
        <v>19</v>
      </c>
      <c r="C34" s="10" t="s">
        <v>8</v>
      </c>
      <c r="D34" s="10" t="s">
        <v>60</v>
      </c>
      <c r="E34" s="10">
        <v>13744</v>
      </c>
    </row>
    <row r="35" spans="1:5">
      <c r="A35" s="10" t="s">
        <v>187</v>
      </c>
      <c r="B35" s="10" t="s">
        <v>147</v>
      </c>
      <c r="C35" s="10"/>
      <c r="D35" s="10" t="s">
        <v>55</v>
      </c>
      <c r="E35" s="10"/>
    </row>
    <row r="36" spans="1:5">
      <c r="A36" s="10" t="s">
        <v>148</v>
      </c>
      <c r="B36" s="10" t="s">
        <v>19</v>
      </c>
      <c r="C36" s="10" t="s">
        <v>5</v>
      </c>
      <c r="D36" s="10"/>
      <c r="E36" s="10"/>
    </row>
    <row r="37" spans="1:5">
      <c r="A37" s="10" t="s">
        <v>149</v>
      </c>
      <c r="B37" s="10" t="s">
        <v>19</v>
      </c>
      <c r="C37" s="10" t="s">
        <v>5</v>
      </c>
      <c r="D37" s="10"/>
      <c r="E37" s="10"/>
    </row>
    <row r="38" spans="1:5">
      <c r="A38" s="10" t="s">
        <v>165</v>
      </c>
      <c r="B38" s="10" t="s">
        <v>165</v>
      </c>
      <c r="C38" s="10" t="s">
        <v>5</v>
      </c>
      <c r="D38" s="10" t="s">
        <v>165</v>
      </c>
      <c r="E38" s="10">
        <v>20223</v>
      </c>
    </row>
    <row r="39" spans="1:5">
      <c r="A39" s="10" t="s">
        <v>150</v>
      </c>
      <c r="B39" s="10" t="s">
        <v>151</v>
      </c>
      <c r="C39" s="10" t="s">
        <v>5</v>
      </c>
      <c r="D39" s="10"/>
      <c r="E39" s="10"/>
    </row>
    <row r="40" spans="1:5">
      <c r="A40" s="10" t="s">
        <v>170</v>
      </c>
      <c r="B40" s="10" t="s">
        <v>171</v>
      </c>
      <c r="C40" s="10" t="s">
        <v>5</v>
      </c>
      <c r="D40" s="10"/>
      <c r="E40" s="10"/>
    </row>
    <row r="41" spans="1:5">
      <c r="A41" s="10" t="s">
        <v>152</v>
      </c>
      <c r="B41" s="10" t="s">
        <v>153</v>
      </c>
      <c r="C41" s="10" t="s">
        <v>5</v>
      </c>
      <c r="D41" s="10"/>
      <c r="E41" s="10"/>
    </row>
    <row r="42" spans="1:5">
      <c r="A42" s="10" t="s">
        <v>154</v>
      </c>
      <c r="B42" s="10" t="s">
        <v>155</v>
      </c>
      <c r="C42" s="10" t="s">
        <v>5</v>
      </c>
      <c r="D42" s="10"/>
      <c r="E42" s="10"/>
    </row>
    <row r="43" spans="1:5">
      <c r="A43" s="10" t="s">
        <v>156</v>
      </c>
      <c r="B43" s="10" t="s">
        <v>157</v>
      </c>
      <c r="C43" s="10" t="s">
        <v>8</v>
      </c>
      <c r="D43" s="10" t="s">
        <v>158</v>
      </c>
      <c r="E43" s="10">
        <v>33070</v>
      </c>
    </row>
    <row r="44" spans="1:5">
      <c r="A44" s="10" t="s">
        <v>159</v>
      </c>
      <c r="B44" s="10" t="s">
        <v>160</v>
      </c>
      <c r="C44" s="10" t="s">
        <v>5</v>
      </c>
      <c r="D44" s="10"/>
      <c r="E44" s="10"/>
    </row>
    <row r="45" spans="1:5">
      <c r="A45" s="10" t="s">
        <v>161</v>
      </c>
      <c r="B45" s="10" t="s">
        <v>162</v>
      </c>
      <c r="C45" s="10" t="s">
        <v>5</v>
      </c>
      <c r="D45" s="10"/>
      <c r="E45" s="10"/>
    </row>
    <row r="46" spans="1:5">
      <c r="A46" s="10" t="s">
        <v>163</v>
      </c>
      <c r="B46" s="10" t="s">
        <v>19</v>
      </c>
      <c r="C46" s="10" t="s">
        <v>5</v>
      </c>
      <c r="D46" s="10"/>
      <c r="E46" s="10"/>
    </row>
    <row r="47" spans="1:5">
      <c r="A47" s="10" t="s">
        <v>149</v>
      </c>
      <c r="B47" s="10" t="s">
        <v>19</v>
      </c>
      <c r="C47" s="10" t="s">
        <v>5</v>
      </c>
      <c r="D47" s="10"/>
      <c r="E47" s="10"/>
    </row>
    <row r="48" spans="1:5">
      <c r="A48" s="10" t="s">
        <v>164</v>
      </c>
      <c r="B48" s="10" t="s">
        <v>165</v>
      </c>
      <c r="C48" s="10" t="s">
        <v>5</v>
      </c>
      <c r="D48" s="10" t="s">
        <v>165</v>
      </c>
      <c r="E48" s="10">
        <v>20209</v>
      </c>
    </row>
    <row r="49" spans="1:5">
      <c r="A49" s="10" t="s">
        <v>166</v>
      </c>
      <c r="B49" s="10" t="s">
        <v>167</v>
      </c>
      <c r="C49" s="10" t="s">
        <v>8</v>
      </c>
      <c r="D49" s="10" t="s">
        <v>64</v>
      </c>
      <c r="E49" s="10"/>
    </row>
    <row r="50" spans="1:5">
      <c r="A50" s="10" t="s">
        <v>168</v>
      </c>
      <c r="B50" s="10" t="s">
        <v>167</v>
      </c>
      <c r="C50" s="10" t="s">
        <v>5</v>
      </c>
      <c r="D50" s="10" t="s">
        <v>167</v>
      </c>
      <c r="E50" s="10">
        <v>13779</v>
      </c>
    </row>
    <row r="51" spans="1:5">
      <c r="A51" s="10" t="s">
        <v>169</v>
      </c>
      <c r="B51" s="10" t="s">
        <v>167</v>
      </c>
      <c r="C51" s="10" t="s">
        <v>5</v>
      </c>
      <c r="D51" s="10" t="s">
        <v>167</v>
      </c>
      <c r="E51" s="10">
        <v>13779</v>
      </c>
    </row>
    <row r="52" spans="1:5">
      <c r="A52" s="10" t="s">
        <v>170</v>
      </c>
      <c r="B52" s="10" t="s">
        <v>171</v>
      </c>
      <c r="C52" s="10" t="s">
        <v>8</v>
      </c>
      <c r="D52" s="10" t="s">
        <v>172</v>
      </c>
      <c r="E52" s="10">
        <v>20214</v>
      </c>
    </row>
    <row r="53" spans="1:5">
      <c r="A53" s="10" t="s">
        <v>173</v>
      </c>
      <c r="B53" s="10" t="s">
        <v>174</v>
      </c>
      <c r="C53" s="10" t="s">
        <v>5</v>
      </c>
      <c r="D53" s="10"/>
      <c r="E53" s="10"/>
    </row>
    <row r="54" spans="1:5">
      <c r="A54" s="10" t="s">
        <v>152</v>
      </c>
      <c r="B54" s="10" t="s">
        <v>153</v>
      </c>
      <c r="C54" s="10" t="s">
        <v>8</v>
      </c>
      <c r="D54" s="10" t="s">
        <v>175</v>
      </c>
      <c r="E54" s="10">
        <v>13767</v>
      </c>
    </row>
    <row r="55" spans="1:5">
      <c r="A55" s="10" t="s">
        <v>156</v>
      </c>
      <c r="B55" s="10" t="s">
        <v>157</v>
      </c>
      <c r="C55" s="10" t="s">
        <v>5</v>
      </c>
      <c r="D55" s="10"/>
      <c r="E55" s="10"/>
    </row>
    <row r="56" spans="1:5">
      <c r="A56" s="10" t="s">
        <v>176</v>
      </c>
      <c r="B56" s="10" t="s">
        <v>177</v>
      </c>
      <c r="C56" s="10" t="s">
        <v>5</v>
      </c>
      <c r="D56" s="10"/>
      <c r="E56" s="10"/>
    </row>
    <row r="57" spans="1:5">
      <c r="A57" s="10" t="s">
        <v>178</v>
      </c>
      <c r="B57" s="10" t="s">
        <v>162</v>
      </c>
      <c r="C57" s="10" t="s">
        <v>5</v>
      </c>
      <c r="D57" s="10"/>
      <c r="E57" s="10"/>
    </row>
    <row r="58" spans="1:5">
      <c r="A58" s="10" t="s">
        <v>179</v>
      </c>
      <c r="B58" s="10" t="s">
        <v>180</v>
      </c>
      <c r="C58" s="10" t="s">
        <v>5</v>
      </c>
      <c r="D58" s="10"/>
      <c r="E58" s="10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71"/>
  <sheetViews>
    <sheetView workbookViewId="0"/>
  </sheetViews>
  <sheetFormatPr defaultRowHeight="15"/>
  <cols>
    <col min="1" max="1" width="65.7109375" customWidth="1"/>
    <col min="2" max="2" width="44.28515625" bestFit="1" customWidth="1"/>
    <col min="4" max="4" width="46.7109375" bestFit="1" customWidth="1"/>
  </cols>
  <sheetData>
    <row r="1" spans="1:8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  <c r="G1" s="4" t="s">
        <v>5</v>
      </c>
      <c r="H1" s="5">
        <f>COUNTIF(C:C,G1)</f>
        <v>43</v>
      </c>
    </row>
    <row r="2" spans="1:8">
      <c r="A2" s="10" t="s">
        <v>45</v>
      </c>
      <c r="B2" s="10" t="s">
        <v>188</v>
      </c>
      <c r="C2" s="10" t="s">
        <v>5</v>
      </c>
      <c r="D2" s="10"/>
      <c r="E2" s="10"/>
      <c r="G2" s="6" t="s">
        <v>8</v>
      </c>
      <c r="H2" s="7">
        <f>COUNTIF(C:C,G2)</f>
        <v>27</v>
      </c>
    </row>
    <row r="3" spans="1:8" ht="15.75" thickBot="1">
      <c r="A3" s="10" t="s">
        <v>189</v>
      </c>
      <c r="B3" s="10" t="s">
        <v>19</v>
      </c>
      <c r="C3" s="10" t="s">
        <v>5</v>
      </c>
      <c r="D3" s="10"/>
      <c r="E3" s="10"/>
      <c r="G3" s="8" t="s">
        <v>11</v>
      </c>
      <c r="H3" s="9">
        <f>H1/SUM(H1:H2)</f>
        <v>0.61428571428571432</v>
      </c>
    </row>
    <row r="4" spans="1:8">
      <c r="A4" s="10" t="s">
        <v>190</v>
      </c>
      <c r="B4" s="10" t="s">
        <v>19</v>
      </c>
      <c r="C4" s="10" t="s">
        <v>5</v>
      </c>
      <c r="D4" s="10"/>
      <c r="E4" s="10"/>
    </row>
    <row r="5" spans="1:8">
      <c r="A5" s="10" t="s">
        <v>191</v>
      </c>
      <c r="B5" s="10" t="s">
        <v>192</v>
      </c>
      <c r="C5" s="10" t="s">
        <v>5</v>
      </c>
      <c r="D5" s="10"/>
      <c r="E5" s="10"/>
    </row>
    <row r="6" spans="1:8">
      <c r="A6" s="10" t="s">
        <v>193</v>
      </c>
      <c r="B6" s="10" t="s">
        <v>194</v>
      </c>
      <c r="C6" s="10" t="s">
        <v>5</v>
      </c>
      <c r="D6" s="10"/>
      <c r="E6" s="10"/>
    </row>
    <row r="7" spans="1:8">
      <c r="A7" s="10" t="s">
        <v>195</v>
      </c>
      <c r="B7" s="10" t="s">
        <v>196</v>
      </c>
      <c r="C7" s="10" t="s">
        <v>5</v>
      </c>
      <c r="D7" s="10"/>
      <c r="E7" s="10"/>
    </row>
    <row r="8" spans="1:8">
      <c r="A8" s="10" t="s">
        <v>197</v>
      </c>
      <c r="B8" s="10" t="s">
        <v>198</v>
      </c>
      <c r="C8" s="10" t="s">
        <v>5</v>
      </c>
      <c r="D8" s="10"/>
      <c r="E8" s="10"/>
    </row>
    <row r="9" spans="1:8">
      <c r="A9" s="10" t="s">
        <v>199</v>
      </c>
      <c r="B9" s="10" t="s">
        <v>200</v>
      </c>
      <c r="C9" s="10" t="s">
        <v>8</v>
      </c>
      <c r="D9" s="10" t="s">
        <v>201</v>
      </c>
      <c r="E9" s="10">
        <v>30407</v>
      </c>
    </row>
    <row r="10" spans="1:8">
      <c r="A10" s="10" t="s">
        <v>202</v>
      </c>
      <c r="B10" s="10" t="s">
        <v>203</v>
      </c>
      <c r="C10" s="10" t="s">
        <v>8</v>
      </c>
      <c r="D10" s="10" t="s">
        <v>204</v>
      </c>
      <c r="E10" s="10">
        <v>30414</v>
      </c>
    </row>
    <row r="11" spans="1:8">
      <c r="A11" s="10" t="s">
        <v>205</v>
      </c>
      <c r="B11" s="10" t="s">
        <v>206</v>
      </c>
      <c r="C11" s="10" t="s">
        <v>8</v>
      </c>
      <c r="D11" s="10" t="s">
        <v>204</v>
      </c>
      <c r="E11" s="10">
        <v>30414</v>
      </c>
    </row>
    <row r="12" spans="1:8">
      <c r="A12" s="10" t="s">
        <v>207</v>
      </c>
      <c r="B12" s="10" t="s">
        <v>208</v>
      </c>
      <c r="C12" s="10" t="s">
        <v>8</v>
      </c>
      <c r="D12" s="10" t="s">
        <v>204</v>
      </c>
      <c r="E12" s="10">
        <v>30414</v>
      </c>
    </row>
    <row r="13" spans="1:8">
      <c r="A13" s="10" t="s">
        <v>209</v>
      </c>
      <c r="B13" s="10" t="s">
        <v>210</v>
      </c>
      <c r="C13" s="10" t="s">
        <v>8</v>
      </c>
      <c r="D13" s="10" t="s">
        <v>204</v>
      </c>
      <c r="E13" s="10">
        <v>30414</v>
      </c>
    </row>
    <row r="14" spans="1:8">
      <c r="A14" s="10" t="s">
        <v>211</v>
      </c>
      <c r="B14" s="10" t="s">
        <v>212</v>
      </c>
      <c r="C14" s="10" t="s">
        <v>8</v>
      </c>
      <c r="D14" s="10" t="s">
        <v>204</v>
      </c>
      <c r="E14" s="10">
        <v>30414</v>
      </c>
    </row>
    <row r="15" spans="1:8">
      <c r="A15" s="10" t="s">
        <v>213</v>
      </c>
      <c r="B15" s="10" t="s">
        <v>210</v>
      </c>
      <c r="C15" s="10" t="s">
        <v>8</v>
      </c>
      <c r="D15" s="10" t="s">
        <v>200</v>
      </c>
      <c r="E15" s="11">
        <v>17542</v>
      </c>
    </row>
    <row r="16" spans="1:8">
      <c r="A16" s="10" t="s">
        <v>214</v>
      </c>
      <c r="B16" s="10" t="s">
        <v>215</v>
      </c>
      <c r="C16" s="10" t="s">
        <v>8</v>
      </c>
      <c r="D16" s="10" t="s">
        <v>200</v>
      </c>
      <c r="E16" s="10">
        <v>17542</v>
      </c>
    </row>
    <row r="17" spans="1:5">
      <c r="A17" s="10" t="s">
        <v>216</v>
      </c>
      <c r="B17" s="10" t="s">
        <v>217</v>
      </c>
      <c r="C17" s="10" t="s">
        <v>5</v>
      </c>
      <c r="D17" s="10"/>
      <c r="E17" s="10"/>
    </row>
    <row r="18" spans="1:5">
      <c r="A18" s="10" t="s">
        <v>218</v>
      </c>
      <c r="B18" s="10" t="s">
        <v>19</v>
      </c>
      <c r="C18" s="10" t="s">
        <v>5</v>
      </c>
      <c r="D18" s="10"/>
      <c r="E18" s="10"/>
    </row>
    <row r="19" spans="1:5">
      <c r="A19" s="10" t="s">
        <v>219</v>
      </c>
      <c r="B19" s="10" t="s">
        <v>220</v>
      </c>
      <c r="C19" s="10" t="s">
        <v>8</v>
      </c>
      <c r="D19" s="10" t="s">
        <v>64</v>
      </c>
      <c r="E19" s="10"/>
    </row>
    <row r="20" spans="1:5">
      <c r="A20" s="10" t="s">
        <v>221</v>
      </c>
      <c r="B20" s="10" t="s">
        <v>222</v>
      </c>
      <c r="C20" s="10" t="s">
        <v>5</v>
      </c>
      <c r="D20" s="10"/>
      <c r="E20" s="10"/>
    </row>
    <row r="21" spans="1:5">
      <c r="A21" s="10" t="s">
        <v>223</v>
      </c>
      <c r="B21" s="10" t="s">
        <v>222</v>
      </c>
      <c r="C21" s="10" t="s">
        <v>5</v>
      </c>
      <c r="D21" s="10"/>
      <c r="E21" s="10"/>
    </row>
    <row r="22" spans="1:5">
      <c r="A22" s="10" t="s">
        <v>224</v>
      </c>
      <c r="B22" s="10" t="s">
        <v>222</v>
      </c>
      <c r="C22" s="10" t="s">
        <v>5</v>
      </c>
      <c r="D22" s="10"/>
      <c r="E22" s="10"/>
    </row>
    <row r="23" spans="1:5">
      <c r="A23" s="10" t="s">
        <v>225</v>
      </c>
      <c r="B23" s="10" t="s">
        <v>226</v>
      </c>
      <c r="C23" s="10" t="s">
        <v>8</v>
      </c>
      <c r="D23" s="10" t="s">
        <v>222</v>
      </c>
      <c r="E23" s="10">
        <v>30481</v>
      </c>
    </row>
    <row r="24" spans="1:5">
      <c r="A24" s="10" t="s">
        <v>227</v>
      </c>
      <c r="B24" s="10" t="s">
        <v>222</v>
      </c>
      <c r="C24" s="10" t="s">
        <v>5</v>
      </c>
      <c r="D24" s="10"/>
      <c r="E24" s="10"/>
    </row>
    <row r="25" spans="1:5">
      <c r="A25" s="10" t="s">
        <v>228</v>
      </c>
      <c r="B25" s="10" t="s">
        <v>210</v>
      </c>
      <c r="C25" s="10" t="s">
        <v>5</v>
      </c>
      <c r="D25" s="10"/>
      <c r="E25" s="10"/>
    </row>
    <row r="26" spans="1:5">
      <c r="A26" s="10" t="s">
        <v>229</v>
      </c>
      <c r="B26" s="10" t="s">
        <v>210</v>
      </c>
      <c r="C26" s="10" t="s">
        <v>8</v>
      </c>
      <c r="D26" s="10" t="s">
        <v>200</v>
      </c>
      <c r="E26" s="10">
        <v>17542</v>
      </c>
    </row>
    <row r="27" spans="1:5">
      <c r="A27" s="10" t="s">
        <v>230</v>
      </c>
      <c r="B27" s="10" t="s">
        <v>222</v>
      </c>
      <c r="C27" s="10" t="s">
        <v>8</v>
      </c>
      <c r="D27" s="10" t="s">
        <v>231</v>
      </c>
      <c r="E27" s="11">
        <v>30404</v>
      </c>
    </row>
    <row r="28" spans="1:5">
      <c r="A28" s="10" t="s">
        <v>232</v>
      </c>
      <c r="B28" s="10" t="s">
        <v>192</v>
      </c>
      <c r="C28" s="10" t="s">
        <v>5</v>
      </c>
      <c r="D28" s="10"/>
      <c r="E28" s="10"/>
    </row>
    <row r="29" spans="1:5">
      <c r="A29" s="10" t="s">
        <v>233</v>
      </c>
      <c r="B29" s="10" t="s">
        <v>234</v>
      </c>
      <c r="C29" s="10" t="s">
        <v>8</v>
      </c>
      <c r="D29" s="10" t="s">
        <v>200</v>
      </c>
      <c r="E29" s="10">
        <v>17542</v>
      </c>
    </row>
    <row r="30" spans="1:5">
      <c r="A30" s="10" t="s">
        <v>235</v>
      </c>
      <c r="B30" s="10" t="s">
        <v>236</v>
      </c>
      <c r="C30" s="10" t="s">
        <v>5</v>
      </c>
      <c r="D30" s="10"/>
      <c r="E30" s="10"/>
    </row>
    <row r="31" spans="1:5">
      <c r="A31" s="10" t="s">
        <v>237</v>
      </c>
      <c r="B31" s="10" t="s">
        <v>19</v>
      </c>
      <c r="C31" s="10" t="s">
        <v>5</v>
      </c>
      <c r="D31" s="10"/>
      <c r="E31" s="10"/>
    </row>
    <row r="32" spans="1:5">
      <c r="A32" s="10" t="s">
        <v>238</v>
      </c>
      <c r="B32" s="10" t="s">
        <v>125</v>
      </c>
      <c r="C32" s="10" t="s">
        <v>5</v>
      </c>
      <c r="D32" s="10"/>
      <c r="E32" s="10"/>
    </row>
    <row r="33" spans="1:5">
      <c r="A33" s="10" t="s">
        <v>239</v>
      </c>
      <c r="B33" s="10" t="s">
        <v>206</v>
      </c>
      <c r="C33" s="10" t="s">
        <v>5</v>
      </c>
      <c r="D33" s="10"/>
      <c r="E33" s="10"/>
    </row>
    <row r="34" spans="1:5">
      <c r="A34" s="10" t="s">
        <v>240</v>
      </c>
      <c r="B34" s="10" t="s">
        <v>241</v>
      </c>
      <c r="C34" s="10" t="s">
        <v>8</v>
      </c>
      <c r="D34" s="10" t="s">
        <v>242</v>
      </c>
      <c r="E34" s="11">
        <v>30497</v>
      </c>
    </row>
    <row r="35" spans="1:5">
      <c r="A35" s="10" t="s">
        <v>243</v>
      </c>
      <c r="B35" s="10" t="s">
        <v>244</v>
      </c>
      <c r="C35" s="10" t="s">
        <v>5</v>
      </c>
      <c r="D35" s="10"/>
      <c r="E35" s="10"/>
    </row>
    <row r="36" spans="1:5">
      <c r="A36" s="10" t="s">
        <v>245</v>
      </c>
      <c r="B36" s="10" t="s">
        <v>246</v>
      </c>
      <c r="C36" s="10" t="s">
        <v>8</v>
      </c>
      <c r="D36" s="10" t="s">
        <v>247</v>
      </c>
      <c r="E36" s="10">
        <v>17546</v>
      </c>
    </row>
    <row r="37" spans="1:5">
      <c r="A37" s="10" t="s">
        <v>248</v>
      </c>
      <c r="B37" s="10" t="s">
        <v>249</v>
      </c>
      <c r="C37" s="10" t="s">
        <v>5</v>
      </c>
      <c r="D37" s="10"/>
      <c r="E37" s="10"/>
    </row>
    <row r="38" spans="1:5">
      <c r="A38" s="10" t="s">
        <v>250</v>
      </c>
      <c r="B38" s="10" t="s">
        <v>251</v>
      </c>
      <c r="C38" s="10" t="s">
        <v>5</v>
      </c>
      <c r="D38" s="10"/>
      <c r="E38" s="10"/>
    </row>
    <row r="39" spans="1:5">
      <c r="A39" s="10" t="s">
        <v>252</v>
      </c>
      <c r="B39" s="10" t="s">
        <v>253</v>
      </c>
      <c r="C39" s="10" t="s">
        <v>5</v>
      </c>
      <c r="D39" s="10"/>
      <c r="E39" s="10"/>
    </row>
    <row r="40" spans="1:5">
      <c r="A40" s="10" t="s">
        <v>254</v>
      </c>
      <c r="B40" s="10" t="s">
        <v>19</v>
      </c>
      <c r="C40" s="10" t="s">
        <v>5</v>
      </c>
      <c r="D40" s="10"/>
      <c r="E40" s="10"/>
    </row>
    <row r="41" spans="1:5">
      <c r="A41" s="10" t="s">
        <v>255</v>
      </c>
      <c r="B41" s="10" t="s">
        <v>256</v>
      </c>
      <c r="C41" s="10" t="s">
        <v>5</v>
      </c>
      <c r="D41" s="10"/>
      <c r="E41" s="10"/>
    </row>
    <row r="42" spans="1:5">
      <c r="A42" s="10" t="s">
        <v>257</v>
      </c>
      <c r="B42" s="10" t="s">
        <v>258</v>
      </c>
      <c r="C42" s="10" t="s">
        <v>5</v>
      </c>
      <c r="D42" s="10"/>
      <c r="E42" s="10"/>
    </row>
    <row r="43" spans="1:5">
      <c r="A43" s="10" t="s">
        <v>259</v>
      </c>
      <c r="B43" s="10" t="s">
        <v>260</v>
      </c>
      <c r="C43" s="10" t="s">
        <v>5</v>
      </c>
      <c r="D43" s="10"/>
      <c r="E43" s="10"/>
    </row>
    <row r="44" spans="1:5">
      <c r="A44" s="10" t="s">
        <v>261</v>
      </c>
      <c r="B44" s="10" t="s">
        <v>226</v>
      </c>
      <c r="C44" s="10" t="s">
        <v>5</v>
      </c>
      <c r="D44" s="10"/>
      <c r="E44" s="10"/>
    </row>
    <row r="45" spans="1:5">
      <c r="A45" s="10" t="s">
        <v>262</v>
      </c>
      <c r="B45" s="10" t="s">
        <v>247</v>
      </c>
      <c r="C45" s="10" t="s">
        <v>8</v>
      </c>
      <c r="D45" s="10" t="s">
        <v>215</v>
      </c>
      <c r="E45" s="11">
        <v>17545</v>
      </c>
    </row>
    <row r="46" spans="1:5">
      <c r="A46" s="10" t="s">
        <v>263</v>
      </c>
      <c r="B46" s="10" t="s">
        <v>215</v>
      </c>
      <c r="C46" s="10" t="s">
        <v>5</v>
      </c>
      <c r="D46" s="10"/>
      <c r="E46" s="10"/>
    </row>
    <row r="47" spans="1:5">
      <c r="A47" s="10" t="s">
        <v>264</v>
      </c>
      <c r="B47" s="10" t="s">
        <v>265</v>
      </c>
      <c r="C47" s="10" t="s">
        <v>5</v>
      </c>
      <c r="D47" s="10"/>
      <c r="E47" s="10"/>
    </row>
    <row r="48" spans="1:5">
      <c r="A48" s="10" t="s">
        <v>266</v>
      </c>
      <c r="B48" s="10" t="s">
        <v>265</v>
      </c>
      <c r="C48" s="10" t="s">
        <v>5</v>
      </c>
      <c r="D48" s="10"/>
      <c r="E48" s="10"/>
    </row>
    <row r="49" spans="1:5">
      <c r="A49" s="10" t="s">
        <v>267</v>
      </c>
      <c r="B49" s="10" t="s">
        <v>246</v>
      </c>
      <c r="C49" s="10" t="s">
        <v>5</v>
      </c>
      <c r="D49" s="10"/>
      <c r="E49" s="10"/>
    </row>
    <row r="50" spans="1:5">
      <c r="A50" s="10" t="s">
        <v>268</v>
      </c>
      <c r="B50" s="10" t="s">
        <v>236</v>
      </c>
      <c r="C50" s="10" t="s">
        <v>5</v>
      </c>
      <c r="D50" s="10"/>
      <c r="E50" s="10"/>
    </row>
    <row r="51" spans="1:5">
      <c r="A51" s="10" t="s">
        <v>269</v>
      </c>
      <c r="B51" s="10" t="s">
        <v>270</v>
      </c>
      <c r="C51" s="10" t="s">
        <v>5</v>
      </c>
      <c r="D51" s="10"/>
      <c r="E51" s="10"/>
    </row>
    <row r="52" spans="1:5">
      <c r="A52" s="10" t="s">
        <v>271</v>
      </c>
      <c r="B52" s="10" t="s">
        <v>246</v>
      </c>
      <c r="C52" s="10" t="s">
        <v>5</v>
      </c>
      <c r="D52" s="10"/>
      <c r="E52" s="10"/>
    </row>
    <row r="53" spans="1:5">
      <c r="A53" s="10" t="s">
        <v>272</v>
      </c>
      <c r="B53" s="10" t="s">
        <v>210</v>
      </c>
      <c r="C53" s="10" t="s">
        <v>8</v>
      </c>
      <c r="D53" s="10" t="s">
        <v>273</v>
      </c>
      <c r="E53" s="10">
        <v>30488</v>
      </c>
    </row>
    <row r="54" spans="1:5">
      <c r="A54" s="10" t="s">
        <v>221</v>
      </c>
      <c r="B54" s="10" t="s">
        <v>222</v>
      </c>
      <c r="C54" s="10" t="s">
        <v>8</v>
      </c>
      <c r="D54" s="10" t="s">
        <v>274</v>
      </c>
      <c r="E54" s="10">
        <v>30485</v>
      </c>
    </row>
    <row r="55" spans="1:5">
      <c r="A55" s="10" t="s">
        <v>223</v>
      </c>
      <c r="B55" s="10" t="s">
        <v>222</v>
      </c>
      <c r="C55" s="10" t="s">
        <v>8</v>
      </c>
      <c r="D55" s="10" t="s">
        <v>274</v>
      </c>
      <c r="E55" s="10">
        <v>30485</v>
      </c>
    </row>
    <row r="56" spans="1:5">
      <c r="A56" s="10" t="s">
        <v>224</v>
      </c>
      <c r="B56" s="10" t="s">
        <v>222</v>
      </c>
      <c r="C56" s="10" t="s">
        <v>8</v>
      </c>
      <c r="D56" s="10" t="s">
        <v>274</v>
      </c>
      <c r="E56" s="10">
        <v>30485</v>
      </c>
    </row>
    <row r="57" spans="1:5">
      <c r="A57" s="10" t="s">
        <v>230</v>
      </c>
      <c r="B57" s="10" t="s">
        <v>222</v>
      </c>
      <c r="C57" s="10" t="s">
        <v>8</v>
      </c>
      <c r="D57" s="10" t="s">
        <v>231</v>
      </c>
      <c r="E57" s="11">
        <v>30402</v>
      </c>
    </row>
    <row r="58" spans="1:5">
      <c r="A58" s="10" t="s">
        <v>275</v>
      </c>
      <c r="B58" s="10" t="s">
        <v>206</v>
      </c>
      <c r="C58" s="10" t="s">
        <v>8</v>
      </c>
      <c r="D58" s="10" t="s">
        <v>215</v>
      </c>
      <c r="E58" s="10">
        <v>17545</v>
      </c>
    </row>
    <row r="59" spans="1:5">
      <c r="A59" s="10" t="s">
        <v>276</v>
      </c>
      <c r="B59" s="10" t="s">
        <v>277</v>
      </c>
      <c r="C59" s="10" t="s">
        <v>5</v>
      </c>
      <c r="D59" s="10"/>
      <c r="E59" s="10"/>
    </row>
    <row r="60" spans="1:5">
      <c r="A60" s="10" t="s">
        <v>278</v>
      </c>
      <c r="B60" s="10" t="s">
        <v>19</v>
      </c>
      <c r="C60" s="10" t="s">
        <v>5</v>
      </c>
      <c r="D60" s="10"/>
      <c r="E60" s="10"/>
    </row>
    <row r="61" spans="1:5">
      <c r="A61" s="10" t="s">
        <v>279</v>
      </c>
      <c r="B61" s="10" t="s">
        <v>212</v>
      </c>
      <c r="C61" s="10" t="s">
        <v>8</v>
      </c>
      <c r="D61" s="10" t="s">
        <v>280</v>
      </c>
      <c r="E61" s="11">
        <v>30659</v>
      </c>
    </row>
    <row r="62" spans="1:5">
      <c r="A62" s="10" t="s">
        <v>216</v>
      </c>
      <c r="B62" s="10" t="s">
        <v>217</v>
      </c>
      <c r="C62" s="10" t="s">
        <v>8</v>
      </c>
      <c r="D62" s="10" t="s">
        <v>281</v>
      </c>
      <c r="E62" s="10">
        <v>30484</v>
      </c>
    </row>
    <row r="63" spans="1:5">
      <c r="A63" s="10" t="s">
        <v>282</v>
      </c>
      <c r="B63" s="10" t="s">
        <v>283</v>
      </c>
      <c r="C63" s="10" t="s">
        <v>5</v>
      </c>
      <c r="D63" s="10"/>
      <c r="E63" s="10"/>
    </row>
    <row r="64" spans="1:5">
      <c r="A64" s="10" t="s">
        <v>284</v>
      </c>
      <c r="B64" s="10" t="s">
        <v>285</v>
      </c>
      <c r="C64" s="10" t="s">
        <v>8</v>
      </c>
      <c r="D64" s="10" t="s">
        <v>286</v>
      </c>
      <c r="E64" s="11">
        <v>30661</v>
      </c>
    </row>
    <row r="65" spans="1:5">
      <c r="A65" s="10" t="s">
        <v>287</v>
      </c>
      <c r="B65" s="10" t="s">
        <v>234</v>
      </c>
      <c r="C65" s="10" t="s">
        <v>8</v>
      </c>
      <c r="D65" s="10" t="s">
        <v>283</v>
      </c>
      <c r="E65" s="11">
        <v>17553</v>
      </c>
    </row>
    <row r="66" spans="1:5">
      <c r="A66" s="10" t="s">
        <v>288</v>
      </c>
      <c r="B66" s="10" t="s">
        <v>289</v>
      </c>
      <c r="C66" s="10" t="s">
        <v>5</v>
      </c>
      <c r="D66" s="10"/>
      <c r="E66" s="10"/>
    </row>
    <row r="67" spans="1:5">
      <c r="A67" s="10" t="s">
        <v>290</v>
      </c>
      <c r="B67" s="10" t="s">
        <v>291</v>
      </c>
      <c r="C67" s="10" t="s">
        <v>5</v>
      </c>
      <c r="D67" s="10"/>
      <c r="E67" s="10"/>
    </row>
    <row r="68" spans="1:5">
      <c r="A68" s="10" t="s">
        <v>292</v>
      </c>
      <c r="B68" s="10" t="s">
        <v>203</v>
      </c>
      <c r="C68" s="10" t="s">
        <v>5</v>
      </c>
      <c r="D68" s="10"/>
      <c r="E68" s="10"/>
    </row>
    <row r="69" spans="1:5">
      <c r="A69" s="10" t="s">
        <v>293</v>
      </c>
      <c r="B69" s="10" t="s">
        <v>294</v>
      </c>
      <c r="C69" s="10" t="s">
        <v>5</v>
      </c>
      <c r="D69" s="10"/>
      <c r="E69" s="10"/>
    </row>
    <row r="70" spans="1:5">
      <c r="A70" s="10" t="s">
        <v>295</v>
      </c>
      <c r="B70" s="10" t="s">
        <v>241</v>
      </c>
      <c r="C70" s="10" t="s">
        <v>8</v>
      </c>
      <c r="D70" s="10" t="s">
        <v>296</v>
      </c>
      <c r="E70" s="10">
        <v>17529</v>
      </c>
    </row>
    <row r="71" spans="1:5">
      <c r="A71" s="10" t="s">
        <v>297</v>
      </c>
      <c r="B71" s="10" t="s">
        <v>298</v>
      </c>
      <c r="C71" s="10" t="s">
        <v>5</v>
      </c>
      <c r="D71" s="10"/>
      <c r="E71" s="10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72"/>
  <sheetViews>
    <sheetView tabSelected="1" workbookViewId="0">
      <selection activeCell="D1" sqref="D1"/>
    </sheetView>
  </sheetViews>
  <sheetFormatPr defaultRowHeight="15"/>
  <cols>
    <col min="1" max="1" width="71.140625" customWidth="1"/>
    <col min="2" max="2" width="43.85546875" customWidth="1"/>
    <col min="4" max="4" width="46.7109375" bestFit="1" customWidth="1"/>
  </cols>
  <sheetData>
    <row r="1" spans="1:8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  <c r="G1" s="4" t="s">
        <v>5</v>
      </c>
      <c r="H1" s="5">
        <f>COUNTIF(C:C,G1)</f>
        <v>47</v>
      </c>
    </row>
    <row r="2" spans="1:8">
      <c r="A2" s="10" t="s">
        <v>45</v>
      </c>
      <c r="B2" s="10" t="s">
        <v>188</v>
      </c>
      <c r="C2" s="10" t="s">
        <v>5</v>
      </c>
      <c r="D2" s="10"/>
      <c r="E2" s="10"/>
      <c r="G2" s="6" t="s">
        <v>8</v>
      </c>
      <c r="H2" s="7">
        <f>COUNTIF(C:C,G2)</f>
        <v>24</v>
      </c>
    </row>
    <row r="3" spans="1:8" ht="15.75" thickBot="1">
      <c r="A3" s="10" t="s">
        <v>189</v>
      </c>
      <c r="B3" s="10" t="s">
        <v>19</v>
      </c>
      <c r="C3" s="10" t="s">
        <v>5</v>
      </c>
      <c r="D3" s="10"/>
      <c r="E3" s="10"/>
      <c r="G3" s="8" t="s">
        <v>11</v>
      </c>
      <c r="H3" s="9">
        <f>H1/SUM(H1:H2)</f>
        <v>0.6619718309859155</v>
      </c>
    </row>
    <row r="4" spans="1:8">
      <c r="A4" s="10" t="s">
        <v>190</v>
      </c>
      <c r="B4" s="10" t="s">
        <v>19</v>
      </c>
      <c r="C4" s="10" t="s">
        <v>5</v>
      </c>
      <c r="D4" s="10"/>
      <c r="E4" s="10"/>
    </row>
    <row r="5" spans="1:8">
      <c r="A5" s="10" t="s">
        <v>191</v>
      </c>
      <c r="B5" s="10" t="s">
        <v>192</v>
      </c>
      <c r="C5" s="10" t="s">
        <v>5</v>
      </c>
      <c r="D5" s="10"/>
      <c r="E5" s="10"/>
    </row>
    <row r="6" spans="1:8">
      <c r="A6" s="10" t="s">
        <v>193</v>
      </c>
      <c r="B6" s="10" t="s">
        <v>194</v>
      </c>
      <c r="C6" s="10" t="s">
        <v>5</v>
      </c>
      <c r="D6" s="10"/>
      <c r="E6" s="10"/>
    </row>
    <row r="7" spans="1:8">
      <c r="A7" s="10" t="s">
        <v>299</v>
      </c>
      <c r="B7" s="10" t="s">
        <v>196</v>
      </c>
      <c r="C7" s="10" t="s">
        <v>5</v>
      </c>
      <c r="D7" s="10"/>
      <c r="E7" s="10"/>
    </row>
    <row r="8" spans="1:8">
      <c r="A8" s="10" t="s">
        <v>197</v>
      </c>
      <c r="B8" s="10" t="s">
        <v>198</v>
      </c>
      <c r="C8" s="10" t="s">
        <v>5</v>
      </c>
      <c r="D8" s="10"/>
      <c r="E8" s="10"/>
    </row>
    <row r="9" spans="1:8">
      <c r="A9" s="10" t="s">
        <v>199</v>
      </c>
      <c r="B9" s="10" t="s">
        <v>200</v>
      </c>
      <c r="C9" s="10" t="s">
        <v>8</v>
      </c>
      <c r="D9" s="10" t="s">
        <v>201</v>
      </c>
      <c r="E9" s="10">
        <v>30407</v>
      </c>
    </row>
    <row r="10" spans="1:8">
      <c r="A10" s="10" t="s">
        <v>202</v>
      </c>
      <c r="B10" s="10" t="s">
        <v>203</v>
      </c>
      <c r="C10" s="10" t="s">
        <v>8</v>
      </c>
      <c r="D10" s="10" t="s">
        <v>204</v>
      </c>
      <c r="E10" s="10">
        <v>30414</v>
      </c>
    </row>
    <row r="11" spans="1:8">
      <c r="A11" s="10" t="s">
        <v>205</v>
      </c>
      <c r="B11" s="10" t="s">
        <v>206</v>
      </c>
      <c r="C11" s="10" t="s">
        <v>8</v>
      </c>
      <c r="D11" s="10" t="s">
        <v>204</v>
      </c>
      <c r="E11" s="10">
        <v>30414</v>
      </c>
    </row>
    <row r="12" spans="1:8">
      <c r="A12" s="10" t="s">
        <v>207</v>
      </c>
      <c r="B12" s="10" t="s">
        <v>208</v>
      </c>
      <c r="C12" s="10" t="s">
        <v>8</v>
      </c>
      <c r="D12" s="10" t="s">
        <v>204</v>
      </c>
      <c r="E12" s="10">
        <v>30414</v>
      </c>
    </row>
    <row r="13" spans="1:8">
      <c r="A13" s="10" t="s">
        <v>209</v>
      </c>
      <c r="B13" s="10" t="s">
        <v>210</v>
      </c>
      <c r="C13" s="10" t="s">
        <v>8</v>
      </c>
      <c r="D13" s="10" t="s">
        <v>204</v>
      </c>
      <c r="E13" s="10">
        <v>30414</v>
      </c>
    </row>
    <row r="14" spans="1:8">
      <c r="A14" s="10" t="s">
        <v>213</v>
      </c>
      <c r="B14" s="10" t="s">
        <v>210</v>
      </c>
      <c r="C14" s="10" t="s">
        <v>8</v>
      </c>
      <c r="D14" s="10" t="s">
        <v>200</v>
      </c>
      <c r="E14" s="11">
        <v>17542</v>
      </c>
    </row>
    <row r="15" spans="1:8">
      <c r="A15" s="10" t="s">
        <v>214</v>
      </c>
      <c r="B15" s="10" t="s">
        <v>215</v>
      </c>
      <c r="C15" s="10" t="s">
        <v>5</v>
      </c>
      <c r="D15" s="10"/>
      <c r="E15" s="10"/>
    </row>
    <row r="16" spans="1:8">
      <c r="A16" s="10" t="s">
        <v>300</v>
      </c>
      <c r="B16" s="10" t="s">
        <v>217</v>
      </c>
      <c r="C16" s="10" t="s">
        <v>5</v>
      </c>
      <c r="D16" s="10"/>
      <c r="E16" s="10"/>
    </row>
    <row r="17" spans="1:5">
      <c r="A17" s="10" t="s">
        <v>218</v>
      </c>
      <c r="B17" s="10" t="s">
        <v>19</v>
      </c>
      <c r="C17" s="10" t="s">
        <v>5</v>
      </c>
      <c r="D17" s="10"/>
      <c r="E17" s="10"/>
    </row>
    <row r="18" spans="1:5">
      <c r="A18" s="10" t="s">
        <v>219</v>
      </c>
      <c r="B18" s="10" t="s">
        <v>220</v>
      </c>
      <c r="C18" s="10" t="s">
        <v>8</v>
      </c>
      <c r="D18" s="10" t="s">
        <v>64</v>
      </c>
      <c r="E18" s="10"/>
    </row>
    <row r="19" spans="1:5">
      <c r="A19" s="10" t="s">
        <v>221</v>
      </c>
      <c r="B19" s="10" t="s">
        <v>222</v>
      </c>
      <c r="C19" s="10" t="s">
        <v>5</v>
      </c>
      <c r="D19" s="10"/>
      <c r="E19" s="10"/>
    </row>
    <row r="20" spans="1:5">
      <c r="A20" s="10" t="s">
        <v>223</v>
      </c>
      <c r="B20" s="10" t="s">
        <v>222</v>
      </c>
      <c r="C20" s="10" t="s">
        <v>5</v>
      </c>
      <c r="D20" s="10"/>
      <c r="E20" s="10"/>
    </row>
    <row r="21" spans="1:5">
      <c r="A21" s="10" t="s">
        <v>224</v>
      </c>
      <c r="B21" s="10" t="s">
        <v>222</v>
      </c>
      <c r="C21" s="10" t="s">
        <v>5</v>
      </c>
      <c r="D21" s="10"/>
      <c r="E21" s="10"/>
    </row>
    <row r="22" spans="1:5">
      <c r="A22" s="10" t="s">
        <v>225</v>
      </c>
      <c r="B22" s="10" t="s">
        <v>226</v>
      </c>
      <c r="C22" s="10" t="s">
        <v>8</v>
      </c>
      <c r="D22" s="10" t="s">
        <v>222</v>
      </c>
      <c r="E22" s="10">
        <v>30481</v>
      </c>
    </row>
    <row r="23" spans="1:5">
      <c r="A23" s="10" t="s">
        <v>301</v>
      </c>
      <c r="B23" s="10" t="s">
        <v>222</v>
      </c>
      <c r="C23" s="10" t="s">
        <v>5</v>
      </c>
      <c r="D23" s="10"/>
      <c r="E23" s="10"/>
    </row>
    <row r="24" spans="1:5">
      <c r="A24" s="10" t="s">
        <v>228</v>
      </c>
      <c r="B24" s="10" t="s">
        <v>210</v>
      </c>
      <c r="C24" s="10" t="s">
        <v>5</v>
      </c>
      <c r="D24" s="10"/>
      <c r="E24" s="10"/>
    </row>
    <row r="25" spans="1:5">
      <c r="A25" s="10" t="s">
        <v>229</v>
      </c>
      <c r="B25" s="10" t="s">
        <v>210</v>
      </c>
      <c r="C25" s="10" t="s">
        <v>8</v>
      </c>
      <c r="D25" s="10" t="s">
        <v>200</v>
      </c>
      <c r="E25" s="10">
        <v>17542</v>
      </c>
    </row>
    <row r="26" spans="1:5">
      <c r="A26" s="10" t="s">
        <v>230</v>
      </c>
      <c r="B26" s="10" t="s">
        <v>222</v>
      </c>
      <c r="C26" s="10" t="s">
        <v>8</v>
      </c>
      <c r="D26" s="10" t="s">
        <v>231</v>
      </c>
      <c r="E26" s="11">
        <v>30404</v>
      </c>
    </row>
    <row r="27" spans="1:5">
      <c r="A27" s="10" t="s">
        <v>232</v>
      </c>
      <c r="B27" s="10" t="s">
        <v>192</v>
      </c>
      <c r="C27" s="10" t="s">
        <v>5</v>
      </c>
      <c r="D27" s="10"/>
      <c r="E27" s="10"/>
    </row>
    <row r="28" spans="1:5">
      <c r="A28" s="10" t="s">
        <v>39</v>
      </c>
      <c r="B28" s="10" t="s">
        <v>302</v>
      </c>
      <c r="C28" s="10" t="s">
        <v>5</v>
      </c>
      <c r="D28" s="10"/>
      <c r="E28" s="10"/>
    </row>
    <row r="29" spans="1:5">
      <c r="A29" s="10" t="s">
        <v>233</v>
      </c>
      <c r="B29" s="10" t="s">
        <v>234</v>
      </c>
      <c r="C29" s="10" t="s">
        <v>8</v>
      </c>
      <c r="D29" s="10" t="s">
        <v>200</v>
      </c>
      <c r="E29" s="10">
        <v>17542</v>
      </c>
    </row>
    <row r="30" spans="1:5">
      <c r="A30" s="10" t="s">
        <v>235</v>
      </c>
      <c r="B30" s="10" t="s">
        <v>236</v>
      </c>
      <c r="C30" s="10" t="s">
        <v>5</v>
      </c>
      <c r="D30" s="10"/>
      <c r="E30" s="10"/>
    </row>
    <row r="31" spans="1:5">
      <c r="A31" s="10" t="s">
        <v>237</v>
      </c>
      <c r="B31" s="10" t="s">
        <v>19</v>
      </c>
      <c r="C31" s="10" t="s">
        <v>5</v>
      </c>
      <c r="D31" s="10"/>
      <c r="E31" s="10"/>
    </row>
    <row r="32" spans="1:5">
      <c r="A32" s="10" t="s">
        <v>238</v>
      </c>
      <c r="B32" s="10" t="s">
        <v>125</v>
      </c>
      <c r="C32" s="10" t="s">
        <v>5</v>
      </c>
      <c r="D32" s="10"/>
      <c r="E32" s="10"/>
    </row>
    <row r="33" spans="1:5">
      <c r="A33" s="10" t="s">
        <v>239</v>
      </c>
      <c r="B33" s="10" t="s">
        <v>206</v>
      </c>
      <c r="C33" s="10" t="s">
        <v>5</v>
      </c>
      <c r="D33" s="10"/>
      <c r="E33" s="10"/>
    </row>
    <row r="34" spans="1:5">
      <c r="A34" s="10" t="s">
        <v>240</v>
      </c>
      <c r="B34" s="10" t="s">
        <v>241</v>
      </c>
      <c r="C34" s="10" t="s">
        <v>8</v>
      </c>
      <c r="D34" s="10" t="s">
        <v>242</v>
      </c>
      <c r="E34" s="11">
        <v>30497</v>
      </c>
    </row>
    <row r="35" spans="1:5">
      <c r="A35" s="10" t="s">
        <v>243</v>
      </c>
      <c r="B35" s="10" t="s">
        <v>244</v>
      </c>
      <c r="C35" s="10" t="s">
        <v>5</v>
      </c>
      <c r="D35" s="10"/>
      <c r="E35" s="10"/>
    </row>
    <row r="36" spans="1:5">
      <c r="A36" s="10" t="s">
        <v>245</v>
      </c>
      <c r="B36" s="10" t="s">
        <v>246</v>
      </c>
      <c r="C36" s="10" t="s">
        <v>8</v>
      </c>
      <c r="D36" s="10" t="s">
        <v>247</v>
      </c>
      <c r="E36" s="10">
        <v>17546</v>
      </c>
    </row>
    <row r="37" spans="1:5">
      <c r="A37" s="10" t="s">
        <v>248</v>
      </c>
      <c r="B37" s="10" t="s">
        <v>249</v>
      </c>
      <c r="C37" s="10" t="s">
        <v>5</v>
      </c>
      <c r="D37" s="10"/>
      <c r="E37" s="10"/>
    </row>
    <row r="38" spans="1:5">
      <c r="A38" s="10" t="s">
        <v>250</v>
      </c>
      <c r="B38" s="10" t="s">
        <v>251</v>
      </c>
      <c r="C38" s="10" t="s">
        <v>5</v>
      </c>
      <c r="D38" s="10"/>
      <c r="E38" s="10"/>
    </row>
    <row r="39" spans="1:5">
      <c r="A39" s="10" t="s">
        <v>252</v>
      </c>
      <c r="B39" s="10" t="s">
        <v>253</v>
      </c>
      <c r="C39" s="10" t="s">
        <v>5</v>
      </c>
      <c r="D39" s="10"/>
      <c r="E39" s="10"/>
    </row>
    <row r="40" spans="1:5">
      <c r="A40" s="10" t="s">
        <v>254</v>
      </c>
      <c r="B40" s="10" t="s">
        <v>19</v>
      </c>
      <c r="C40" s="10" t="s">
        <v>5</v>
      </c>
      <c r="D40" s="10"/>
      <c r="E40" s="10"/>
    </row>
    <row r="41" spans="1:5">
      <c r="A41" s="10" t="s">
        <v>257</v>
      </c>
      <c r="B41" s="10" t="s">
        <v>258</v>
      </c>
      <c r="C41" s="10" t="s">
        <v>5</v>
      </c>
      <c r="D41" s="10"/>
      <c r="E41" s="10"/>
    </row>
    <row r="42" spans="1:5">
      <c r="A42" s="10" t="s">
        <v>259</v>
      </c>
      <c r="B42" s="10" t="s">
        <v>260</v>
      </c>
      <c r="C42" s="10" t="s">
        <v>5</v>
      </c>
      <c r="D42" s="10"/>
      <c r="E42" s="10"/>
    </row>
    <row r="43" spans="1:5">
      <c r="A43" s="10" t="s">
        <v>261</v>
      </c>
      <c r="B43" s="10" t="s">
        <v>226</v>
      </c>
      <c r="C43" s="10" t="s">
        <v>5</v>
      </c>
      <c r="D43" s="10"/>
      <c r="E43" s="10"/>
    </row>
    <row r="44" spans="1:5">
      <c r="A44" s="10" t="s">
        <v>262</v>
      </c>
      <c r="B44" s="10" t="s">
        <v>247</v>
      </c>
      <c r="C44" s="10" t="s">
        <v>8</v>
      </c>
      <c r="D44" s="10" t="s">
        <v>215</v>
      </c>
      <c r="E44" s="11">
        <v>17545</v>
      </c>
    </row>
    <row r="45" spans="1:5">
      <c r="A45" s="10" t="s">
        <v>263</v>
      </c>
      <c r="B45" s="10" t="s">
        <v>215</v>
      </c>
      <c r="C45" s="10" t="s">
        <v>5</v>
      </c>
      <c r="D45" s="10"/>
      <c r="E45" s="10"/>
    </row>
    <row r="46" spans="1:5">
      <c r="A46" s="10" t="s">
        <v>264</v>
      </c>
      <c r="B46" s="10" t="s">
        <v>265</v>
      </c>
      <c r="C46" s="10" t="s">
        <v>5</v>
      </c>
      <c r="D46" s="10"/>
      <c r="E46" s="10"/>
    </row>
    <row r="47" spans="1:5">
      <c r="A47" s="10" t="s">
        <v>266</v>
      </c>
      <c r="B47" s="10" t="s">
        <v>265</v>
      </c>
      <c r="C47" s="10" t="s">
        <v>5</v>
      </c>
      <c r="D47" s="10"/>
      <c r="E47" s="10"/>
    </row>
    <row r="48" spans="1:5">
      <c r="A48" s="10" t="s">
        <v>267</v>
      </c>
      <c r="B48" s="10" t="s">
        <v>246</v>
      </c>
      <c r="C48" s="10" t="s">
        <v>5</v>
      </c>
      <c r="D48" s="10"/>
      <c r="E48" s="10"/>
    </row>
    <row r="49" spans="1:5">
      <c r="A49" s="10" t="s">
        <v>268</v>
      </c>
      <c r="B49" s="10" t="s">
        <v>236</v>
      </c>
      <c r="C49" s="10" t="s">
        <v>5</v>
      </c>
      <c r="D49" s="10"/>
      <c r="E49" s="10"/>
    </row>
    <row r="50" spans="1:5">
      <c r="A50" s="10" t="s">
        <v>269</v>
      </c>
      <c r="B50" s="10" t="s">
        <v>270</v>
      </c>
      <c r="C50" s="10" t="s">
        <v>5</v>
      </c>
      <c r="D50" s="10"/>
      <c r="E50" s="10"/>
    </row>
    <row r="51" spans="1:5">
      <c r="A51" s="10" t="s">
        <v>271</v>
      </c>
      <c r="B51" s="10" t="s">
        <v>246</v>
      </c>
      <c r="C51" s="10" t="s">
        <v>5</v>
      </c>
      <c r="D51" s="10"/>
      <c r="E51" s="10"/>
    </row>
    <row r="52" spans="1:5">
      <c r="A52" s="10" t="s">
        <v>272</v>
      </c>
      <c r="B52" s="10" t="s">
        <v>210</v>
      </c>
      <c r="C52" s="10" t="s">
        <v>8</v>
      </c>
      <c r="D52" s="10" t="s">
        <v>273</v>
      </c>
      <c r="E52" s="10">
        <v>30488</v>
      </c>
    </row>
    <row r="53" spans="1:5">
      <c r="A53" s="10" t="s">
        <v>221</v>
      </c>
      <c r="B53" s="10" t="s">
        <v>222</v>
      </c>
      <c r="C53" s="10" t="s">
        <v>8</v>
      </c>
      <c r="D53" s="10" t="s">
        <v>274</v>
      </c>
      <c r="E53" s="10">
        <v>30485</v>
      </c>
    </row>
    <row r="54" spans="1:5">
      <c r="A54" s="10" t="s">
        <v>223</v>
      </c>
      <c r="B54" s="10" t="s">
        <v>222</v>
      </c>
      <c r="C54" s="10" t="s">
        <v>8</v>
      </c>
      <c r="D54" s="10" t="s">
        <v>274</v>
      </c>
      <c r="E54" s="10">
        <v>30485</v>
      </c>
    </row>
    <row r="55" spans="1:5">
      <c r="A55" s="10" t="s">
        <v>224</v>
      </c>
      <c r="B55" s="10" t="s">
        <v>222</v>
      </c>
      <c r="C55" s="10" t="s">
        <v>8</v>
      </c>
      <c r="D55" s="10" t="s">
        <v>274</v>
      </c>
      <c r="E55" s="10">
        <v>30485</v>
      </c>
    </row>
    <row r="56" spans="1:5">
      <c r="A56" s="10" t="s">
        <v>230</v>
      </c>
      <c r="B56" s="10" t="s">
        <v>222</v>
      </c>
      <c r="C56" s="10" t="s">
        <v>8</v>
      </c>
      <c r="D56" s="10" t="s">
        <v>231</v>
      </c>
      <c r="E56" s="11">
        <v>30402</v>
      </c>
    </row>
    <row r="57" spans="1:5">
      <c r="A57" s="10" t="s">
        <v>275</v>
      </c>
      <c r="B57" s="10" t="s">
        <v>206</v>
      </c>
      <c r="C57" s="10" t="s">
        <v>5</v>
      </c>
      <c r="D57" s="10"/>
      <c r="E57" s="10"/>
    </row>
    <row r="58" spans="1:5">
      <c r="A58" s="10" t="s">
        <v>276</v>
      </c>
      <c r="B58" s="10" t="s">
        <v>277</v>
      </c>
      <c r="C58" s="10" t="s">
        <v>5</v>
      </c>
      <c r="D58" s="10"/>
      <c r="E58" s="10"/>
    </row>
    <row r="59" spans="1:5">
      <c r="A59" s="10" t="s">
        <v>278</v>
      </c>
      <c r="B59" s="10" t="s">
        <v>19</v>
      </c>
      <c r="C59" s="10" t="s">
        <v>5</v>
      </c>
      <c r="D59" s="10"/>
      <c r="E59" s="10"/>
    </row>
    <row r="60" spans="1:5">
      <c r="A60" s="10" t="s">
        <v>300</v>
      </c>
      <c r="B60" s="10" t="s">
        <v>217</v>
      </c>
      <c r="C60" s="10" t="s">
        <v>8</v>
      </c>
      <c r="D60" s="10" t="s">
        <v>281</v>
      </c>
      <c r="E60" s="10">
        <v>30484</v>
      </c>
    </row>
    <row r="61" spans="1:5">
      <c r="A61" s="10" t="s">
        <v>303</v>
      </c>
      <c r="B61" s="10" t="s">
        <v>304</v>
      </c>
      <c r="C61" s="10" t="s">
        <v>5</v>
      </c>
      <c r="D61" s="10"/>
      <c r="E61" s="10"/>
    </row>
    <row r="62" spans="1:5">
      <c r="A62" s="10" t="s">
        <v>305</v>
      </c>
      <c r="B62" s="10" t="s">
        <v>212</v>
      </c>
      <c r="C62" s="10" t="s">
        <v>5</v>
      </c>
      <c r="D62" s="10"/>
      <c r="E62" s="10"/>
    </row>
    <row r="63" spans="1:5">
      <c r="A63" s="10" t="s">
        <v>284</v>
      </c>
      <c r="B63" s="10" t="s">
        <v>285</v>
      </c>
      <c r="C63" s="10" t="s">
        <v>8</v>
      </c>
      <c r="D63" s="10" t="s">
        <v>286</v>
      </c>
      <c r="E63" s="11">
        <v>30661</v>
      </c>
    </row>
    <row r="64" spans="1:5">
      <c r="A64" s="10" t="s">
        <v>306</v>
      </c>
      <c r="B64" s="10" t="s">
        <v>283</v>
      </c>
      <c r="C64" s="10" t="s">
        <v>5</v>
      </c>
      <c r="D64" s="10"/>
      <c r="E64" s="10"/>
    </row>
    <row r="65" spans="1:5">
      <c r="A65" s="10" t="s">
        <v>307</v>
      </c>
      <c r="B65" s="10" t="s">
        <v>234</v>
      </c>
      <c r="C65" s="10" t="s">
        <v>8</v>
      </c>
      <c r="D65" s="10" t="s">
        <v>283</v>
      </c>
      <c r="E65" s="11">
        <v>17553</v>
      </c>
    </row>
    <row r="66" spans="1:5">
      <c r="A66" s="10" t="s">
        <v>308</v>
      </c>
      <c r="B66" s="10" t="s">
        <v>289</v>
      </c>
      <c r="C66" s="10" t="s">
        <v>5</v>
      </c>
      <c r="D66" s="10"/>
      <c r="E66" s="10"/>
    </row>
    <row r="67" spans="1:5">
      <c r="A67" s="10" t="s">
        <v>309</v>
      </c>
      <c r="B67" s="10" t="s">
        <v>291</v>
      </c>
      <c r="C67" s="10" t="s">
        <v>5</v>
      </c>
      <c r="D67" s="10"/>
      <c r="E67" s="10"/>
    </row>
    <row r="68" spans="1:5">
      <c r="A68" s="10" t="s">
        <v>310</v>
      </c>
      <c r="B68" s="10" t="s">
        <v>204</v>
      </c>
      <c r="C68" s="10" t="s">
        <v>8</v>
      </c>
      <c r="D68" s="10" t="s">
        <v>296</v>
      </c>
      <c r="E68" s="10">
        <v>17529</v>
      </c>
    </row>
    <row r="69" spans="1:5">
      <c r="A69" s="10" t="s">
        <v>292</v>
      </c>
      <c r="B69" s="10" t="s">
        <v>203</v>
      </c>
      <c r="C69" s="10" t="s">
        <v>5</v>
      </c>
      <c r="D69" s="10"/>
      <c r="E69" s="10"/>
    </row>
    <row r="70" spans="1:5">
      <c r="A70" s="10" t="s">
        <v>311</v>
      </c>
      <c r="B70" s="10" t="s">
        <v>294</v>
      </c>
      <c r="C70" s="10" t="s">
        <v>5</v>
      </c>
      <c r="D70" s="10"/>
      <c r="E70" s="10"/>
    </row>
    <row r="71" spans="1:5">
      <c r="A71" s="10" t="s">
        <v>312</v>
      </c>
      <c r="B71" s="10" t="s">
        <v>294</v>
      </c>
      <c r="C71" s="10" t="s">
        <v>8</v>
      </c>
      <c r="D71" s="10" t="s">
        <v>296</v>
      </c>
      <c r="E71" s="10">
        <v>17529</v>
      </c>
    </row>
    <row r="72" spans="1:5">
      <c r="A72" s="10" t="s">
        <v>313</v>
      </c>
      <c r="B72" s="10" t="s">
        <v>298</v>
      </c>
      <c r="C72" s="10" t="s">
        <v>5</v>
      </c>
      <c r="D72" s="10"/>
      <c r="E72" s="10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31"/>
  <sheetViews>
    <sheetView workbookViewId="0">
      <selection activeCell="B1" sqref="B1"/>
    </sheetView>
  </sheetViews>
  <sheetFormatPr defaultRowHeight="15"/>
  <cols>
    <col min="1" max="1" width="52.7109375" bestFit="1" customWidth="1"/>
    <col min="2" max="2" width="55.7109375" bestFit="1" customWidth="1"/>
    <col min="4" max="4" width="20.85546875" bestFit="1" customWidth="1"/>
  </cols>
  <sheetData>
    <row r="1" spans="1:8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  <c r="G1" s="4" t="s">
        <v>5</v>
      </c>
      <c r="H1" s="5">
        <f>COUNTIF(C:C,G1)</f>
        <v>0</v>
      </c>
    </row>
    <row r="2" spans="1:8">
      <c r="A2" t="s">
        <v>314</v>
      </c>
      <c r="B2" t="s">
        <v>249</v>
      </c>
      <c r="G2" s="6" t="s">
        <v>8</v>
      </c>
      <c r="H2" s="7">
        <f>COUNTIF(C:C,G2)</f>
        <v>0</v>
      </c>
    </row>
    <row r="3" spans="1:8" ht="15.75" thickBot="1">
      <c r="A3" t="s">
        <v>315</v>
      </c>
      <c r="B3" t="s">
        <v>273</v>
      </c>
      <c r="G3" s="8" t="s">
        <v>11</v>
      </c>
      <c r="H3" s="9" t="e">
        <f>H1/SUM(H1:H2)</f>
        <v>#DIV/0!</v>
      </c>
    </row>
    <row r="4" spans="1:8">
      <c r="A4" t="s">
        <v>316</v>
      </c>
      <c r="B4" t="s">
        <v>19</v>
      </c>
    </row>
    <row r="5" spans="1:8">
      <c r="A5" t="s">
        <v>317</v>
      </c>
      <c r="B5" t="s">
        <v>35</v>
      </c>
    </row>
    <row r="6" spans="1:8">
      <c r="A6" t="s">
        <v>318</v>
      </c>
      <c r="B6" t="s">
        <v>188</v>
      </c>
    </row>
    <row r="7" spans="1:8">
      <c r="A7" t="s">
        <v>314</v>
      </c>
      <c r="B7" t="s">
        <v>249</v>
      </c>
    </row>
    <row r="8" spans="1:8">
      <c r="A8" t="s">
        <v>315</v>
      </c>
      <c r="B8" t="s">
        <v>273</v>
      </c>
    </row>
    <row r="9" spans="1:8">
      <c r="A9" t="s">
        <v>316</v>
      </c>
      <c r="B9" t="s">
        <v>19</v>
      </c>
    </row>
    <row r="10" spans="1:8">
      <c r="A10" t="s">
        <v>317</v>
      </c>
      <c r="B10" t="s">
        <v>35</v>
      </c>
    </row>
    <row r="11" spans="1:8">
      <c r="A11" t="s">
        <v>319</v>
      </c>
      <c r="B11" t="s">
        <v>188</v>
      </c>
    </row>
    <row r="12" spans="1:8">
      <c r="A12" t="s">
        <v>320</v>
      </c>
      <c r="B12" t="s">
        <v>188</v>
      </c>
    </row>
    <row r="13" spans="1:8">
      <c r="A13" t="s">
        <v>321</v>
      </c>
      <c r="B13" t="s">
        <v>283</v>
      </c>
    </row>
    <row r="14" spans="1:8">
      <c r="A14" t="s">
        <v>322</v>
      </c>
      <c r="B14" t="s">
        <v>19</v>
      </c>
    </row>
    <row r="15" spans="1:8">
      <c r="A15" t="s">
        <v>314</v>
      </c>
      <c r="B15" t="s">
        <v>249</v>
      </c>
    </row>
    <row r="16" spans="1:8">
      <c r="A16" t="s">
        <v>315</v>
      </c>
      <c r="B16" t="s">
        <v>273</v>
      </c>
    </row>
    <row r="17" spans="1:2">
      <c r="A17" t="s">
        <v>316</v>
      </c>
      <c r="B17" t="s">
        <v>19</v>
      </c>
    </row>
    <row r="18" spans="1:2">
      <c r="A18" t="s">
        <v>323</v>
      </c>
      <c r="B18" t="s">
        <v>234</v>
      </c>
    </row>
    <row r="19" spans="1:2">
      <c r="A19" t="s">
        <v>324</v>
      </c>
      <c r="B19" t="s">
        <v>35</v>
      </c>
    </row>
    <row r="20" spans="1:2">
      <c r="A20" t="s">
        <v>325</v>
      </c>
      <c r="B20" t="s">
        <v>35</v>
      </c>
    </row>
    <row r="21" spans="1:2">
      <c r="A21" t="s">
        <v>314</v>
      </c>
      <c r="B21" t="s">
        <v>249</v>
      </c>
    </row>
    <row r="22" spans="1:2">
      <c r="A22" t="s">
        <v>315</v>
      </c>
      <c r="B22" t="s">
        <v>273</v>
      </c>
    </row>
    <row r="23" spans="1:2">
      <c r="A23" t="s">
        <v>316</v>
      </c>
      <c r="B23" t="s">
        <v>19</v>
      </c>
    </row>
    <row r="24" spans="1:2">
      <c r="A24" t="s">
        <v>323</v>
      </c>
      <c r="B24" t="s">
        <v>234</v>
      </c>
    </row>
    <row r="25" spans="1:2">
      <c r="A25" t="s">
        <v>324</v>
      </c>
      <c r="B25" t="s">
        <v>35</v>
      </c>
    </row>
    <row r="26" spans="1:2">
      <c r="A26" t="s">
        <v>321</v>
      </c>
      <c r="B26" t="s">
        <v>283</v>
      </c>
    </row>
    <row r="27" spans="1:2">
      <c r="A27" t="s">
        <v>314</v>
      </c>
      <c r="B27" t="s">
        <v>249</v>
      </c>
    </row>
    <row r="28" spans="1:2">
      <c r="A28" t="s">
        <v>315</v>
      </c>
      <c r="B28" t="s">
        <v>273</v>
      </c>
    </row>
    <row r="29" spans="1:2">
      <c r="A29" t="s">
        <v>316</v>
      </c>
      <c r="B29" t="s">
        <v>19</v>
      </c>
    </row>
    <row r="30" spans="1:2">
      <c r="A30" t="s">
        <v>323</v>
      </c>
      <c r="B30" t="s">
        <v>234</v>
      </c>
    </row>
    <row r="31" spans="1:2">
      <c r="A31" t="s">
        <v>317</v>
      </c>
      <c r="B31" t="s">
        <v>35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Kaustubh Keny</cp:lastModifiedBy>
  <cp:revision/>
  <dcterms:created xsi:type="dcterms:W3CDTF">2026-03-27T16:20:09Z</dcterms:created>
  <dcterms:modified xsi:type="dcterms:W3CDTF">2026-06-23T07:17:00Z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6b67f6b-bd25-413e-9d05-77870f4520b1_Enabled">
    <vt:lpwstr>true</vt:lpwstr>
  </property>
  <property fmtid="{D5CDD505-2E9C-101B-9397-08002B2CF9AE}" pid="3" name="MSIP_Label_36b67f6b-bd25-413e-9d05-77870f4520b1_SetDate">
    <vt:lpwstr>2026-04-01T07:31:17Z</vt:lpwstr>
  </property>
  <property fmtid="{D5CDD505-2E9C-101B-9397-08002B2CF9AE}" pid="4" name="MSIP_Label_36b67f6b-bd25-413e-9d05-77870f4520b1_Method">
    <vt:lpwstr>Standard</vt:lpwstr>
  </property>
  <property fmtid="{D5CDD505-2E9C-101B-9397-08002B2CF9AE}" pid="5" name="MSIP_Label_36b67f6b-bd25-413e-9d05-77870f4520b1_Name">
    <vt:lpwstr>Official</vt:lpwstr>
  </property>
  <property fmtid="{D5CDD505-2E9C-101B-9397-08002B2CF9AE}" pid="6" name="MSIP_Label_36b67f6b-bd25-413e-9d05-77870f4520b1_SiteId">
    <vt:lpwstr>ca157214-d883-42d0-b0a3-b01f733e5394</vt:lpwstr>
  </property>
  <property fmtid="{D5CDD505-2E9C-101B-9397-08002B2CF9AE}" pid="7" name="MSIP_Label_36b67f6b-bd25-413e-9d05-77870f4520b1_ActionId">
    <vt:lpwstr>af3dd43b-fe8c-4182-b5ea-2d019b14bb82</vt:lpwstr>
  </property>
  <property fmtid="{D5CDD505-2E9C-101B-9397-08002B2CF9AE}" pid="8" name="MSIP_Label_36b67f6b-bd25-413e-9d05-77870f4520b1_ContentBits">
    <vt:lpwstr>2</vt:lpwstr>
  </property>
  <property fmtid="{D5CDD505-2E9C-101B-9397-08002B2CF9AE}" pid="9" name="MSIP_Label_36b67f6b-bd25-413e-9d05-77870f4520b1_Tag">
    <vt:lpwstr>10, 3, 0, 1</vt:lpwstr>
  </property>
</Properties>
</file>