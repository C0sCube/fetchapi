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7A535544-4DEC-4CD8-8178-5D61D1DEDE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6" r:id="rId2"/>
    <sheet name="Standalone Balance Sheet" sheetId="1" r:id="rId3"/>
    <sheet name="Consolidated Balance Sheet" sheetId="5" r:id="rId4"/>
    <sheet name="Standalone Cash Flow" sheetId="3" r:id="rId5"/>
    <sheet name="Consolidated Cash Flow" sheetId="7" r:id="rId6"/>
    <sheet name="Segment Reporting Standalone" sheetId="4" r:id="rId7"/>
    <sheet name="Segment Reporting 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2" i="5"/>
  <c r="H1" i="6"/>
  <c r="H2" i="8"/>
  <c r="H1" i="8"/>
  <c r="H3" i="8" s="1"/>
  <c r="H2" i="4"/>
  <c r="H1" i="4"/>
  <c r="H3" i="4" s="1"/>
  <c r="H2" i="3"/>
  <c r="H1" i="3"/>
  <c r="H2" i="1"/>
  <c r="H1" i="1"/>
  <c r="H2" i="2"/>
  <c r="H1" i="2"/>
  <c r="H1" i="7" l="1"/>
  <c r="H3" i="7" s="1"/>
  <c r="H3" i="3"/>
  <c r="H1" i="5"/>
  <c r="H3" i="5" s="1"/>
  <c r="H3" i="1"/>
  <c r="H2" i="6"/>
  <c r="H3" i="6" s="1"/>
  <c r="H3" i="2"/>
</calcChain>
</file>

<file path=xl/sharedStrings.xml><?xml version="1.0" encoding="utf-8"?>
<sst xmlns="http://schemas.openxmlformats.org/spreadsheetml/2006/main" count="877" uniqueCount="227">
  <si>
    <t>Particulars</t>
  </si>
  <si>
    <t>Cogencis Field</t>
  </si>
  <si>
    <t>SHARE HOLDERS FUNDS</t>
  </si>
  <si>
    <t>Lable</t>
  </si>
  <si>
    <t>Share Capital</t>
  </si>
  <si>
    <t>Reserves &amp; Surplus</t>
  </si>
  <si>
    <t>Reserves And Surplus/Other Equity</t>
  </si>
  <si>
    <t>Money Received Against Share Warrants</t>
  </si>
  <si>
    <t>Share application money pending allotment</t>
  </si>
  <si>
    <t>Non-current liabilities</t>
  </si>
  <si>
    <t>Long-Term Borrowings</t>
  </si>
  <si>
    <t>Borrowings</t>
  </si>
  <si>
    <t>Deferred Tax Liabilities (net)</t>
  </si>
  <si>
    <t>Deferred Tax Liability (Net)</t>
  </si>
  <si>
    <t>Other Long Term Liabilities</t>
  </si>
  <si>
    <t>Other Non-Current Liabilities</t>
  </si>
  <si>
    <t>Long-Term Provisions</t>
  </si>
  <si>
    <t>Current liabilities</t>
  </si>
  <si>
    <t>Short-Term Borrowings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</si>
  <si>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</si>
  <si>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</si>
  <si>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</si>
  <si>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</si>
  <si>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</si>
  <si>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Short-Term Provisions</t>
  </si>
  <si>
    <t>TOTAL</t>
  </si>
  <si>
    <t>Total Equity And Liabilities</t>
  </si>
  <si>
    <t>ASSETS</t>
  </si>
  <si>
    <t>Non-current assets</t>
  </si>
  <si>
    <t>Property, Plant and Equipment and Intangible Assets</t>
  </si>
  <si>
    <t>Property, Plant &amp; Equipment</t>
  </si>
  <si>
    <t>Property Plant and Equipment</t>
  </si>
  <si>
    <t>Intangible Assets</t>
  </si>
  <si>
    <t>Other Intangible Assets</t>
  </si>
  <si>
    <t>Capital Work in Progress</t>
  </si>
  <si>
    <t>Capital Work-In-Progress</t>
  </si>
  <si>
    <t>Intangible Assets under Development</t>
  </si>
  <si>
    <t>Intangible assets under development</t>
  </si>
  <si>
    <t>Non-Current Investments</t>
  </si>
  <si>
    <t>Deferred Tax Assets (Net)</t>
  </si>
  <si>
    <t>Long-term loans and Advances</t>
  </si>
  <si>
    <t>Loans Non-Current</t>
  </si>
  <si>
    <t>Other Non-current Assets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</si>
  <si>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</si>
  <si>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</si>
  <si>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</si>
  <si>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</si>
  <si>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</si>
  <si>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</si>
  <si>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Cash And Cash Equivalents</t>
  </si>
  <si>
    <t>Short Term loans and Advances</t>
  </si>
  <si>
    <t>Loans, Current</t>
  </si>
  <si>
    <t>Other current assets</t>
  </si>
  <si>
    <t>Other Current Assets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</si>
  <si>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</si>
  <si>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</si>
  <si>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</si>
  <si>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</si>
  <si>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</si>
  <si>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</si>
  <si>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EXPENDITURE</t>
  </si>
  <si>
    <t>Cost of materials consumed</t>
  </si>
  <si>
    <t>Cost of Materials Consumed</t>
  </si>
  <si>
    <t>Purchases of Stock in Trade</t>
  </si>
  <si>
    <t>Purchase of Stock-in-Trade</t>
  </si>
  <si>
    <t>Direct Expenses</t>
  </si>
  <si>
    <t>Operating Expenses</t>
  </si>
  <si>
    <t xml:space="preserve">Changes in Inventories of Finished Goods, work -in -progress and stock in trade </t>
  </si>
  <si>
    <t>Changes in Inventories of Finished Goods, Work-In-Progress and Stock-In-Trade</t>
  </si>
  <si>
    <t>Employee Benefits Expenses</t>
  </si>
  <si>
    <t>Employee Benefit Expense</t>
  </si>
  <si>
    <t>Finance Costs</t>
  </si>
  <si>
    <t>Depreciation &amp; Amortisation</t>
  </si>
  <si>
    <t>Depreciation, Depletion and Amortisation Expense</t>
  </si>
  <si>
    <t>Other Expenses</t>
  </si>
  <si>
    <t>TOTAL EXPENSES</t>
  </si>
  <si>
    <t>Total Expenses</t>
  </si>
  <si>
    <t>Profit before Prior Period &amp; exceptional items and tax</t>
  </si>
  <si>
    <t>Profit/(Loss) from Ordinary Activities after Finance Costs but before Exceptional Items</t>
  </si>
  <si>
    <t>Prior Period Items (Net)</t>
  </si>
  <si>
    <t>Extraordinary Items</t>
  </si>
  <si>
    <t>Profit before exceptional items, extraodinary items &amp; tax</t>
  </si>
  <si>
    <t>Exceptional Items</t>
  </si>
  <si>
    <t>Other Exceptional Items</t>
  </si>
  <si>
    <t>Profit before extraordinary items and tax</t>
  </si>
  <si>
    <t>Extraordinary items</t>
  </si>
  <si>
    <t>Profit before tax</t>
  </si>
  <si>
    <t>Profit/(Loss) From Ordinary Activities before Tax</t>
  </si>
  <si>
    <t>Tax Expense</t>
  </si>
  <si>
    <t>Current Tax</t>
  </si>
  <si>
    <t>Deferred tax expenses /(credit)</t>
  </si>
  <si>
    <t>Deferred Tax</t>
  </si>
  <si>
    <t>Short/excess provision for tax</t>
  </si>
  <si>
    <t>MAT Credit Entitlement</t>
  </si>
  <si>
    <t>Profit /(loss) for the Year</t>
  </si>
  <si>
    <t>Net Profit/(Loss) for the Period</t>
  </si>
  <si>
    <t>Share of Profit/(loss) from Associate</t>
  </si>
  <si>
    <t>Share of Profit/(Loss) of Associates/Joint Ventures</t>
  </si>
  <si>
    <t>Earnings per share (Face Value of 10 each: pre bonus)</t>
  </si>
  <si>
    <t>Basic &amp; Diluted</t>
  </si>
  <si>
    <t>Basic EPS</t>
  </si>
  <si>
    <t>Earnings per share (Face Value of 10 each : post bonus)</t>
  </si>
  <si>
    <t>Net Profit/ (Loss) before tax</t>
  </si>
  <si>
    <t>Net Profit Before Tax And Exceptional Item</t>
  </si>
  <si>
    <t>Adjustments to reconcile profit before tax to net cash flows</t>
  </si>
  <si>
    <t>Depreciation of current year (including impairment)</t>
  </si>
  <si>
    <t>Depreciation and Amortisation Expense</t>
  </si>
  <si>
    <t>Adjustment of Exceptional item</t>
  </si>
  <si>
    <t>Net Cash Flow From Operating Activities</t>
  </si>
  <si>
    <t>Adjustment of Gratuity Expenses</t>
  </si>
  <si>
    <t>Provision For Gratuity,Leave Encashment And Pensions</t>
  </si>
  <si>
    <t>Adjustment of Lease Equalisation Reserve Charged to P&amp;L</t>
  </si>
  <si>
    <t>Others-Before Working Capital Changes</t>
  </si>
  <si>
    <t>Adjustment of Profit on Sale of Fixed Assets</t>
  </si>
  <si>
    <t>Loss On Sale Of Fixed Assets</t>
  </si>
  <si>
    <t>Share in Profit/Loss of LLP</t>
  </si>
  <si>
    <t>Finance Cost</t>
  </si>
  <si>
    <t>Interest Expense</t>
  </si>
  <si>
    <t>Interest &amp; Other Income</t>
  </si>
  <si>
    <t>Interest Income</t>
  </si>
  <si>
    <t>Operating Profit before working capital change</t>
  </si>
  <si>
    <t>Operating Profit Before Working Capital Changes</t>
  </si>
  <si>
    <t>Adjusted for lncrease/(Decrease) in operating liabilties:</t>
  </si>
  <si>
    <t>lncrease/(decrease) in Trade Payables</t>
  </si>
  <si>
    <t>Trade Payables And Others</t>
  </si>
  <si>
    <t>lncrease/(decrease) in Other Liabilities &amp; Provisions</t>
  </si>
  <si>
    <t>Other Current and Non Current Liabilities</t>
  </si>
  <si>
    <t>Adjusted for (lncrease)/Decrease in operating assets</t>
  </si>
  <si>
    <t>Decrease/(increase) in Trade Receivable</t>
  </si>
  <si>
    <t>Trade And Other Receivables</t>
  </si>
  <si>
    <t>Decrease/(increase) in Inventory</t>
  </si>
  <si>
    <t>Decrease/(increase) in Other Current Assets</t>
  </si>
  <si>
    <t>Other Current and Non Current Assets</t>
  </si>
  <si>
    <t>Decrease/(increase) in Short Term Loans &amp; Advances</t>
  </si>
  <si>
    <t>Short Term Loans And Advances</t>
  </si>
  <si>
    <t>Cash Generated from Operations before Extra-Ordinary Items</t>
  </si>
  <si>
    <t>Cash Generated From Operations</t>
  </si>
  <si>
    <t>Direct taxes paid</t>
  </si>
  <si>
    <t>Income Tax Paid</t>
  </si>
  <si>
    <t>NET CASH FLOW FROM OPERATING ACTIVITIES</t>
  </si>
  <si>
    <t>CASH FLOW FROM INVESTING ACTIVITIES</t>
  </si>
  <si>
    <t>Net Cash Flow From Investing Activities</t>
  </si>
  <si>
    <t>Net Loans and Advances</t>
  </si>
  <si>
    <t>Loans And Advances</t>
  </si>
  <si>
    <t>Sale of Investments</t>
  </si>
  <si>
    <t>Sale Of Investments</t>
  </si>
  <si>
    <t>Purchases of Investments</t>
  </si>
  <si>
    <t>Purchase Of Investments</t>
  </si>
  <si>
    <t>Purchases of Fixed Assets</t>
  </si>
  <si>
    <t>Purchase Of Fixed Assets (Tangible / Intangible)</t>
  </si>
  <si>
    <t>Proceeds from Sale of Assets</t>
  </si>
  <si>
    <t>Sale Of Fixed Assets (Tangible / Intangible)</t>
  </si>
  <si>
    <t>NET CASH FLOW FROM INVESTING ACTIVITES</t>
  </si>
  <si>
    <t>NET CASH FLOW FROM FINANCING ACTIVITIES</t>
  </si>
  <si>
    <t>Net Cash Flow From Financing Activities</t>
  </si>
  <si>
    <t>Proceeds from issue of share capital (including securities premium)</t>
  </si>
  <si>
    <t>Proceeds From Issue Of Equity Shares (Inclu Share Premium)</t>
  </si>
  <si>
    <t>Net Proceeds from Current Borrowings &amp; Repayments Done</t>
  </si>
  <si>
    <t>Proceeds From Long Term Borrowings</t>
  </si>
  <si>
    <t>Net Proceeds from Non-Current Borrowings &amp; Repayments Done</t>
  </si>
  <si>
    <t>Increase in cash &amp; Bank Balances</t>
  </si>
  <si>
    <t>Net Increase in Cash and Cash Equivalents</t>
  </si>
  <si>
    <t>Add : Opening cash &amp; bank balances</t>
  </si>
  <si>
    <t>Cash and Cash Equivalents at the Beginning of the Year</t>
  </si>
  <si>
    <t>Closing cash &amp; Bank Balances</t>
  </si>
  <si>
    <t>Cash and Cash Equivalents at the End of the Year</t>
  </si>
  <si>
    <t>Segment - Biodiesel and other anciliary products</t>
  </si>
  <si>
    <t>Others-Investing Activities</t>
  </si>
  <si>
    <t>Segment - Other Products</t>
  </si>
  <si>
    <t>Total</t>
  </si>
  <si>
    <t>Total Field</t>
  </si>
  <si>
    <t>Less : Inter Segment Revenue</t>
  </si>
  <si>
    <t>Net Sales/ Income from Operations</t>
  </si>
  <si>
    <t>SEGMENT RESULT</t>
  </si>
  <si>
    <t>Add : Other Income</t>
  </si>
  <si>
    <t>Less : Finance Cost</t>
  </si>
  <si>
    <t>Less: Exceptional Items</t>
  </si>
  <si>
    <t>Less : Tax Expenses</t>
  </si>
  <si>
    <t>Interest Paid</t>
  </si>
  <si>
    <t>Profit after Tax</t>
  </si>
  <si>
    <t>SEGMENT WISE CAPITAL EMPLOYED</t>
  </si>
  <si>
    <t>(ASSETS - LIABILITIES )</t>
  </si>
  <si>
    <t>SEGMENT LIABILITIES</t>
  </si>
  <si>
    <t>Shareholders Fund</t>
  </si>
  <si>
    <t>Minority Interest</t>
  </si>
  <si>
    <t>Property, Plant and Equipment</t>
  </si>
  <si>
    <t>Long term loans and Advances</t>
  </si>
  <si>
    <t>Cash &amp; Cash Equivalents</t>
  </si>
  <si>
    <t>Profit Before Prior Period &amp; Exceptional Items and Tax</t>
  </si>
  <si>
    <t>Less: Prior Period Item (Net)</t>
  </si>
  <si>
    <t>Prior Year Income/(Expenditure)</t>
  </si>
  <si>
    <t>Profit Before Exceptional Items, Extraodinary Items &amp;Tax</t>
  </si>
  <si>
    <t>Profit Before Extraordinary Items &amp; Tax</t>
  </si>
  <si>
    <t>Less: Extraordinary Items</t>
  </si>
  <si>
    <t>Deferred Tax Assets/ (Deferred Tax Liabilities)</t>
  </si>
  <si>
    <t>Minimum Alternate Tax credit Availment/(Entitlement)</t>
  </si>
  <si>
    <t>Profit (Loss) for the Year</t>
  </si>
  <si>
    <t>Total Comprehensive Gain (Loss) For the Year</t>
  </si>
  <si>
    <t>Earnings per equity share (Face Value of 10 each : pre bonus)</t>
  </si>
  <si>
    <t>Earnings per equity share (Face Value of 10 each : post bonus)</t>
  </si>
  <si>
    <t>Adjustment of Preliminary &amp; Preoperative Exp</t>
  </si>
  <si>
    <t>Impairment loss / (Reversal of Impairment Loss)</t>
  </si>
  <si>
    <t>Share in ProfiULoss of Associates</t>
  </si>
  <si>
    <t>Share Of Profit &amp; Loss from Partnership Firm or Association of Persons Etc</t>
  </si>
  <si>
    <t>Interest and Other Income</t>
  </si>
  <si>
    <t>Opening cash &amp; bank balances</t>
  </si>
  <si>
    <t>SEGMENT RESULT (Profit Before Taxes)</t>
  </si>
  <si>
    <t>Status</t>
  </si>
  <si>
    <t>Revised Field Mapping</t>
  </si>
  <si>
    <t>Field id</t>
  </si>
  <si>
    <t>Correct</t>
  </si>
  <si>
    <t>Incorrect</t>
  </si>
  <si>
    <t>Accuracy %</t>
  </si>
  <si>
    <t>In Segment All data Wrongly Captured</t>
  </si>
  <si>
    <t>Calculated Field</t>
  </si>
  <si>
    <t xml:space="preserve"> </t>
  </si>
  <si>
    <t>Label</t>
  </si>
  <si>
    <t>Total Assets</t>
  </si>
  <si>
    <t>Profit On Sale Of Fixed Assets</t>
  </si>
  <si>
    <t>Interest Received</t>
  </si>
  <si>
    <t>Proceeds From Short Term Borrowings</t>
  </si>
  <si>
    <t>Cash Advances and Loans Made to Other Parties</t>
  </si>
  <si>
    <t xml:space="preserve">ignore this field </t>
  </si>
  <si>
    <t>Basic EPS / Diluted EPS</t>
  </si>
  <si>
    <t>222/234</t>
  </si>
  <si>
    <t>Net Profit/(Loss) After Taxes But Before Share of Profit/(Loss) of Associates and Minority Interest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</si>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</sst>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0" xfId="0" applyFill="1"/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5" x14ac:dyDescent="0.25"/>
  <cols>
    <col min="1" max="1" width="43.85546875" customWidth="1"/>
    <col min="2" max="2" width="35.7109375" customWidth="1"/>
    <col min="3" max="3" width="9.28515625" customWidth="1"/>
    <col min="4" max="4" width="22.140625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24</v>
      </c>
    </row>
    <row r="2" spans="1:8" x14ac:dyDescent="0.25">
      <c r="A2" s="10" t="s">
        <v>54</v>
      </c>
      <c r="B2" s="10" t="s">
        <v>55</v>
      </c>
      <c r="C2" s="10" t="s">
        <v>210</v>
      </c>
      <c r="D2" s="10"/>
      <c r="E2" s="10"/>
      <c r="G2" s="6" t="s">
        <v>211</v>
      </c>
      <c r="H2" s="7">
        <f>COUNTIF(C:C,G2)</f>
        <v>6</v>
      </c>
    </row>
    <row r="3" spans="1:8" ht="15.75" thickBot="1" x14ac:dyDescent="0.3">
      <c r="A3" s="10" t="s">
        <v>56</v>
      </c>
      <c r="B3" s="10" t="s">
        <v>57</v>
      </c>
      <c r="C3" s="10" t="s">
        <v>210</v>
      </c>
      <c r="D3" s="10"/>
      <c r="E3" s="10"/>
      <c r="G3" s="8" t="s">
        <v>212</v>
      </c>
      <c r="H3" s="9">
        <f>H1/SUM(H1:H2)</f>
        <v>0.8</v>
      </c>
    </row>
    <row r="4" spans="1:8" x14ac:dyDescent="0.25">
      <c r="A4" s="10" t="s">
        <v>58</v>
      </c>
      <c r="B4" s="10" t="s">
        <v>59</v>
      </c>
      <c r="C4" s="10" t="s">
        <v>210</v>
      </c>
      <c r="D4" s="10"/>
      <c r="E4" s="10"/>
    </row>
    <row r="5" spans="1:8" x14ac:dyDescent="0.25">
      <c r="A5" s="10" t="s">
        <v>60</v>
      </c>
      <c r="B5" s="10" t="s">
        <v>3</v>
      </c>
      <c r="C5" s="10" t="s">
        <v>210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210</v>
      </c>
      <c r="D6" s="10"/>
      <c r="E6" s="10"/>
    </row>
    <row r="7" spans="1:8" x14ac:dyDescent="0.25">
      <c r="A7" s="10" t="s">
        <v>63</v>
      </c>
      <c r="B7" s="10" t="s">
        <v>64</v>
      </c>
      <c r="C7" s="10" t="s">
        <v>210</v>
      </c>
      <c r="D7" s="10"/>
      <c r="E7" s="10"/>
    </row>
    <row r="8" spans="1:8" x14ac:dyDescent="0.25">
      <c r="A8" s="10" t="s">
        <v>65</v>
      </c>
      <c r="B8" s="10" t="s">
        <v>66</v>
      </c>
      <c r="C8" s="10" t="s">
        <v>210</v>
      </c>
      <c r="D8" s="10"/>
      <c r="E8" s="10"/>
    </row>
    <row r="9" spans="1:8" x14ac:dyDescent="0.25">
      <c r="A9" s="10" t="s">
        <v>67</v>
      </c>
      <c r="B9" s="10" t="s">
        <v>68</v>
      </c>
      <c r="C9" s="10" t="s">
        <v>210</v>
      </c>
      <c r="D9" s="10"/>
      <c r="E9" s="10"/>
    </row>
    <row r="10" spans="1:8" x14ac:dyDescent="0.25">
      <c r="A10" s="10" t="s">
        <v>69</v>
      </c>
      <c r="B10" s="10" t="s">
        <v>70</v>
      </c>
      <c r="C10" s="10" t="s">
        <v>210</v>
      </c>
      <c r="D10" s="10"/>
      <c r="E10" s="10"/>
    </row>
    <row r="11" spans="1:8" x14ac:dyDescent="0.25">
      <c r="A11" s="10" t="s">
        <v>71</v>
      </c>
      <c r="B11" s="10" t="s">
        <v>71</v>
      </c>
      <c r="C11" s="10" t="s">
        <v>210</v>
      </c>
      <c r="D11" s="10"/>
      <c r="E11" s="10"/>
    </row>
    <row r="12" spans="1:8" x14ac:dyDescent="0.25">
      <c r="A12" s="10" t="s">
        <v>72</v>
      </c>
      <c r="B12" s="10" t="s">
        <v>73</v>
      </c>
      <c r="C12" s="10" t="s">
        <v>210</v>
      </c>
      <c r="D12" s="10"/>
      <c r="E12" s="10"/>
    </row>
    <row r="13" spans="1:8" x14ac:dyDescent="0.25">
      <c r="A13" s="10" t="s">
        <v>74</v>
      </c>
      <c r="B13" s="10" t="s">
        <v>74</v>
      </c>
      <c r="C13" s="10" t="s">
        <v>210</v>
      </c>
      <c r="D13" s="10"/>
      <c r="E13" s="10"/>
    </row>
    <row r="14" spans="1:8" x14ac:dyDescent="0.25">
      <c r="A14" s="10" t="s">
        <v>75</v>
      </c>
      <c r="B14" s="10" t="s">
        <v>76</v>
      </c>
      <c r="C14" s="10" t="s">
        <v>210</v>
      </c>
      <c r="D14" s="10"/>
      <c r="E14" s="10"/>
    </row>
    <row r="15" spans="1:8" x14ac:dyDescent="0.25">
      <c r="A15" s="10" t="s">
        <v>77</v>
      </c>
      <c r="B15" s="10" t="s">
        <v>78</v>
      </c>
      <c r="C15" s="10" t="s">
        <v>210</v>
      </c>
      <c r="D15" s="10"/>
      <c r="E15" s="10"/>
    </row>
    <row r="16" spans="1:8" x14ac:dyDescent="0.25">
      <c r="A16" s="10" t="s">
        <v>79</v>
      </c>
      <c r="B16" s="10" t="s">
        <v>80</v>
      </c>
      <c r="C16" s="10" t="s">
        <v>211</v>
      </c>
      <c r="D16" s="10" t="s">
        <v>190</v>
      </c>
      <c r="E16" s="12">
        <v>301</v>
      </c>
    </row>
    <row r="17" spans="1:5" x14ac:dyDescent="0.25">
      <c r="A17" s="10" t="s">
        <v>81</v>
      </c>
      <c r="B17" s="10" t="s">
        <v>78</v>
      </c>
      <c r="C17" s="10" t="s">
        <v>211</v>
      </c>
      <c r="D17" s="10" t="s">
        <v>214</v>
      </c>
      <c r="E17" s="10"/>
    </row>
    <row r="18" spans="1:5" x14ac:dyDescent="0.25">
      <c r="A18" s="10" t="s">
        <v>82</v>
      </c>
      <c r="B18" s="10" t="s">
        <v>83</v>
      </c>
      <c r="C18" s="10" t="s">
        <v>210</v>
      </c>
      <c r="D18" s="10"/>
      <c r="E18" s="10"/>
    </row>
    <row r="19" spans="1:5" x14ac:dyDescent="0.25">
      <c r="A19" s="10" t="s">
        <v>84</v>
      </c>
      <c r="B19" s="10" t="s">
        <v>78</v>
      </c>
      <c r="C19" s="10" t="s">
        <v>210</v>
      </c>
      <c r="E19" s="10"/>
    </row>
    <row r="20" spans="1:5" x14ac:dyDescent="0.25">
      <c r="A20" s="10" t="s">
        <v>85</v>
      </c>
      <c r="B20" s="10" t="s">
        <v>80</v>
      </c>
      <c r="C20" s="10" t="s">
        <v>210</v>
      </c>
      <c r="D20" s="10"/>
      <c r="E20" s="10"/>
    </row>
    <row r="21" spans="1:5" x14ac:dyDescent="0.25">
      <c r="A21" s="10" t="s">
        <v>86</v>
      </c>
      <c r="B21" s="10" t="s">
        <v>87</v>
      </c>
      <c r="C21" s="10" t="s">
        <v>211</v>
      </c>
      <c r="D21" s="10" t="s">
        <v>214</v>
      </c>
      <c r="E21" s="10"/>
    </row>
    <row r="22" spans="1:5" x14ac:dyDescent="0.25">
      <c r="A22" s="10" t="s">
        <v>88</v>
      </c>
      <c r="B22" s="10" t="s">
        <v>3</v>
      </c>
      <c r="C22" s="10" t="s">
        <v>210</v>
      </c>
      <c r="D22" s="10"/>
      <c r="E22" s="10"/>
    </row>
    <row r="23" spans="1:5" x14ac:dyDescent="0.25">
      <c r="A23" s="10" t="s">
        <v>89</v>
      </c>
      <c r="B23" s="10" t="s">
        <v>88</v>
      </c>
      <c r="C23" s="10" t="s">
        <v>210</v>
      </c>
      <c r="D23" s="10"/>
      <c r="E23" s="10"/>
    </row>
    <row r="24" spans="1:5" x14ac:dyDescent="0.25">
      <c r="A24" s="10" t="s">
        <v>90</v>
      </c>
      <c r="B24" s="10" t="s">
        <v>91</v>
      </c>
      <c r="C24" s="10" t="s">
        <v>210</v>
      </c>
      <c r="D24" s="10"/>
      <c r="E24" s="10"/>
    </row>
    <row r="25" spans="1:5" x14ac:dyDescent="0.25">
      <c r="A25" s="10" t="s">
        <v>92</v>
      </c>
      <c r="B25" s="10" t="s">
        <v>88</v>
      </c>
      <c r="C25" s="10" t="s">
        <v>210</v>
      </c>
      <c r="D25" s="10"/>
      <c r="E25" s="10"/>
    </row>
    <row r="26" spans="1:5" x14ac:dyDescent="0.25">
      <c r="A26" s="10" t="s">
        <v>93</v>
      </c>
      <c r="B26" s="10" t="s">
        <v>88</v>
      </c>
      <c r="C26" s="10" t="s">
        <v>210</v>
      </c>
      <c r="D26" s="10"/>
      <c r="E26" s="10"/>
    </row>
    <row r="27" spans="1:5" x14ac:dyDescent="0.25">
      <c r="A27" s="10" t="s">
        <v>75</v>
      </c>
      <c r="B27" s="10" t="s">
        <v>76</v>
      </c>
      <c r="C27" s="10"/>
      <c r="D27" s="10" t="s">
        <v>214</v>
      </c>
      <c r="E27" s="10"/>
    </row>
    <row r="28" spans="1:5" x14ac:dyDescent="0.25">
      <c r="A28" s="10" t="s">
        <v>94</v>
      </c>
      <c r="B28" s="10" t="s">
        <v>95</v>
      </c>
      <c r="C28" s="10" t="s">
        <v>211</v>
      </c>
      <c r="D28" s="10" t="s">
        <v>214</v>
      </c>
      <c r="E28" s="10"/>
    </row>
    <row r="29" spans="1:5" x14ac:dyDescent="0.25">
      <c r="A29" s="10" t="s">
        <v>96</v>
      </c>
      <c r="B29" s="10" t="s">
        <v>97</v>
      </c>
      <c r="C29" s="10" t="s">
        <v>211</v>
      </c>
      <c r="D29" s="10" t="s">
        <v>80</v>
      </c>
      <c r="E29" s="12">
        <v>244</v>
      </c>
    </row>
    <row r="30" spans="1:5" x14ac:dyDescent="0.25">
      <c r="A30" s="10" t="s">
        <v>94</v>
      </c>
      <c r="B30" s="10" t="s">
        <v>95</v>
      </c>
      <c r="C30" s="10" t="s">
        <v>210</v>
      </c>
      <c r="D30" s="2" t="s">
        <v>95</v>
      </c>
      <c r="E30" s="14">
        <v>269</v>
      </c>
    </row>
    <row r="31" spans="1:5" x14ac:dyDescent="0.25">
      <c r="A31" s="10" t="s">
        <v>98</v>
      </c>
      <c r="B31" s="10" t="s">
        <v>3</v>
      </c>
      <c r="C31" s="10"/>
      <c r="D31" s="10" t="s">
        <v>222</v>
      </c>
      <c r="E31" s="10"/>
    </row>
    <row r="32" spans="1:5" x14ac:dyDescent="0.25">
      <c r="A32" s="10" t="s">
        <v>99</v>
      </c>
      <c r="B32" s="10" t="s">
        <v>100</v>
      </c>
      <c r="C32" s="10"/>
      <c r="D32" s="10" t="s">
        <v>222</v>
      </c>
      <c r="E32" s="10"/>
    </row>
    <row r="33" spans="1:5" x14ac:dyDescent="0.25">
      <c r="A33" s="10" t="s">
        <v>101</v>
      </c>
      <c r="B33" s="10" t="s">
        <v>3</v>
      </c>
      <c r="C33" s="10" t="s">
        <v>210</v>
      </c>
      <c r="D33" s="10"/>
      <c r="E33" s="10"/>
    </row>
    <row r="34" spans="1:5" x14ac:dyDescent="0.25">
      <c r="A34" s="10" t="s">
        <v>99</v>
      </c>
      <c r="B34" s="10" t="s">
        <v>100</v>
      </c>
      <c r="C34" s="10" t="s">
        <v>211</v>
      </c>
      <c r="D34" s="10" t="s">
        <v>223</v>
      </c>
      <c r="E34" s="10" t="s">
        <v>224</v>
      </c>
    </row>
    <row r="35" spans="1:5" x14ac:dyDescent="0.25">
      <c r="B35" s="13" t="s">
        <v>215</v>
      </c>
    </row>
    <row r="38" spans="1:5" x14ac:dyDescent="0.25">
      <c r="B38" t="s">
        <v>215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/>
  </sheetViews>
  <sheetFormatPr defaultRowHeight="15" x14ac:dyDescent="0.25"/>
  <cols>
    <col min="1" max="1" width="43" customWidth="1"/>
    <col min="2" max="2" width="40.5703125" customWidth="1"/>
    <col min="3" max="3" width="12.42578125" customWidth="1"/>
    <col min="4" max="4" width="24.57031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24</v>
      </c>
    </row>
    <row r="2" spans="1:8" x14ac:dyDescent="0.25">
      <c r="A2" s="10" t="s">
        <v>54</v>
      </c>
      <c r="B2" s="10" t="s">
        <v>55</v>
      </c>
      <c r="C2" s="10" t="s">
        <v>210</v>
      </c>
      <c r="D2" s="10"/>
      <c r="E2" s="10"/>
      <c r="G2" s="6" t="s">
        <v>211</v>
      </c>
      <c r="H2" s="7">
        <f>COUNTIF(C:C,G2)</f>
        <v>5</v>
      </c>
    </row>
    <row r="3" spans="1:8" ht="15.75" thickBot="1" x14ac:dyDescent="0.3">
      <c r="A3" s="10" t="s">
        <v>56</v>
      </c>
      <c r="B3" s="10" t="s">
        <v>57</v>
      </c>
      <c r="C3" s="10" t="s">
        <v>210</v>
      </c>
      <c r="D3" s="10"/>
      <c r="E3" s="10"/>
      <c r="G3" s="8" t="s">
        <v>212</v>
      </c>
      <c r="H3" s="9">
        <f>H1/SUM(H1:H2)</f>
        <v>0.82758620689655171</v>
      </c>
    </row>
    <row r="4" spans="1:8" x14ac:dyDescent="0.25">
      <c r="A4" s="10" t="s">
        <v>58</v>
      </c>
      <c r="B4" s="10" t="s">
        <v>59</v>
      </c>
      <c r="C4" s="10" t="s">
        <v>210</v>
      </c>
      <c r="D4" s="10" t="s">
        <v>215</v>
      </c>
      <c r="E4" s="10"/>
    </row>
    <row r="5" spans="1:8" x14ac:dyDescent="0.25">
      <c r="A5" s="10" t="s">
        <v>60</v>
      </c>
      <c r="B5" s="10" t="s">
        <v>3</v>
      </c>
      <c r="C5" s="10" t="s">
        <v>210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210</v>
      </c>
      <c r="D6" s="10"/>
      <c r="E6" s="10"/>
    </row>
    <row r="7" spans="1:8" x14ac:dyDescent="0.25">
      <c r="A7" s="10" t="s">
        <v>63</v>
      </c>
      <c r="B7" s="10" t="s">
        <v>64</v>
      </c>
      <c r="C7" s="10" t="s">
        <v>210</v>
      </c>
      <c r="D7" s="10"/>
      <c r="E7" s="10"/>
    </row>
    <row r="8" spans="1:8" x14ac:dyDescent="0.25">
      <c r="A8" s="10" t="s">
        <v>65</v>
      </c>
      <c r="B8" s="10" t="s">
        <v>66</v>
      </c>
      <c r="C8" s="10" t="s">
        <v>210</v>
      </c>
      <c r="D8" s="10" t="s">
        <v>215</v>
      </c>
      <c r="E8" s="10"/>
    </row>
    <row r="9" spans="1:8" x14ac:dyDescent="0.25">
      <c r="A9" s="10" t="s">
        <v>67</v>
      </c>
      <c r="B9" s="10" t="s">
        <v>68</v>
      </c>
      <c r="C9" s="10" t="s">
        <v>210</v>
      </c>
      <c r="D9" s="10"/>
      <c r="E9" s="10"/>
    </row>
    <row r="10" spans="1:8" x14ac:dyDescent="0.25">
      <c r="A10" s="10" t="s">
        <v>69</v>
      </c>
      <c r="B10" s="10" t="s">
        <v>70</v>
      </c>
      <c r="C10" s="10" t="s">
        <v>210</v>
      </c>
      <c r="D10" s="10"/>
      <c r="E10" s="10"/>
    </row>
    <row r="11" spans="1:8" x14ac:dyDescent="0.25">
      <c r="A11" s="10" t="s">
        <v>71</v>
      </c>
      <c r="B11" s="10" t="s">
        <v>71</v>
      </c>
      <c r="C11" s="10" t="s">
        <v>210</v>
      </c>
      <c r="D11" s="10"/>
      <c r="E11" s="10"/>
    </row>
    <row r="12" spans="1:8" x14ac:dyDescent="0.25">
      <c r="A12" s="10" t="s">
        <v>72</v>
      </c>
      <c r="B12" s="10" t="s">
        <v>73</v>
      </c>
      <c r="C12" s="10" t="s">
        <v>210</v>
      </c>
      <c r="D12" s="10"/>
      <c r="E12" s="10"/>
    </row>
    <row r="13" spans="1:8" x14ac:dyDescent="0.25">
      <c r="A13" s="10" t="s">
        <v>74</v>
      </c>
      <c r="B13" s="10" t="s">
        <v>74</v>
      </c>
      <c r="C13" s="10" t="s">
        <v>210</v>
      </c>
      <c r="D13" s="10"/>
      <c r="E13" s="10"/>
    </row>
    <row r="14" spans="1:8" x14ac:dyDescent="0.25">
      <c r="A14" s="10" t="s">
        <v>75</v>
      </c>
      <c r="B14" s="10" t="s">
        <v>76</v>
      </c>
      <c r="C14" s="10" t="s">
        <v>210</v>
      </c>
      <c r="D14" s="10"/>
      <c r="E14" s="10"/>
    </row>
    <row r="15" spans="1:8" x14ac:dyDescent="0.25">
      <c r="A15" s="10" t="s">
        <v>188</v>
      </c>
      <c r="B15" s="10" t="s">
        <v>78</v>
      </c>
      <c r="C15" s="10" t="s">
        <v>210</v>
      </c>
      <c r="D15" s="10"/>
      <c r="E15" s="10"/>
    </row>
    <row r="16" spans="1:8" x14ac:dyDescent="0.25">
      <c r="A16" s="10" t="s">
        <v>189</v>
      </c>
      <c r="B16" s="10" t="s">
        <v>190</v>
      </c>
      <c r="C16" s="10" t="s">
        <v>210</v>
      </c>
      <c r="D16" s="10"/>
      <c r="E16" s="10"/>
    </row>
    <row r="17" spans="1:5" x14ac:dyDescent="0.25">
      <c r="A17" s="10" t="s">
        <v>191</v>
      </c>
      <c r="B17" s="10" t="s">
        <v>78</v>
      </c>
      <c r="C17" s="10" t="s">
        <v>211</v>
      </c>
      <c r="D17" s="10" t="s">
        <v>214</v>
      </c>
      <c r="E17" s="10"/>
    </row>
    <row r="18" spans="1:5" x14ac:dyDescent="0.25">
      <c r="A18" s="10" t="s">
        <v>176</v>
      </c>
      <c r="B18" s="10" t="s">
        <v>83</v>
      </c>
      <c r="C18" s="10" t="s">
        <v>210</v>
      </c>
      <c r="D18" s="10"/>
      <c r="E18" s="10"/>
    </row>
    <row r="19" spans="1:5" x14ac:dyDescent="0.25">
      <c r="A19" s="10" t="s">
        <v>192</v>
      </c>
      <c r="B19" s="10" t="s">
        <v>87</v>
      </c>
      <c r="C19" s="10" t="s">
        <v>210</v>
      </c>
      <c r="E19" s="10"/>
    </row>
    <row r="20" spans="1:5" x14ac:dyDescent="0.25">
      <c r="A20" s="10" t="s">
        <v>193</v>
      </c>
      <c r="B20" s="10" t="s">
        <v>83</v>
      </c>
      <c r="C20" s="10" t="s">
        <v>211</v>
      </c>
      <c r="D20" s="10" t="s">
        <v>80</v>
      </c>
      <c r="E20" s="12">
        <v>244</v>
      </c>
    </row>
    <row r="21" spans="1:5" x14ac:dyDescent="0.25">
      <c r="A21" s="10" t="s">
        <v>86</v>
      </c>
      <c r="B21" s="10" t="s">
        <v>87</v>
      </c>
      <c r="C21" s="10" t="s">
        <v>211</v>
      </c>
      <c r="D21" s="10" t="s">
        <v>214</v>
      </c>
      <c r="E21" s="10"/>
    </row>
    <row r="22" spans="1:5" x14ac:dyDescent="0.25">
      <c r="A22" s="10" t="s">
        <v>88</v>
      </c>
      <c r="B22" s="10" t="s">
        <v>3</v>
      </c>
      <c r="C22" s="10" t="s">
        <v>210</v>
      </c>
      <c r="D22" s="10"/>
      <c r="E22" s="10"/>
    </row>
    <row r="23" spans="1:5" x14ac:dyDescent="0.25">
      <c r="A23" s="10" t="s">
        <v>89</v>
      </c>
      <c r="B23" s="10" t="s">
        <v>88</v>
      </c>
      <c r="C23" s="10" t="s">
        <v>210</v>
      </c>
      <c r="D23" s="10"/>
      <c r="E23" s="10"/>
    </row>
    <row r="24" spans="1:5" x14ac:dyDescent="0.25">
      <c r="A24" s="10" t="s">
        <v>194</v>
      </c>
      <c r="B24" s="10" t="s">
        <v>91</v>
      </c>
      <c r="C24" s="10" t="s">
        <v>210</v>
      </c>
      <c r="D24" s="10"/>
      <c r="E24" s="10"/>
    </row>
    <row r="25" spans="1:5" x14ac:dyDescent="0.25">
      <c r="A25" s="10" t="s">
        <v>195</v>
      </c>
      <c r="B25" s="10" t="s">
        <v>88</v>
      </c>
      <c r="C25" s="10" t="s">
        <v>210</v>
      </c>
      <c r="D25" s="10"/>
      <c r="E25" s="10"/>
    </row>
    <row r="26" spans="1:5" x14ac:dyDescent="0.25">
      <c r="A26" s="10" t="s">
        <v>196</v>
      </c>
      <c r="B26" s="10" t="s">
        <v>197</v>
      </c>
      <c r="C26" s="10" t="s">
        <v>211</v>
      </c>
      <c r="D26" s="2" t="s">
        <v>225</v>
      </c>
      <c r="E26" s="14">
        <v>268</v>
      </c>
    </row>
    <row r="27" spans="1:5" x14ac:dyDescent="0.25">
      <c r="A27" s="10" t="s">
        <v>96</v>
      </c>
      <c r="B27" s="10" t="s">
        <v>97</v>
      </c>
      <c r="C27" s="10" t="s">
        <v>210</v>
      </c>
      <c r="D27" s="10" t="s">
        <v>97</v>
      </c>
      <c r="E27" s="12">
        <v>292</v>
      </c>
    </row>
    <row r="28" spans="1:5" x14ac:dyDescent="0.25">
      <c r="A28" s="10" t="s">
        <v>94</v>
      </c>
      <c r="B28" s="10" t="s">
        <v>95</v>
      </c>
      <c r="C28" s="10" t="s">
        <v>210</v>
      </c>
      <c r="D28" s="2" t="s">
        <v>95</v>
      </c>
      <c r="E28" s="14">
        <v>269</v>
      </c>
    </row>
    <row r="29" spans="1:5" x14ac:dyDescent="0.25">
      <c r="A29" s="10" t="s">
        <v>198</v>
      </c>
      <c r="B29" s="10" t="s">
        <v>3</v>
      </c>
      <c r="C29" s="10"/>
      <c r="D29" s="10" t="s">
        <v>222</v>
      </c>
      <c r="E29" s="10"/>
    </row>
    <row r="30" spans="1:5" x14ac:dyDescent="0.25">
      <c r="A30" s="10" t="s">
        <v>99</v>
      </c>
      <c r="B30" s="10" t="s">
        <v>100</v>
      </c>
      <c r="C30" s="10"/>
      <c r="D30" s="10" t="s">
        <v>222</v>
      </c>
      <c r="E30" s="10"/>
    </row>
    <row r="31" spans="1:5" x14ac:dyDescent="0.25">
      <c r="A31" s="10" t="s">
        <v>199</v>
      </c>
      <c r="B31" s="10" t="s">
        <v>3</v>
      </c>
      <c r="C31" s="10" t="s">
        <v>210</v>
      </c>
      <c r="D31" s="10"/>
      <c r="E31" s="10"/>
    </row>
    <row r="32" spans="1:5" x14ac:dyDescent="0.25">
      <c r="A32" s="10" t="s">
        <v>99</v>
      </c>
      <c r="B32" s="10" t="s">
        <v>100</v>
      </c>
      <c r="C32" s="10" t="s">
        <v>211</v>
      </c>
      <c r="D32" s="10" t="s">
        <v>223</v>
      </c>
      <c r="E32" s="10" t="s">
        <v>224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/>
  </sheetViews>
  <sheetFormatPr defaultRowHeight="15" x14ac:dyDescent="0.25"/>
  <cols>
    <col min="1" max="1" width="48" customWidth="1"/>
    <col min="2" max="2" width="47.7109375" customWidth="1"/>
    <col min="3" max="3" width="11.140625" customWidth="1"/>
    <col min="4" max="4" width="32.42578125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34</v>
      </c>
    </row>
    <row r="2" spans="1:8" x14ac:dyDescent="0.25">
      <c r="A2" s="10" t="s">
        <v>2</v>
      </c>
      <c r="B2" s="10" t="s">
        <v>3</v>
      </c>
      <c r="C2" s="10" t="s">
        <v>210</v>
      </c>
      <c r="D2" s="10"/>
      <c r="E2" s="10"/>
      <c r="G2" s="6" t="s">
        <v>211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4</v>
      </c>
      <c r="C3" s="10" t="s">
        <v>210</v>
      </c>
      <c r="D3" s="10"/>
      <c r="E3" s="10"/>
      <c r="G3" s="8" t="s">
        <v>212</v>
      </c>
      <c r="H3" s="9">
        <f>H1/SUM(H1:H2)</f>
        <v>0.91891891891891897</v>
      </c>
    </row>
    <row r="4" spans="1:8" x14ac:dyDescent="0.25">
      <c r="A4" s="10" t="s">
        <v>5</v>
      </c>
      <c r="B4" s="10" t="s">
        <v>6</v>
      </c>
      <c r="C4" s="10" t="s">
        <v>210</v>
      </c>
      <c r="D4" s="10"/>
      <c r="E4" s="10"/>
    </row>
    <row r="5" spans="1:8" x14ac:dyDescent="0.25">
      <c r="A5" s="10" t="s">
        <v>7</v>
      </c>
      <c r="B5" s="10" t="s">
        <v>7</v>
      </c>
      <c r="C5" s="10" t="s">
        <v>210</v>
      </c>
      <c r="D5" s="10"/>
      <c r="E5" s="10"/>
    </row>
    <row r="6" spans="1:8" x14ac:dyDescent="0.25">
      <c r="A6" s="10" t="s">
        <v>8</v>
      </c>
      <c r="B6" s="10" t="s">
        <v>8</v>
      </c>
      <c r="C6" s="10" t="s">
        <v>210</v>
      </c>
      <c r="D6" s="10"/>
      <c r="E6" s="10"/>
    </row>
    <row r="7" spans="1:8" x14ac:dyDescent="0.25">
      <c r="A7" s="10" t="s">
        <v>9</v>
      </c>
      <c r="B7" s="10" t="s">
        <v>3</v>
      </c>
      <c r="C7" s="10" t="s">
        <v>210</v>
      </c>
      <c r="D7" s="10"/>
      <c r="E7" s="10"/>
    </row>
    <row r="8" spans="1:8" x14ac:dyDescent="0.25">
      <c r="A8" s="10" t="s">
        <v>10</v>
      </c>
      <c r="B8" s="10" t="s">
        <v>11</v>
      </c>
      <c r="C8" s="10" t="s">
        <v>210</v>
      </c>
      <c r="D8" s="10" t="s">
        <v>11</v>
      </c>
      <c r="E8" s="12">
        <v>20223</v>
      </c>
    </row>
    <row r="9" spans="1:8" x14ac:dyDescent="0.25">
      <c r="A9" s="10" t="s">
        <v>12</v>
      </c>
      <c r="B9" s="10" t="s">
        <v>13</v>
      </c>
      <c r="C9" s="10" t="s">
        <v>210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210</v>
      </c>
      <c r="D10" s="10"/>
      <c r="E10" s="10"/>
    </row>
    <row r="11" spans="1:8" x14ac:dyDescent="0.25">
      <c r="A11" s="10" t="s">
        <v>16</v>
      </c>
      <c r="B11" s="10" t="s">
        <v>16</v>
      </c>
      <c r="C11" s="10" t="s">
        <v>210</v>
      </c>
      <c r="D11" s="10"/>
      <c r="E11" s="10"/>
    </row>
    <row r="12" spans="1:8" x14ac:dyDescent="0.25">
      <c r="A12" s="10" t="s">
        <v>17</v>
      </c>
      <c r="B12" s="10" t="s">
        <v>3</v>
      </c>
      <c r="C12" s="10" t="s">
        <v>210</v>
      </c>
      <c r="D12" s="10"/>
      <c r="E12" s="10"/>
    </row>
    <row r="13" spans="1:8" x14ac:dyDescent="0.25">
      <c r="A13" s="10" t="s">
        <v>18</v>
      </c>
      <c r="B13" s="10" t="s">
        <v>11</v>
      </c>
      <c r="C13" s="10" t="s">
        <v>210</v>
      </c>
      <c r="D13" s="10" t="s">
        <v>11</v>
      </c>
      <c r="E13" s="12">
        <v>20209</v>
      </c>
    </row>
    <row r="14" spans="1:8" x14ac:dyDescent="0.25">
      <c r="A14" s="10" t="s">
        <v>19</v>
      </c>
      <c r="B14" s="10" t="s">
        <v>19</v>
      </c>
      <c r="C14" s="10" t="s">
        <v>211</v>
      </c>
      <c r="D14" s="10" t="s">
        <v>216</v>
      </c>
      <c r="E14" s="10"/>
    </row>
    <row r="15" spans="1:8" x14ac:dyDescent="0.25">
      <c r="A15" s="10" t="s">
        <v>20</v>
      </c>
      <c r="B15" s="10" t="s">
        <v>19</v>
      </c>
      <c r="C15" s="10" t="s">
        <v>210</v>
      </c>
      <c r="D15" s="10" t="s">
        <v>19</v>
      </c>
      <c r="E15" s="12">
        <v>13779</v>
      </c>
    </row>
    <row r="16" spans="1:8" x14ac:dyDescent="0.25">
      <c r="A16" s="10" t="s">
        <v>21</v>
      </c>
      <c r="B16" s="10" t="s">
        <v>19</v>
      </c>
      <c r="C16" s="10" t="s">
        <v>210</v>
      </c>
      <c r="D16" s="10" t="s">
        <v>19</v>
      </c>
      <c r="E16" s="12">
        <v>13779</v>
      </c>
    </row>
    <row r="17" spans="1:5" x14ac:dyDescent="0.25">
      <c r="A17" s="10" t="s">
        <v>22</v>
      </c>
      <c r="B17" s="10" t="s">
        <v>23</v>
      </c>
      <c r="C17" s="10" t="s">
        <v>210</v>
      </c>
      <c r="D17" s="10"/>
      <c r="E17" s="10"/>
    </row>
    <row r="18" spans="1:5" x14ac:dyDescent="0.25">
      <c r="A18" s="10" t="s">
        <v>24</v>
      </c>
      <c r="B18" s="10" t="s">
        <v>24</v>
      </c>
      <c r="C18" s="10" t="s">
        <v>210</v>
      </c>
      <c r="D18" s="10"/>
      <c r="E18" s="10"/>
    </row>
    <row r="19" spans="1:5" x14ac:dyDescent="0.25">
      <c r="A19" s="10" t="s">
        <v>25</v>
      </c>
      <c r="B19" s="10" t="s">
        <v>26</v>
      </c>
      <c r="C19" s="10" t="s">
        <v>210</v>
      </c>
      <c r="D19" s="10"/>
      <c r="E19" s="10"/>
    </row>
    <row r="20" spans="1:5" x14ac:dyDescent="0.25">
      <c r="A20" s="10" t="s">
        <v>27</v>
      </c>
      <c r="B20" s="10" t="s">
        <v>3</v>
      </c>
      <c r="C20" s="10" t="s">
        <v>210</v>
      </c>
      <c r="D20" s="10"/>
      <c r="E20" s="10"/>
    </row>
    <row r="21" spans="1:5" x14ac:dyDescent="0.25">
      <c r="A21" s="10" t="s">
        <v>28</v>
      </c>
      <c r="B21" s="10" t="s">
        <v>3</v>
      </c>
      <c r="C21" s="10" t="s">
        <v>210</v>
      </c>
      <c r="D21" s="10"/>
      <c r="E21" s="10"/>
    </row>
    <row r="22" spans="1:5" x14ac:dyDescent="0.25">
      <c r="A22" s="10" t="s">
        <v>29</v>
      </c>
      <c r="B22" s="10" t="s">
        <v>30</v>
      </c>
      <c r="C22" s="10" t="s">
        <v>211</v>
      </c>
      <c r="D22" s="10" t="s">
        <v>216</v>
      </c>
      <c r="E22" s="10"/>
    </row>
    <row r="23" spans="1:5" x14ac:dyDescent="0.25">
      <c r="A23" s="10" t="s">
        <v>31</v>
      </c>
      <c r="B23" s="10" t="s">
        <v>30</v>
      </c>
      <c r="C23" s="10" t="s">
        <v>210</v>
      </c>
      <c r="D23" s="10"/>
      <c r="E23" s="10"/>
    </row>
    <row r="24" spans="1:5" x14ac:dyDescent="0.25">
      <c r="A24" s="10" t="s">
        <v>32</v>
      </c>
      <c r="B24" s="10" t="s">
        <v>33</v>
      </c>
      <c r="C24" s="10" t="s">
        <v>210</v>
      </c>
      <c r="D24" s="10"/>
      <c r="E24" s="10"/>
    </row>
    <row r="25" spans="1:5" x14ac:dyDescent="0.25">
      <c r="A25" s="10" t="s">
        <v>34</v>
      </c>
      <c r="B25" s="10" t="s">
        <v>35</v>
      </c>
      <c r="C25" s="10" t="s">
        <v>210</v>
      </c>
      <c r="D25" s="10"/>
      <c r="E25" s="10"/>
    </row>
    <row r="26" spans="1:5" x14ac:dyDescent="0.25">
      <c r="A26" s="10" t="s">
        <v>36</v>
      </c>
      <c r="B26" s="10" t="s">
        <v>37</v>
      </c>
      <c r="C26" s="10" t="s">
        <v>210</v>
      </c>
      <c r="D26" s="10"/>
      <c r="E26" s="10"/>
    </row>
    <row r="27" spans="1:5" x14ac:dyDescent="0.25">
      <c r="A27" s="10" t="s">
        <v>38</v>
      </c>
      <c r="B27" s="10" t="s">
        <v>38</v>
      </c>
      <c r="C27" s="10" t="s">
        <v>210</v>
      </c>
      <c r="D27" s="10" t="s">
        <v>38</v>
      </c>
      <c r="E27" s="12">
        <v>13748</v>
      </c>
    </row>
    <row r="28" spans="1:5" x14ac:dyDescent="0.25">
      <c r="A28" s="10" t="s">
        <v>39</v>
      </c>
      <c r="B28" s="10" t="s">
        <v>39</v>
      </c>
      <c r="C28" s="10" t="s">
        <v>210</v>
      </c>
      <c r="D28" s="10"/>
      <c r="E28" s="10"/>
    </row>
    <row r="29" spans="1:5" x14ac:dyDescent="0.25">
      <c r="A29" s="10" t="s">
        <v>40</v>
      </c>
      <c r="B29" s="10" t="s">
        <v>41</v>
      </c>
      <c r="C29" s="10" t="s">
        <v>210</v>
      </c>
      <c r="D29" s="10"/>
      <c r="E29" s="10"/>
    </row>
    <row r="30" spans="1:5" x14ac:dyDescent="0.25">
      <c r="A30" s="10" t="s">
        <v>42</v>
      </c>
      <c r="B30" s="10" t="s">
        <v>43</v>
      </c>
      <c r="C30" s="10" t="s">
        <v>210</v>
      </c>
      <c r="D30" s="10"/>
      <c r="E30" s="10"/>
    </row>
    <row r="31" spans="1:5" x14ac:dyDescent="0.25">
      <c r="A31" s="10" t="s">
        <v>44</v>
      </c>
      <c r="B31" s="10" t="s">
        <v>3</v>
      </c>
      <c r="C31" s="10" t="s">
        <v>210</v>
      </c>
      <c r="D31" s="10"/>
      <c r="E31" s="10"/>
    </row>
    <row r="32" spans="1:5" x14ac:dyDescent="0.25">
      <c r="A32" s="10" t="s">
        <v>45</v>
      </c>
      <c r="B32" s="10" t="s">
        <v>45</v>
      </c>
      <c r="C32" s="10" t="s">
        <v>210</v>
      </c>
      <c r="D32" s="10" t="s">
        <v>45</v>
      </c>
      <c r="E32" s="12">
        <v>13724</v>
      </c>
    </row>
    <row r="33" spans="1:5" x14ac:dyDescent="0.25">
      <c r="A33" s="10" t="s">
        <v>46</v>
      </c>
      <c r="B33" s="10" t="s">
        <v>46</v>
      </c>
      <c r="C33" s="10" t="s">
        <v>210</v>
      </c>
      <c r="D33" s="10"/>
      <c r="E33" s="10"/>
    </row>
    <row r="34" spans="1:5" x14ac:dyDescent="0.25">
      <c r="A34" s="10" t="s">
        <v>47</v>
      </c>
      <c r="B34" s="10" t="s">
        <v>47</v>
      </c>
      <c r="C34" s="10" t="s">
        <v>210</v>
      </c>
      <c r="D34" s="10" t="s">
        <v>47</v>
      </c>
      <c r="E34" s="12">
        <v>13780</v>
      </c>
    </row>
    <row r="35" spans="1:5" x14ac:dyDescent="0.25">
      <c r="A35" s="10" t="s">
        <v>48</v>
      </c>
      <c r="B35" s="10" t="s">
        <v>49</v>
      </c>
      <c r="C35" s="10" t="s">
        <v>210</v>
      </c>
      <c r="D35" s="10"/>
      <c r="E35" s="10"/>
    </row>
    <row r="36" spans="1:5" x14ac:dyDescent="0.25">
      <c r="A36" s="10" t="s">
        <v>50</v>
      </c>
      <c r="B36" s="10" t="s">
        <v>51</v>
      </c>
      <c r="C36" s="10" t="s">
        <v>210</v>
      </c>
      <c r="D36" s="10"/>
      <c r="E36" s="10"/>
    </row>
    <row r="37" spans="1:5" x14ac:dyDescent="0.25">
      <c r="A37" s="10" t="s">
        <v>52</v>
      </c>
      <c r="B37" s="10" t="s">
        <v>53</v>
      </c>
      <c r="C37" s="10" t="s">
        <v>210</v>
      </c>
      <c r="D37" s="10"/>
      <c r="E37" s="10"/>
    </row>
    <row r="38" spans="1:5" x14ac:dyDescent="0.25">
      <c r="A38" s="10" t="s">
        <v>25</v>
      </c>
      <c r="B38" s="10" t="s">
        <v>26</v>
      </c>
      <c r="C38" s="10" t="s">
        <v>211</v>
      </c>
      <c r="D38" s="10" t="s">
        <v>217</v>
      </c>
      <c r="E38" s="1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defaultRowHeight="15" x14ac:dyDescent="0.25"/>
  <cols>
    <col min="1" max="1" width="43.5703125" customWidth="1"/>
    <col min="2" max="2" width="47.140625" customWidth="1"/>
    <col min="3" max="3" width="10.28515625" customWidth="1"/>
    <col min="4" max="4" width="32.14062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34</v>
      </c>
    </row>
    <row r="2" spans="1:8" x14ac:dyDescent="0.25">
      <c r="A2" s="10" t="s">
        <v>183</v>
      </c>
      <c r="B2" s="10" t="s">
        <v>3</v>
      </c>
      <c r="C2" s="10" t="s">
        <v>210</v>
      </c>
      <c r="D2" s="10"/>
      <c r="E2" s="10"/>
      <c r="G2" s="6" t="s">
        <v>211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4</v>
      </c>
      <c r="C3" s="10" t="s">
        <v>210</v>
      </c>
      <c r="D3" s="10"/>
      <c r="E3" s="10"/>
      <c r="G3" s="8" t="s">
        <v>212</v>
      </c>
      <c r="H3" s="9">
        <f>H1/SUM(H1:H2)</f>
        <v>0.89473684210526316</v>
      </c>
    </row>
    <row r="4" spans="1:8" x14ac:dyDescent="0.25">
      <c r="A4" s="10" t="s">
        <v>5</v>
      </c>
      <c r="B4" s="10" t="s">
        <v>6</v>
      </c>
      <c r="C4" s="10" t="s">
        <v>210</v>
      </c>
      <c r="D4" s="10"/>
      <c r="E4" s="10"/>
    </row>
    <row r="5" spans="1:8" x14ac:dyDescent="0.25">
      <c r="A5" s="10" t="s">
        <v>7</v>
      </c>
      <c r="B5" s="10" t="s">
        <v>7</v>
      </c>
      <c r="C5" s="10" t="s">
        <v>210</v>
      </c>
      <c r="D5" s="10"/>
      <c r="E5" s="10"/>
    </row>
    <row r="6" spans="1:8" x14ac:dyDescent="0.25">
      <c r="A6" s="10" t="s">
        <v>184</v>
      </c>
      <c r="B6" s="10" t="s">
        <v>3</v>
      </c>
      <c r="C6" s="10" t="s">
        <v>211</v>
      </c>
      <c r="D6" s="10" t="s">
        <v>184</v>
      </c>
      <c r="E6" s="12">
        <v>13744</v>
      </c>
    </row>
    <row r="7" spans="1:8" x14ac:dyDescent="0.25">
      <c r="A7" s="10" t="s">
        <v>8</v>
      </c>
      <c r="B7" s="10" t="s">
        <v>8</v>
      </c>
      <c r="C7" s="10" t="s">
        <v>210</v>
      </c>
      <c r="D7" s="10"/>
      <c r="E7" s="10"/>
    </row>
    <row r="8" spans="1:8" x14ac:dyDescent="0.25">
      <c r="A8" s="10" t="s">
        <v>9</v>
      </c>
      <c r="B8" s="10" t="s">
        <v>3</v>
      </c>
      <c r="C8" s="10" t="s">
        <v>210</v>
      </c>
      <c r="D8" s="10"/>
      <c r="E8" s="10"/>
    </row>
    <row r="9" spans="1:8" x14ac:dyDescent="0.25">
      <c r="A9" s="10" t="s">
        <v>10</v>
      </c>
      <c r="B9" s="10" t="s">
        <v>11</v>
      </c>
      <c r="C9" s="10" t="s">
        <v>210</v>
      </c>
      <c r="D9" s="10" t="s">
        <v>11</v>
      </c>
      <c r="E9" s="12">
        <v>20223</v>
      </c>
    </row>
    <row r="10" spans="1:8" x14ac:dyDescent="0.25">
      <c r="A10" s="10" t="s">
        <v>12</v>
      </c>
      <c r="B10" s="10" t="s">
        <v>13</v>
      </c>
      <c r="C10" s="10" t="s">
        <v>210</v>
      </c>
      <c r="D10" s="10"/>
      <c r="E10" s="10"/>
    </row>
    <row r="11" spans="1:8" x14ac:dyDescent="0.25">
      <c r="A11" s="10" t="s">
        <v>14</v>
      </c>
      <c r="B11" s="10" t="s">
        <v>15</v>
      </c>
      <c r="C11" s="10" t="s">
        <v>210</v>
      </c>
      <c r="D11" s="10"/>
      <c r="E11" s="10"/>
    </row>
    <row r="12" spans="1:8" x14ac:dyDescent="0.25">
      <c r="A12" s="10" t="s">
        <v>16</v>
      </c>
      <c r="B12" s="10" t="s">
        <v>16</v>
      </c>
      <c r="C12" s="10" t="s">
        <v>210</v>
      </c>
      <c r="D12" s="10" t="s">
        <v>215</v>
      </c>
      <c r="E12" s="10"/>
    </row>
    <row r="13" spans="1:8" x14ac:dyDescent="0.25">
      <c r="A13" s="10" t="s">
        <v>17</v>
      </c>
      <c r="B13" s="10" t="s">
        <v>3</v>
      </c>
      <c r="C13" s="10" t="s">
        <v>210</v>
      </c>
      <c r="D13" s="10"/>
      <c r="E13" s="10"/>
    </row>
    <row r="14" spans="1:8" x14ac:dyDescent="0.25">
      <c r="A14" s="10" t="s">
        <v>18</v>
      </c>
      <c r="B14" s="10" t="s">
        <v>11</v>
      </c>
      <c r="C14" s="10" t="s">
        <v>210</v>
      </c>
      <c r="D14" s="10" t="s">
        <v>11</v>
      </c>
      <c r="E14" s="12">
        <v>20209</v>
      </c>
    </row>
    <row r="15" spans="1:8" x14ac:dyDescent="0.25">
      <c r="A15" s="10" t="s">
        <v>19</v>
      </c>
      <c r="B15" s="10" t="s">
        <v>19</v>
      </c>
      <c r="C15" s="10" t="s">
        <v>211</v>
      </c>
      <c r="D15" s="10" t="s">
        <v>216</v>
      </c>
      <c r="E15" s="10"/>
    </row>
    <row r="16" spans="1:8" x14ac:dyDescent="0.25">
      <c r="A16" s="10" t="s">
        <v>20</v>
      </c>
      <c r="B16" s="10" t="s">
        <v>19</v>
      </c>
      <c r="C16" s="10" t="s">
        <v>210</v>
      </c>
      <c r="D16" s="10" t="s">
        <v>19</v>
      </c>
      <c r="E16" s="12">
        <v>13779</v>
      </c>
    </row>
    <row r="17" spans="1:5" x14ac:dyDescent="0.25">
      <c r="A17" s="10" t="s">
        <v>21</v>
      </c>
      <c r="B17" s="10" t="s">
        <v>19</v>
      </c>
      <c r="C17" s="10" t="s">
        <v>210</v>
      </c>
      <c r="D17" s="10" t="s">
        <v>19</v>
      </c>
      <c r="E17" s="12">
        <v>13779</v>
      </c>
    </row>
    <row r="18" spans="1:5" x14ac:dyDescent="0.25">
      <c r="A18" s="10" t="s">
        <v>22</v>
      </c>
      <c r="B18" s="10" t="s">
        <v>23</v>
      </c>
      <c r="C18" s="10" t="s">
        <v>210</v>
      </c>
      <c r="D18" s="10"/>
      <c r="E18" s="10"/>
    </row>
    <row r="19" spans="1:5" x14ac:dyDescent="0.25">
      <c r="A19" s="10" t="s">
        <v>24</v>
      </c>
      <c r="B19" s="10" t="s">
        <v>24</v>
      </c>
      <c r="C19" s="10" t="s">
        <v>210</v>
      </c>
      <c r="D19" s="10"/>
      <c r="E19" s="10"/>
    </row>
    <row r="20" spans="1:5" x14ac:dyDescent="0.25">
      <c r="A20" s="10" t="s">
        <v>25</v>
      </c>
      <c r="B20" s="10" t="s">
        <v>26</v>
      </c>
      <c r="C20" s="10" t="s">
        <v>210</v>
      </c>
      <c r="D20" s="10"/>
      <c r="E20" s="10"/>
    </row>
    <row r="21" spans="1:5" x14ac:dyDescent="0.25">
      <c r="A21" s="10" t="s">
        <v>27</v>
      </c>
      <c r="B21" s="10" t="s">
        <v>3</v>
      </c>
      <c r="C21" s="10" t="s">
        <v>210</v>
      </c>
      <c r="D21" s="10"/>
      <c r="E21" s="10"/>
    </row>
    <row r="22" spans="1:5" x14ac:dyDescent="0.25">
      <c r="A22" s="10" t="s">
        <v>28</v>
      </c>
      <c r="B22" s="10" t="s">
        <v>3</v>
      </c>
      <c r="C22" s="10" t="s">
        <v>210</v>
      </c>
      <c r="D22" s="10"/>
      <c r="E22" s="10"/>
    </row>
    <row r="23" spans="1:5" x14ac:dyDescent="0.25">
      <c r="A23" s="10" t="s">
        <v>185</v>
      </c>
      <c r="B23" s="10" t="s">
        <v>30</v>
      </c>
      <c r="C23" s="10" t="s">
        <v>211</v>
      </c>
      <c r="D23" s="10" t="s">
        <v>216</v>
      </c>
      <c r="E23" s="10"/>
    </row>
    <row r="24" spans="1:5" x14ac:dyDescent="0.25">
      <c r="A24" s="10" t="s">
        <v>31</v>
      </c>
      <c r="B24" s="10" t="s">
        <v>30</v>
      </c>
      <c r="C24" s="10" t="s">
        <v>210</v>
      </c>
      <c r="D24" s="10"/>
      <c r="E24" s="10"/>
    </row>
    <row r="25" spans="1:5" x14ac:dyDescent="0.25">
      <c r="A25" s="10" t="s">
        <v>32</v>
      </c>
      <c r="B25" s="10" t="s">
        <v>33</v>
      </c>
      <c r="C25" s="10" t="s">
        <v>210</v>
      </c>
      <c r="D25" s="10"/>
      <c r="E25" s="10"/>
    </row>
    <row r="26" spans="1:5" x14ac:dyDescent="0.25">
      <c r="A26" s="10" t="s">
        <v>34</v>
      </c>
      <c r="B26" s="10" t="s">
        <v>35</v>
      </c>
      <c r="C26" s="10" t="s">
        <v>210</v>
      </c>
      <c r="D26" s="10"/>
      <c r="E26" s="10"/>
    </row>
    <row r="27" spans="1:5" x14ac:dyDescent="0.25">
      <c r="A27" s="10" t="s">
        <v>36</v>
      </c>
      <c r="B27" s="10" t="s">
        <v>37</v>
      </c>
      <c r="C27" s="10" t="s">
        <v>210</v>
      </c>
      <c r="D27" s="10"/>
      <c r="E27" s="10"/>
    </row>
    <row r="28" spans="1:5" x14ac:dyDescent="0.25">
      <c r="A28" s="10" t="s">
        <v>38</v>
      </c>
      <c r="B28" s="10" t="s">
        <v>38</v>
      </c>
      <c r="C28" s="10" t="s">
        <v>210</v>
      </c>
      <c r="D28" s="10" t="s">
        <v>38</v>
      </c>
      <c r="E28" s="12">
        <v>13748</v>
      </c>
    </row>
    <row r="29" spans="1:5" x14ac:dyDescent="0.25">
      <c r="A29" s="10" t="s">
        <v>39</v>
      </c>
      <c r="B29" s="10" t="s">
        <v>39</v>
      </c>
      <c r="C29" s="10" t="s">
        <v>210</v>
      </c>
      <c r="D29" s="10"/>
      <c r="E29" s="10"/>
    </row>
    <row r="30" spans="1:5" x14ac:dyDescent="0.25">
      <c r="A30" s="10" t="s">
        <v>186</v>
      </c>
      <c r="B30" s="10" t="s">
        <v>41</v>
      </c>
      <c r="C30" s="10" t="s">
        <v>210</v>
      </c>
      <c r="D30" s="10"/>
      <c r="E30" s="10"/>
    </row>
    <row r="31" spans="1:5" x14ac:dyDescent="0.25">
      <c r="A31" s="10" t="s">
        <v>42</v>
      </c>
      <c r="B31" s="10" t="s">
        <v>43</v>
      </c>
      <c r="C31" s="10" t="s">
        <v>210</v>
      </c>
      <c r="D31" s="10"/>
      <c r="E31" s="10"/>
    </row>
    <row r="32" spans="1:5" x14ac:dyDescent="0.25">
      <c r="A32" s="10" t="s">
        <v>44</v>
      </c>
      <c r="B32" s="10" t="s">
        <v>3</v>
      </c>
      <c r="C32" s="10" t="s">
        <v>210</v>
      </c>
      <c r="D32" s="10"/>
      <c r="E32" s="10"/>
    </row>
    <row r="33" spans="1:5" x14ac:dyDescent="0.25">
      <c r="A33" s="10" t="s">
        <v>45</v>
      </c>
      <c r="B33" s="10" t="s">
        <v>45</v>
      </c>
      <c r="C33" s="10" t="s">
        <v>210</v>
      </c>
      <c r="D33" s="10" t="s">
        <v>45</v>
      </c>
      <c r="E33" s="12">
        <v>13724</v>
      </c>
    </row>
    <row r="34" spans="1:5" x14ac:dyDescent="0.25">
      <c r="A34" s="10" t="s">
        <v>46</v>
      </c>
      <c r="B34" s="10" t="s">
        <v>46</v>
      </c>
      <c r="C34" s="10" t="s">
        <v>210</v>
      </c>
      <c r="D34" s="10"/>
      <c r="E34" s="10"/>
    </row>
    <row r="35" spans="1:5" x14ac:dyDescent="0.25">
      <c r="A35" s="10" t="s">
        <v>47</v>
      </c>
      <c r="B35" s="10" t="s">
        <v>47</v>
      </c>
      <c r="C35" s="10" t="s">
        <v>210</v>
      </c>
      <c r="D35" s="10" t="s">
        <v>47</v>
      </c>
      <c r="E35" s="12">
        <v>13780</v>
      </c>
    </row>
    <row r="36" spans="1:5" x14ac:dyDescent="0.25">
      <c r="A36" s="10" t="s">
        <v>187</v>
      </c>
      <c r="B36" s="10" t="s">
        <v>49</v>
      </c>
      <c r="C36" s="10" t="s">
        <v>210</v>
      </c>
      <c r="D36" s="10"/>
      <c r="E36" s="10"/>
    </row>
    <row r="37" spans="1:5" x14ac:dyDescent="0.25">
      <c r="A37" s="10" t="s">
        <v>50</v>
      </c>
      <c r="B37" s="10" t="s">
        <v>51</v>
      </c>
      <c r="C37" s="10" t="s">
        <v>210</v>
      </c>
      <c r="D37" s="10"/>
      <c r="E37" s="10"/>
    </row>
    <row r="38" spans="1:5" x14ac:dyDescent="0.25">
      <c r="A38" s="10" t="s">
        <v>52</v>
      </c>
      <c r="B38" s="10" t="s">
        <v>53</v>
      </c>
      <c r="C38" s="10" t="s">
        <v>210</v>
      </c>
      <c r="D38" s="10"/>
      <c r="E38" s="10"/>
    </row>
    <row r="39" spans="1:5" x14ac:dyDescent="0.25">
      <c r="A39" s="10" t="s">
        <v>25</v>
      </c>
      <c r="B39" s="10" t="s">
        <v>26</v>
      </c>
      <c r="C39" s="10" t="s">
        <v>211</v>
      </c>
      <c r="D39" s="10" t="s">
        <v>217</v>
      </c>
      <c r="E39" s="1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5" x14ac:dyDescent="0.25"/>
  <cols>
    <col min="1" max="1" width="54.28515625" customWidth="1"/>
    <col min="2" max="2" width="49" customWidth="1"/>
    <col min="3" max="3" width="9.7109375" customWidth="1"/>
    <col min="4" max="4" width="30.4257812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29</v>
      </c>
    </row>
    <row r="2" spans="1:8" x14ac:dyDescent="0.25">
      <c r="A2" s="10" t="s">
        <v>102</v>
      </c>
      <c r="B2" s="10" t="s">
        <v>103</v>
      </c>
      <c r="C2" s="10" t="s">
        <v>210</v>
      </c>
      <c r="D2" s="10"/>
      <c r="E2" s="10"/>
      <c r="G2" s="6" t="s">
        <v>211</v>
      </c>
      <c r="H2" s="7">
        <f>COUNTIF(C:C,G2)</f>
        <v>10</v>
      </c>
    </row>
    <row r="3" spans="1:8" ht="15.75" thickBot="1" x14ac:dyDescent="0.3">
      <c r="A3" s="10" t="s">
        <v>104</v>
      </c>
      <c r="B3" s="10" t="s">
        <v>3</v>
      </c>
      <c r="C3" s="10" t="s">
        <v>210</v>
      </c>
      <c r="D3" s="10"/>
      <c r="E3" s="10"/>
      <c r="G3" s="8" t="s">
        <v>212</v>
      </c>
      <c r="H3" s="9">
        <f>H1/SUM(H1:H2)</f>
        <v>0.74358974358974361</v>
      </c>
    </row>
    <row r="4" spans="1:8" x14ac:dyDescent="0.25">
      <c r="A4" s="10" t="s">
        <v>105</v>
      </c>
      <c r="B4" s="10" t="s">
        <v>106</v>
      </c>
      <c r="C4" s="10" t="s">
        <v>210</v>
      </c>
      <c r="D4" s="10"/>
      <c r="E4" s="10"/>
    </row>
    <row r="5" spans="1:8" x14ac:dyDescent="0.25">
      <c r="A5" s="10" t="s">
        <v>107</v>
      </c>
      <c r="B5" s="10" t="s">
        <v>108</v>
      </c>
      <c r="C5" s="10" t="s">
        <v>211</v>
      </c>
      <c r="D5" s="10" t="s">
        <v>112</v>
      </c>
      <c r="E5" s="12">
        <v>17542</v>
      </c>
    </row>
    <row r="6" spans="1:8" x14ac:dyDescent="0.25">
      <c r="A6" s="10" t="s">
        <v>109</v>
      </c>
      <c r="B6" s="10" t="s">
        <v>110</v>
      </c>
      <c r="C6" s="10" t="s">
        <v>210</v>
      </c>
      <c r="D6" s="10"/>
      <c r="E6" s="10"/>
    </row>
    <row r="7" spans="1:8" x14ac:dyDescent="0.25">
      <c r="A7" s="10" t="s">
        <v>111</v>
      </c>
      <c r="B7" s="10" t="s">
        <v>112</v>
      </c>
      <c r="C7" s="10" t="s">
        <v>210</v>
      </c>
      <c r="D7" s="10"/>
      <c r="E7" s="10"/>
    </row>
    <row r="8" spans="1:8" x14ac:dyDescent="0.25">
      <c r="A8" s="10" t="s">
        <v>113</v>
      </c>
      <c r="B8" s="10" t="s">
        <v>114</v>
      </c>
      <c r="C8" s="10" t="s">
        <v>211</v>
      </c>
      <c r="D8" s="10" t="s">
        <v>218</v>
      </c>
      <c r="E8" s="12">
        <v>30576</v>
      </c>
    </row>
    <row r="9" spans="1:8" x14ac:dyDescent="0.25">
      <c r="A9" s="10" t="s">
        <v>115</v>
      </c>
      <c r="B9" s="10" t="s">
        <v>112</v>
      </c>
      <c r="C9" s="10" t="s">
        <v>210</v>
      </c>
      <c r="D9" s="10"/>
      <c r="E9" s="10"/>
    </row>
    <row r="10" spans="1:8" x14ac:dyDescent="0.25">
      <c r="A10" s="10" t="s">
        <v>116</v>
      </c>
      <c r="B10" s="10" t="s">
        <v>117</v>
      </c>
      <c r="C10" s="10" t="s">
        <v>210</v>
      </c>
      <c r="D10" s="10" t="s">
        <v>117</v>
      </c>
      <c r="E10" s="12">
        <v>30479</v>
      </c>
    </row>
    <row r="11" spans="1:8" x14ac:dyDescent="0.25">
      <c r="A11" s="10" t="s">
        <v>118</v>
      </c>
      <c r="B11" s="10" t="s">
        <v>119</v>
      </c>
      <c r="C11" s="10" t="s">
        <v>210</v>
      </c>
      <c r="D11" s="10" t="s">
        <v>119</v>
      </c>
      <c r="E11" s="12">
        <v>30481</v>
      </c>
    </row>
    <row r="12" spans="1:8" x14ac:dyDescent="0.25">
      <c r="A12" s="10" t="s">
        <v>120</v>
      </c>
      <c r="B12" s="10" t="s">
        <v>121</v>
      </c>
      <c r="C12" s="10" t="s">
        <v>210</v>
      </c>
      <c r="D12" s="10"/>
      <c r="E12" s="10"/>
    </row>
    <row r="13" spans="1:8" x14ac:dyDescent="0.25">
      <c r="A13" s="10" t="s">
        <v>122</v>
      </c>
      <c r="B13" s="10" t="s">
        <v>3</v>
      </c>
      <c r="C13" s="10" t="s">
        <v>210</v>
      </c>
      <c r="D13" s="10"/>
      <c r="E13" s="10"/>
    </row>
    <row r="14" spans="1:8" x14ac:dyDescent="0.25">
      <c r="A14" s="10" t="s">
        <v>123</v>
      </c>
      <c r="B14" s="10" t="s">
        <v>124</v>
      </c>
      <c r="C14" s="10" t="s">
        <v>210</v>
      </c>
      <c r="D14" s="10"/>
      <c r="E14" s="10"/>
    </row>
    <row r="15" spans="1:8" x14ac:dyDescent="0.25">
      <c r="A15" s="10" t="s">
        <v>125</v>
      </c>
      <c r="B15" s="10" t="s">
        <v>126</v>
      </c>
      <c r="C15" s="10" t="s">
        <v>210</v>
      </c>
      <c r="D15" s="10"/>
      <c r="E15" s="10"/>
    </row>
    <row r="16" spans="1:8" x14ac:dyDescent="0.25">
      <c r="A16" s="10" t="s">
        <v>127</v>
      </c>
      <c r="B16" s="10" t="s">
        <v>3</v>
      </c>
      <c r="C16" s="10" t="s">
        <v>211</v>
      </c>
      <c r="D16" s="10" t="s">
        <v>132</v>
      </c>
      <c r="E16" s="12">
        <v>30518</v>
      </c>
    </row>
    <row r="17" spans="1:5" x14ac:dyDescent="0.25">
      <c r="A17" s="10" t="s">
        <v>128</v>
      </c>
      <c r="B17" s="10" t="s">
        <v>129</v>
      </c>
      <c r="C17" s="10" t="s">
        <v>210</v>
      </c>
      <c r="D17" s="10"/>
      <c r="E17" s="10"/>
    </row>
    <row r="18" spans="1:5" x14ac:dyDescent="0.25">
      <c r="A18" s="10" t="s">
        <v>130</v>
      </c>
      <c r="B18" s="10" t="s">
        <v>46</v>
      </c>
      <c r="C18" s="10" t="s">
        <v>210</v>
      </c>
      <c r="D18" s="10"/>
      <c r="E18" s="10"/>
    </row>
    <row r="19" spans="1:5" x14ac:dyDescent="0.25">
      <c r="A19" s="10" t="s">
        <v>131</v>
      </c>
      <c r="B19" s="10" t="s">
        <v>132</v>
      </c>
      <c r="C19" s="10" t="s">
        <v>210</v>
      </c>
      <c r="D19" s="10"/>
      <c r="E19" s="10"/>
    </row>
    <row r="20" spans="1:5" x14ac:dyDescent="0.25">
      <c r="A20" s="10" t="s">
        <v>133</v>
      </c>
      <c r="B20" s="10" t="s">
        <v>134</v>
      </c>
      <c r="C20" s="10" t="s">
        <v>210</v>
      </c>
      <c r="D20" s="10"/>
      <c r="E20" s="10"/>
    </row>
    <row r="21" spans="1:5" x14ac:dyDescent="0.25">
      <c r="A21" s="10" t="s">
        <v>135</v>
      </c>
      <c r="B21" s="10" t="s">
        <v>136</v>
      </c>
      <c r="C21" s="10" t="s">
        <v>210</v>
      </c>
      <c r="D21" s="10"/>
      <c r="E21" s="10"/>
    </row>
    <row r="22" spans="1:5" x14ac:dyDescent="0.25">
      <c r="A22" s="10" t="s">
        <v>137</v>
      </c>
      <c r="B22" s="10" t="s">
        <v>138</v>
      </c>
      <c r="C22" s="10" t="s">
        <v>210</v>
      </c>
      <c r="D22" s="10"/>
      <c r="E22" s="10"/>
    </row>
    <row r="23" spans="1:5" x14ac:dyDescent="0.25">
      <c r="A23" s="10" t="s">
        <v>139</v>
      </c>
      <c r="B23" s="10" t="s">
        <v>108</v>
      </c>
      <c r="C23" s="10" t="s">
        <v>210</v>
      </c>
      <c r="D23" s="10"/>
      <c r="E23" s="10"/>
    </row>
    <row r="24" spans="1:5" x14ac:dyDescent="0.25">
      <c r="A24" s="10" t="s">
        <v>140</v>
      </c>
      <c r="B24" s="10" t="s">
        <v>141</v>
      </c>
      <c r="C24" s="10" t="s">
        <v>211</v>
      </c>
      <c r="D24" s="10" t="s">
        <v>216</v>
      </c>
      <c r="E24" s="10"/>
    </row>
    <row r="25" spans="1:5" x14ac:dyDescent="0.25">
      <c r="A25" s="10" t="s">
        <v>142</v>
      </c>
      <c r="B25" s="10" t="s">
        <v>143</v>
      </c>
      <c r="C25" s="10" t="s">
        <v>211</v>
      </c>
      <c r="D25" s="10" t="s">
        <v>221</v>
      </c>
      <c r="E25" s="12">
        <v>30368</v>
      </c>
    </row>
    <row r="26" spans="1:5" x14ac:dyDescent="0.25">
      <c r="A26" s="10" t="s">
        <v>144</v>
      </c>
      <c r="B26" s="10" t="s">
        <v>145</v>
      </c>
      <c r="C26" s="10" t="s">
        <v>210</v>
      </c>
      <c r="D26" s="10"/>
      <c r="E26" s="10"/>
    </row>
    <row r="27" spans="1:5" x14ac:dyDescent="0.25">
      <c r="A27" s="10" t="s">
        <v>146</v>
      </c>
      <c r="B27" s="10" t="s">
        <v>147</v>
      </c>
      <c r="C27" s="10" t="s">
        <v>210</v>
      </c>
      <c r="D27" s="10"/>
      <c r="E27" s="10"/>
    </row>
    <row r="28" spans="1:5" x14ac:dyDescent="0.25">
      <c r="A28" s="10" t="s">
        <v>148</v>
      </c>
      <c r="B28" s="10" t="s">
        <v>149</v>
      </c>
      <c r="C28" s="10" t="s">
        <v>210</v>
      </c>
      <c r="D28" s="10"/>
      <c r="E28" s="10"/>
    </row>
    <row r="29" spans="1:5" x14ac:dyDescent="0.25">
      <c r="A29" s="10" t="s">
        <v>150</v>
      </c>
      <c r="B29" s="10" t="s">
        <v>151</v>
      </c>
      <c r="C29" s="10" t="s">
        <v>210</v>
      </c>
      <c r="D29" s="10"/>
      <c r="E29" s="10"/>
    </row>
    <row r="30" spans="1:5" x14ac:dyDescent="0.25">
      <c r="A30" s="10" t="s">
        <v>118</v>
      </c>
      <c r="B30" s="10" t="s">
        <v>119</v>
      </c>
      <c r="C30" s="10" t="s">
        <v>211</v>
      </c>
      <c r="D30" s="10" t="s">
        <v>219</v>
      </c>
      <c r="E30" s="12">
        <v>30485</v>
      </c>
    </row>
    <row r="31" spans="1:5" x14ac:dyDescent="0.25">
      <c r="A31" s="10" t="s">
        <v>152</v>
      </c>
      <c r="B31" s="10" t="s">
        <v>141</v>
      </c>
      <c r="C31" s="10" t="s">
        <v>210</v>
      </c>
      <c r="D31" s="10"/>
      <c r="E31" s="10"/>
    </row>
    <row r="32" spans="1:5" x14ac:dyDescent="0.25">
      <c r="A32" s="10" t="s">
        <v>153</v>
      </c>
      <c r="B32" s="10" t="s">
        <v>154</v>
      </c>
      <c r="C32" s="10" t="s">
        <v>211</v>
      </c>
      <c r="D32" s="10" t="s">
        <v>216</v>
      </c>
      <c r="E32" s="10"/>
    </row>
    <row r="33" spans="1:5" x14ac:dyDescent="0.25">
      <c r="A33" s="10" t="s">
        <v>155</v>
      </c>
      <c r="B33" s="10" t="s">
        <v>156</v>
      </c>
      <c r="C33" s="10" t="s">
        <v>210</v>
      </c>
      <c r="D33" s="10"/>
      <c r="E33" s="10"/>
    </row>
    <row r="34" spans="1:5" x14ac:dyDescent="0.25">
      <c r="A34" s="10" t="s">
        <v>157</v>
      </c>
      <c r="B34" s="10" t="s">
        <v>158</v>
      </c>
      <c r="C34" s="10" t="s">
        <v>211</v>
      </c>
      <c r="D34" s="10" t="s">
        <v>220</v>
      </c>
      <c r="E34" s="12">
        <v>17555</v>
      </c>
    </row>
    <row r="35" spans="1:5" x14ac:dyDescent="0.25">
      <c r="A35" s="10" t="s">
        <v>159</v>
      </c>
      <c r="B35" s="10" t="s">
        <v>158</v>
      </c>
      <c r="C35" s="10" t="s">
        <v>211</v>
      </c>
      <c r="D35" s="10" t="s">
        <v>226</v>
      </c>
      <c r="E35" s="12">
        <v>30658</v>
      </c>
    </row>
    <row r="36" spans="1:5" x14ac:dyDescent="0.25">
      <c r="A36" s="10" t="s">
        <v>116</v>
      </c>
      <c r="B36" s="10" t="s">
        <v>117</v>
      </c>
      <c r="C36" s="10" t="s">
        <v>211</v>
      </c>
      <c r="D36" s="10" t="s">
        <v>178</v>
      </c>
      <c r="E36" s="12">
        <v>30484</v>
      </c>
    </row>
    <row r="37" spans="1:5" x14ac:dyDescent="0.25">
      <c r="A37" s="10" t="s">
        <v>153</v>
      </c>
      <c r="B37" s="10" t="s">
        <v>154</v>
      </c>
      <c r="C37" s="10" t="s">
        <v>210</v>
      </c>
      <c r="D37" s="10"/>
      <c r="E37" s="10"/>
    </row>
    <row r="38" spans="1:5" x14ac:dyDescent="0.25">
      <c r="A38" s="10" t="s">
        <v>160</v>
      </c>
      <c r="B38" s="10" t="s">
        <v>161</v>
      </c>
      <c r="C38" s="10" t="s">
        <v>210</v>
      </c>
      <c r="D38" s="10"/>
      <c r="E38" s="10"/>
    </row>
    <row r="39" spans="1:5" x14ac:dyDescent="0.25">
      <c r="A39" s="10" t="s">
        <v>162</v>
      </c>
      <c r="B39" s="10" t="s">
        <v>163</v>
      </c>
      <c r="C39" s="10" t="s">
        <v>210</v>
      </c>
      <c r="D39" s="10"/>
      <c r="E39" s="10"/>
    </row>
    <row r="40" spans="1:5" x14ac:dyDescent="0.25">
      <c r="A40" s="10" t="s">
        <v>164</v>
      </c>
      <c r="B40" s="10" t="s">
        <v>165</v>
      </c>
      <c r="C40" s="10" t="s">
        <v>210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workbookViewId="0"/>
  </sheetViews>
  <sheetFormatPr defaultRowHeight="15" x14ac:dyDescent="0.25"/>
  <cols>
    <col min="1" max="1" width="46" customWidth="1"/>
    <col min="2" max="2" width="44.42578125" customWidth="1"/>
    <col min="3" max="3" width="10.85546875" customWidth="1"/>
    <col min="4" max="4" width="31.2851562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28</v>
      </c>
    </row>
    <row r="2" spans="1:8" x14ac:dyDescent="0.25">
      <c r="A2" s="10" t="s">
        <v>102</v>
      </c>
      <c r="B2" s="10" t="s">
        <v>103</v>
      </c>
      <c r="C2" s="10" t="s">
        <v>210</v>
      </c>
      <c r="D2" s="10"/>
      <c r="E2" s="10"/>
      <c r="G2" s="6" t="s">
        <v>211</v>
      </c>
      <c r="H2" s="7">
        <f>COUNTIF(C:C,G2)</f>
        <v>11</v>
      </c>
    </row>
    <row r="3" spans="1:8" ht="15.75" thickBot="1" x14ac:dyDescent="0.3">
      <c r="A3" s="10" t="s">
        <v>104</v>
      </c>
      <c r="B3" s="10" t="s">
        <v>3</v>
      </c>
      <c r="C3" s="10" t="s">
        <v>210</v>
      </c>
      <c r="D3" s="10"/>
      <c r="E3" s="10"/>
      <c r="G3" s="8" t="s">
        <v>212</v>
      </c>
      <c r="H3" s="9">
        <f>H1/SUM(H1:H2)</f>
        <v>0.71794871794871795</v>
      </c>
    </row>
    <row r="4" spans="1:8" x14ac:dyDescent="0.25">
      <c r="A4" s="10" t="s">
        <v>105</v>
      </c>
      <c r="B4" s="10" t="s">
        <v>106</v>
      </c>
      <c r="C4" s="10" t="s">
        <v>210</v>
      </c>
      <c r="D4" s="10"/>
      <c r="E4" s="10"/>
    </row>
    <row r="5" spans="1:8" x14ac:dyDescent="0.25">
      <c r="A5" s="10" t="s">
        <v>107</v>
      </c>
      <c r="B5" s="10" t="s">
        <v>108</v>
      </c>
      <c r="C5" s="10" t="s">
        <v>211</v>
      </c>
      <c r="D5" s="10" t="s">
        <v>112</v>
      </c>
      <c r="E5" s="12">
        <v>17542</v>
      </c>
    </row>
    <row r="6" spans="1:8" x14ac:dyDescent="0.25">
      <c r="A6" s="10" t="s">
        <v>109</v>
      </c>
      <c r="B6" s="10" t="s">
        <v>110</v>
      </c>
      <c r="C6" s="10" t="s">
        <v>210</v>
      </c>
      <c r="D6" s="10"/>
      <c r="E6" s="10"/>
    </row>
    <row r="7" spans="1:8" x14ac:dyDescent="0.25">
      <c r="A7" s="10" t="s">
        <v>111</v>
      </c>
      <c r="B7" s="10" t="s">
        <v>112</v>
      </c>
      <c r="C7" s="10" t="s">
        <v>210</v>
      </c>
      <c r="D7" s="10" t="s">
        <v>215</v>
      </c>
      <c r="E7" s="10"/>
    </row>
    <row r="8" spans="1:8" x14ac:dyDescent="0.25">
      <c r="A8" s="10" t="s">
        <v>200</v>
      </c>
      <c r="B8" s="10" t="s">
        <v>201</v>
      </c>
      <c r="C8" s="10" t="s">
        <v>211</v>
      </c>
      <c r="D8" s="10" t="s">
        <v>112</v>
      </c>
      <c r="E8" s="12">
        <v>17542</v>
      </c>
    </row>
    <row r="9" spans="1:8" x14ac:dyDescent="0.25">
      <c r="A9" s="10" t="s">
        <v>202</v>
      </c>
      <c r="B9" s="10" t="s">
        <v>203</v>
      </c>
      <c r="C9" s="10" t="s">
        <v>210</v>
      </c>
      <c r="D9" s="10"/>
      <c r="E9" s="10"/>
    </row>
    <row r="10" spans="1:8" x14ac:dyDescent="0.25">
      <c r="A10" s="10" t="s">
        <v>116</v>
      </c>
      <c r="B10" s="10" t="s">
        <v>117</v>
      </c>
      <c r="C10" s="10" t="s">
        <v>210</v>
      </c>
      <c r="D10" s="10" t="s">
        <v>117</v>
      </c>
      <c r="E10" s="12">
        <v>30479</v>
      </c>
    </row>
    <row r="11" spans="1:8" x14ac:dyDescent="0.25">
      <c r="A11" s="10" t="s">
        <v>118</v>
      </c>
      <c r="B11" s="10" t="s">
        <v>119</v>
      </c>
      <c r="C11" s="10" t="s">
        <v>210</v>
      </c>
      <c r="D11" s="10" t="s">
        <v>119</v>
      </c>
      <c r="E11" s="12">
        <v>30481</v>
      </c>
    </row>
    <row r="12" spans="1:8" x14ac:dyDescent="0.25">
      <c r="A12" s="10" t="s">
        <v>120</v>
      </c>
      <c r="B12" s="10" t="s">
        <v>121</v>
      </c>
      <c r="C12" s="10" t="s">
        <v>210</v>
      </c>
      <c r="D12" s="10" t="s">
        <v>215</v>
      </c>
      <c r="E12" s="10"/>
    </row>
    <row r="13" spans="1:8" x14ac:dyDescent="0.25">
      <c r="A13" s="10" t="s">
        <v>122</v>
      </c>
      <c r="B13" s="10" t="s">
        <v>3</v>
      </c>
      <c r="C13" s="10" t="s">
        <v>210</v>
      </c>
      <c r="D13" s="10"/>
      <c r="E13" s="10"/>
    </row>
    <row r="14" spans="1:8" x14ac:dyDescent="0.25">
      <c r="A14" s="10" t="s">
        <v>123</v>
      </c>
      <c r="B14" s="10" t="s">
        <v>124</v>
      </c>
      <c r="C14" s="10" t="s">
        <v>210</v>
      </c>
      <c r="D14" s="10"/>
      <c r="E14" s="10"/>
    </row>
    <row r="15" spans="1:8" x14ac:dyDescent="0.25">
      <c r="A15" s="10" t="s">
        <v>125</v>
      </c>
      <c r="B15" s="10" t="s">
        <v>126</v>
      </c>
      <c r="C15" s="10" t="s">
        <v>210</v>
      </c>
      <c r="D15" s="10"/>
      <c r="E15" s="10"/>
    </row>
    <row r="16" spans="1:8" x14ac:dyDescent="0.25">
      <c r="A16" s="10" t="s">
        <v>127</v>
      </c>
      <c r="B16" s="10" t="s">
        <v>3</v>
      </c>
      <c r="C16" s="10" t="s">
        <v>211</v>
      </c>
      <c r="D16" s="10" t="s">
        <v>132</v>
      </c>
      <c r="E16" s="12">
        <v>30518</v>
      </c>
    </row>
    <row r="17" spans="1:5" x14ac:dyDescent="0.25">
      <c r="A17" s="10" t="s">
        <v>128</v>
      </c>
      <c r="B17" s="10" t="s">
        <v>129</v>
      </c>
      <c r="C17" s="10" t="s">
        <v>210</v>
      </c>
      <c r="D17" s="10"/>
      <c r="E17" s="10"/>
    </row>
    <row r="18" spans="1:5" x14ac:dyDescent="0.25">
      <c r="A18" s="10" t="s">
        <v>130</v>
      </c>
      <c r="B18" s="10" t="s">
        <v>46</v>
      </c>
      <c r="C18" s="10" t="s">
        <v>210</v>
      </c>
      <c r="D18" s="10"/>
      <c r="E18" s="10"/>
    </row>
    <row r="19" spans="1:5" x14ac:dyDescent="0.25">
      <c r="A19" s="10" t="s">
        <v>131</v>
      </c>
      <c r="B19" s="10" t="s">
        <v>132</v>
      </c>
      <c r="C19" s="10" t="s">
        <v>210</v>
      </c>
      <c r="D19" s="10"/>
      <c r="E19" s="10"/>
    </row>
    <row r="20" spans="1:5" x14ac:dyDescent="0.25">
      <c r="A20" s="10" t="s">
        <v>133</v>
      </c>
      <c r="B20" s="10" t="s">
        <v>134</v>
      </c>
      <c r="C20" s="10" t="s">
        <v>210</v>
      </c>
      <c r="D20" s="10"/>
      <c r="E20" s="10"/>
    </row>
    <row r="21" spans="1:5" x14ac:dyDescent="0.25">
      <c r="A21" s="10" t="s">
        <v>135</v>
      </c>
      <c r="B21" s="10" t="s">
        <v>136</v>
      </c>
      <c r="C21" s="10" t="s">
        <v>210</v>
      </c>
      <c r="D21" s="10"/>
      <c r="E21" s="10"/>
    </row>
    <row r="22" spans="1:5" x14ac:dyDescent="0.25">
      <c r="A22" s="10" t="s">
        <v>137</v>
      </c>
      <c r="B22" s="10" t="s">
        <v>138</v>
      </c>
      <c r="C22" s="10" t="s">
        <v>210</v>
      </c>
      <c r="D22" s="10"/>
      <c r="E22" s="10"/>
    </row>
    <row r="23" spans="1:5" x14ac:dyDescent="0.25">
      <c r="A23" s="10" t="s">
        <v>139</v>
      </c>
      <c r="B23" s="10" t="s">
        <v>108</v>
      </c>
      <c r="C23" s="10" t="s">
        <v>210</v>
      </c>
      <c r="D23" s="10"/>
      <c r="E23" s="10"/>
    </row>
    <row r="24" spans="1:5" x14ac:dyDescent="0.25">
      <c r="A24" s="10" t="s">
        <v>140</v>
      </c>
      <c r="B24" s="10" t="s">
        <v>141</v>
      </c>
      <c r="C24" s="10" t="s">
        <v>211</v>
      </c>
      <c r="D24" s="10" t="s">
        <v>216</v>
      </c>
      <c r="E24" s="10"/>
    </row>
    <row r="25" spans="1:5" x14ac:dyDescent="0.25">
      <c r="A25" s="10" t="s">
        <v>142</v>
      </c>
      <c r="B25" s="10" t="s">
        <v>143</v>
      </c>
      <c r="C25" s="10" t="s">
        <v>211</v>
      </c>
      <c r="D25" s="10" t="s">
        <v>221</v>
      </c>
      <c r="E25" s="12">
        <v>30368</v>
      </c>
    </row>
    <row r="26" spans="1:5" x14ac:dyDescent="0.25">
      <c r="A26" s="10" t="s">
        <v>144</v>
      </c>
      <c r="B26" s="10" t="s">
        <v>145</v>
      </c>
      <c r="C26" s="10" t="s">
        <v>210</v>
      </c>
      <c r="D26" s="10"/>
      <c r="E26" s="10"/>
    </row>
    <row r="27" spans="1:5" x14ac:dyDescent="0.25">
      <c r="A27" s="10" t="s">
        <v>146</v>
      </c>
      <c r="B27" s="10" t="s">
        <v>147</v>
      </c>
      <c r="C27" s="10" t="s">
        <v>210</v>
      </c>
      <c r="D27" s="10"/>
      <c r="E27" s="10"/>
    </row>
    <row r="28" spans="1:5" x14ac:dyDescent="0.25">
      <c r="A28" s="10" t="s">
        <v>148</v>
      </c>
      <c r="B28" s="10" t="s">
        <v>149</v>
      </c>
      <c r="C28" s="10" t="s">
        <v>210</v>
      </c>
      <c r="D28" s="10"/>
      <c r="E28" s="10"/>
    </row>
    <row r="29" spans="1:5" x14ac:dyDescent="0.25">
      <c r="A29" s="10" t="s">
        <v>150</v>
      </c>
      <c r="B29" s="10" t="s">
        <v>151</v>
      </c>
      <c r="C29" s="10" t="s">
        <v>210</v>
      </c>
      <c r="D29" s="10"/>
      <c r="E29" s="10"/>
    </row>
    <row r="30" spans="1:5" x14ac:dyDescent="0.25">
      <c r="A30" s="10" t="s">
        <v>204</v>
      </c>
      <c r="B30" s="10" t="s">
        <v>119</v>
      </c>
      <c r="C30" s="10" t="s">
        <v>211</v>
      </c>
      <c r="D30" s="10" t="s">
        <v>219</v>
      </c>
      <c r="E30" s="12">
        <v>30485</v>
      </c>
    </row>
    <row r="31" spans="1:5" x14ac:dyDescent="0.25">
      <c r="A31" s="10" t="s">
        <v>152</v>
      </c>
      <c r="B31" s="10" t="s">
        <v>141</v>
      </c>
      <c r="C31" s="10" t="s">
        <v>210</v>
      </c>
      <c r="D31" s="10"/>
      <c r="E31" s="10"/>
    </row>
    <row r="32" spans="1:5" x14ac:dyDescent="0.25">
      <c r="A32" s="10" t="s">
        <v>153</v>
      </c>
      <c r="B32" s="10" t="s">
        <v>154</v>
      </c>
      <c r="C32" s="10" t="s">
        <v>211</v>
      </c>
      <c r="D32" s="10" t="s">
        <v>216</v>
      </c>
      <c r="E32" s="10"/>
    </row>
    <row r="33" spans="1:5" x14ac:dyDescent="0.25">
      <c r="A33" s="10" t="s">
        <v>155</v>
      </c>
      <c r="B33" s="10" t="s">
        <v>156</v>
      </c>
      <c r="C33" s="10" t="s">
        <v>210</v>
      </c>
      <c r="D33" s="10"/>
      <c r="E33" s="10"/>
    </row>
    <row r="34" spans="1:5" x14ac:dyDescent="0.25">
      <c r="A34" s="10" t="s">
        <v>157</v>
      </c>
      <c r="B34" s="10" t="s">
        <v>158</v>
      </c>
      <c r="C34" s="10" t="s">
        <v>211</v>
      </c>
      <c r="D34" s="10" t="s">
        <v>220</v>
      </c>
      <c r="E34" s="12">
        <v>17555</v>
      </c>
    </row>
    <row r="35" spans="1:5" x14ac:dyDescent="0.25">
      <c r="A35" s="10" t="s">
        <v>159</v>
      </c>
      <c r="B35" s="10" t="s">
        <v>158</v>
      </c>
      <c r="C35" s="10" t="s">
        <v>211</v>
      </c>
      <c r="D35" s="10" t="s">
        <v>226</v>
      </c>
      <c r="E35" s="12">
        <v>30658</v>
      </c>
    </row>
    <row r="36" spans="1:5" x14ac:dyDescent="0.25">
      <c r="A36" s="10" t="s">
        <v>116</v>
      </c>
      <c r="B36" s="10" t="s">
        <v>117</v>
      </c>
      <c r="C36" s="10" t="s">
        <v>211</v>
      </c>
      <c r="D36" s="10" t="s">
        <v>178</v>
      </c>
      <c r="E36" s="12">
        <v>30484</v>
      </c>
    </row>
    <row r="37" spans="1:5" x14ac:dyDescent="0.25">
      <c r="A37" s="10" t="s">
        <v>153</v>
      </c>
      <c r="B37" s="10" t="s">
        <v>154</v>
      </c>
      <c r="C37" s="10" t="s">
        <v>211</v>
      </c>
      <c r="D37" s="10"/>
      <c r="E37" s="10"/>
    </row>
    <row r="38" spans="1:5" x14ac:dyDescent="0.25">
      <c r="A38" s="10" t="s">
        <v>160</v>
      </c>
      <c r="B38" s="10" t="s">
        <v>161</v>
      </c>
      <c r="C38" s="10" t="s">
        <v>210</v>
      </c>
      <c r="D38" s="10"/>
      <c r="E38" s="10"/>
    </row>
    <row r="39" spans="1:5" x14ac:dyDescent="0.25">
      <c r="A39" s="10" t="s">
        <v>205</v>
      </c>
      <c r="B39" s="10" t="s">
        <v>163</v>
      </c>
      <c r="C39" s="10" t="s">
        <v>210</v>
      </c>
      <c r="D39" s="10"/>
      <c r="E39" s="10"/>
    </row>
    <row r="40" spans="1:5" x14ac:dyDescent="0.25">
      <c r="A40" s="10" t="s">
        <v>164</v>
      </c>
      <c r="B40" s="10" t="s">
        <v>165</v>
      </c>
      <c r="C40" s="10" t="s">
        <v>210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H7" sqref="H7"/>
    </sheetView>
  </sheetViews>
  <sheetFormatPr defaultRowHeight="15" x14ac:dyDescent="0.25"/>
  <cols>
    <col min="1" max="1" width="44.85546875" customWidth="1"/>
    <col min="2" max="2" width="47.5703125" customWidth="1"/>
  </cols>
  <sheetData>
    <row r="1" spans="1:12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0</v>
      </c>
      <c r="I1" s="11" t="s">
        <v>213</v>
      </c>
      <c r="J1" s="11"/>
      <c r="K1" s="11"/>
      <c r="L1" s="11"/>
    </row>
    <row r="2" spans="1:12" x14ac:dyDescent="0.25">
      <c r="A2" s="10" t="s">
        <v>166</v>
      </c>
      <c r="B2" s="10" t="s">
        <v>167</v>
      </c>
      <c r="C2" s="10"/>
      <c r="D2" s="10"/>
      <c r="E2" s="10"/>
      <c r="G2" s="6" t="s">
        <v>211</v>
      </c>
      <c r="H2" s="7">
        <f>COUNTIF(C:C,G2)</f>
        <v>0</v>
      </c>
    </row>
    <row r="3" spans="1:12" ht="15.75" thickBot="1" x14ac:dyDescent="0.3">
      <c r="A3" s="10" t="s">
        <v>168</v>
      </c>
      <c r="B3" s="10" t="s">
        <v>132</v>
      </c>
      <c r="C3" s="10"/>
      <c r="D3" s="10"/>
      <c r="E3" s="10"/>
      <c r="G3" s="8" t="s">
        <v>212</v>
      </c>
      <c r="H3" s="9" t="e">
        <f>H1/SUM(H1:H2)</f>
        <v>#DIV/0!</v>
      </c>
    </row>
    <row r="4" spans="1:12" x14ac:dyDescent="0.25">
      <c r="A4" s="10" t="s">
        <v>169</v>
      </c>
      <c r="B4" s="10" t="s">
        <v>170</v>
      </c>
      <c r="C4" s="10"/>
      <c r="D4" s="10"/>
      <c r="E4" s="10"/>
    </row>
    <row r="5" spans="1:12" x14ac:dyDescent="0.25">
      <c r="A5" s="10" t="s">
        <v>171</v>
      </c>
      <c r="B5" s="10" t="s">
        <v>103</v>
      </c>
      <c r="C5" s="10"/>
      <c r="D5" s="10"/>
      <c r="E5" s="10"/>
    </row>
    <row r="6" spans="1:12" x14ac:dyDescent="0.25">
      <c r="A6" s="10" t="s">
        <v>172</v>
      </c>
      <c r="B6" s="10" t="s">
        <v>136</v>
      </c>
      <c r="C6" s="10"/>
      <c r="D6" s="10"/>
      <c r="E6" s="10"/>
    </row>
    <row r="7" spans="1:12" x14ac:dyDescent="0.25">
      <c r="A7" s="10" t="s">
        <v>173</v>
      </c>
      <c r="B7" s="10" t="s">
        <v>170</v>
      </c>
      <c r="C7" s="10"/>
      <c r="D7" s="10"/>
      <c r="E7" s="10"/>
    </row>
    <row r="8" spans="1:12" x14ac:dyDescent="0.25">
      <c r="A8" s="10" t="s">
        <v>166</v>
      </c>
      <c r="B8" s="10" t="s">
        <v>167</v>
      </c>
      <c r="C8" s="10"/>
      <c r="D8" s="10"/>
      <c r="E8" s="10"/>
    </row>
    <row r="9" spans="1:12" x14ac:dyDescent="0.25">
      <c r="A9" s="10" t="s">
        <v>168</v>
      </c>
      <c r="B9" s="10" t="s">
        <v>132</v>
      </c>
      <c r="C9" s="10"/>
      <c r="D9" s="10"/>
      <c r="E9" s="10"/>
    </row>
    <row r="10" spans="1:12" x14ac:dyDescent="0.25">
      <c r="A10" s="10" t="s">
        <v>169</v>
      </c>
      <c r="B10" s="10" t="s">
        <v>170</v>
      </c>
      <c r="C10" s="10"/>
      <c r="D10" s="10"/>
      <c r="E10" s="10"/>
    </row>
    <row r="11" spans="1:12" x14ac:dyDescent="0.25">
      <c r="A11" s="10" t="s">
        <v>174</v>
      </c>
      <c r="B11" s="10" t="s">
        <v>112</v>
      </c>
      <c r="C11" s="10"/>
      <c r="D11" s="10"/>
      <c r="E11" s="10"/>
    </row>
    <row r="12" spans="1:12" x14ac:dyDescent="0.25">
      <c r="A12" s="10" t="s">
        <v>175</v>
      </c>
      <c r="B12" s="10" t="s">
        <v>117</v>
      </c>
      <c r="C12" s="10"/>
      <c r="D12" s="10"/>
      <c r="E12" s="10"/>
    </row>
    <row r="13" spans="1:12" x14ac:dyDescent="0.25">
      <c r="A13" s="10" t="s">
        <v>176</v>
      </c>
      <c r="B13" s="10" t="s">
        <v>3</v>
      </c>
      <c r="C13" s="10"/>
      <c r="D13" s="10"/>
      <c r="E13" s="10"/>
    </row>
    <row r="14" spans="1:12" x14ac:dyDescent="0.25">
      <c r="A14" s="10" t="s">
        <v>177</v>
      </c>
      <c r="B14" s="10" t="s">
        <v>178</v>
      </c>
      <c r="C14" s="10"/>
      <c r="D14" s="10"/>
      <c r="E14" s="10"/>
    </row>
    <row r="15" spans="1:12" x14ac:dyDescent="0.25">
      <c r="A15" s="10" t="s">
        <v>179</v>
      </c>
      <c r="B15" s="10" t="s">
        <v>103</v>
      </c>
      <c r="C15" s="10"/>
      <c r="D15" s="10"/>
      <c r="E15" s="10"/>
    </row>
    <row r="16" spans="1:12" x14ac:dyDescent="0.25">
      <c r="A16" s="10" t="s">
        <v>180</v>
      </c>
      <c r="B16" s="10" t="s">
        <v>132</v>
      </c>
      <c r="C16" s="10"/>
      <c r="D16" s="10"/>
      <c r="E16" s="10"/>
    </row>
    <row r="17" spans="1:5" x14ac:dyDescent="0.25">
      <c r="A17" s="10" t="s">
        <v>181</v>
      </c>
      <c r="B17" s="10" t="s">
        <v>3</v>
      </c>
      <c r="C17" s="10"/>
      <c r="D17" s="10"/>
      <c r="E17" s="10"/>
    </row>
    <row r="18" spans="1:5" x14ac:dyDescent="0.25">
      <c r="A18" s="10" t="s">
        <v>166</v>
      </c>
      <c r="B18" s="10" t="s">
        <v>167</v>
      </c>
      <c r="C18" s="10"/>
      <c r="D18" s="10"/>
      <c r="E18" s="10"/>
    </row>
    <row r="19" spans="1:5" x14ac:dyDescent="0.25">
      <c r="A19" s="10" t="s">
        <v>168</v>
      </c>
      <c r="B19" s="10" t="s">
        <v>132</v>
      </c>
      <c r="C19" s="10"/>
      <c r="D19" s="10"/>
      <c r="E19" s="10"/>
    </row>
    <row r="20" spans="1:5" x14ac:dyDescent="0.25">
      <c r="A20" s="10" t="s">
        <v>169</v>
      </c>
      <c r="B20" s="10" t="s">
        <v>170</v>
      </c>
      <c r="C20" s="10"/>
      <c r="D20" s="10"/>
      <c r="E20" s="10"/>
    </row>
    <row r="21" spans="1:5" x14ac:dyDescent="0.25">
      <c r="A21" s="10" t="s">
        <v>182</v>
      </c>
      <c r="B21" s="10" t="s">
        <v>170</v>
      </c>
      <c r="C21" s="10"/>
      <c r="D21" s="10"/>
      <c r="E21" s="10"/>
    </row>
    <row r="22" spans="1:5" x14ac:dyDescent="0.25">
      <c r="A22" s="10" t="s">
        <v>166</v>
      </c>
      <c r="B22" s="10" t="s">
        <v>167</v>
      </c>
      <c r="C22" s="10"/>
      <c r="D22" s="10"/>
      <c r="E22" s="10"/>
    </row>
    <row r="23" spans="1:5" x14ac:dyDescent="0.25">
      <c r="A23" s="10" t="s">
        <v>168</v>
      </c>
      <c r="B23" s="10" t="s">
        <v>132</v>
      </c>
      <c r="C23" s="10"/>
      <c r="D23" s="10"/>
      <c r="E23" s="10"/>
    </row>
    <row r="24" spans="1:5" x14ac:dyDescent="0.25">
      <c r="A24" s="10" t="s">
        <v>169</v>
      </c>
      <c r="B24" s="10" t="s">
        <v>170</v>
      </c>
      <c r="C24" s="10"/>
      <c r="D24" s="10"/>
      <c r="E2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"/>
  <sheetViews>
    <sheetView workbookViewId="0">
      <selection activeCell="D13" sqref="C13:D13"/>
    </sheetView>
  </sheetViews>
  <sheetFormatPr defaultRowHeight="15" x14ac:dyDescent="0.25"/>
  <cols>
    <col min="1" max="1" width="50" customWidth="1"/>
    <col min="2" max="2" width="47.28515625" customWidth="1"/>
  </cols>
  <sheetData>
    <row r="1" spans="1:12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G1" s="4" t="s">
        <v>210</v>
      </c>
      <c r="H1" s="5">
        <f>COUNTIF(C:C,G1)</f>
        <v>0</v>
      </c>
      <c r="I1" s="11" t="s">
        <v>213</v>
      </c>
      <c r="J1" s="11"/>
      <c r="K1" s="11"/>
      <c r="L1" s="11"/>
    </row>
    <row r="2" spans="1:12" x14ac:dyDescent="0.25">
      <c r="A2" s="10" t="s">
        <v>166</v>
      </c>
      <c r="B2" s="10" t="s">
        <v>167</v>
      </c>
      <c r="C2" s="10"/>
      <c r="D2" s="10"/>
      <c r="E2" s="10"/>
      <c r="G2" s="6" t="s">
        <v>211</v>
      </c>
      <c r="H2" s="7">
        <f>COUNTIF(C:C,G2)</f>
        <v>0</v>
      </c>
    </row>
    <row r="3" spans="1:12" ht="15.75" thickBot="1" x14ac:dyDescent="0.3">
      <c r="A3" s="10" t="s">
        <v>168</v>
      </c>
      <c r="B3" s="10" t="s">
        <v>132</v>
      </c>
      <c r="C3" s="10"/>
      <c r="D3" s="10"/>
      <c r="E3" s="10"/>
      <c r="G3" s="8" t="s">
        <v>212</v>
      </c>
      <c r="H3" s="9" t="e">
        <f>H1/SUM(H1:H2)</f>
        <v>#DIV/0!</v>
      </c>
    </row>
    <row r="4" spans="1:12" x14ac:dyDescent="0.25">
      <c r="A4" s="10" t="s">
        <v>169</v>
      </c>
      <c r="B4" s="10" t="s">
        <v>170</v>
      </c>
      <c r="C4" s="10"/>
      <c r="D4" s="10"/>
      <c r="E4" s="10"/>
    </row>
    <row r="5" spans="1:12" x14ac:dyDescent="0.25">
      <c r="A5" s="10" t="s">
        <v>171</v>
      </c>
      <c r="B5" s="10" t="s">
        <v>103</v>
      </c>
      <c r="C5" s="10"/>
      <c r="D5" s="10"/>
      <c r="E5" s="10"/>
    </row>
    <row r="6" spans="1:12" x14ac:dyDescent="0.25">
      <c r="A6" s="10" t="s">
        <v>172</v>
      </c>
      <c r="B6" s="10" t="s">
        <v>136</v>
      </c>
      <c r="C6" s="10"/>
      <c r="D6" s="10"/>
      <c r="E6" s="10"/>
    </row>
    <row r="7" spans="1:12" x14ac:dyDescent="0.25">
      <c r="A7" s="10" t="s">
        <v>206</v>
      </c>
      <c r="B7" s="10" t="s">
        <v>103</v>
      </c>
      <c r="C7" s="10"/>
      <c r="D7" s="10"/>
      <c r="E7" s="10"/>
    </row>
    <row r="8" spans="1:12" x14ac:dyDescent="0.25">
      <c r="A8" s="10" t="s">
        <v>166</v>
      </c>
      <c r="B8" s="10" t="s">
        <v>167</v>
      </c>
      <c r="C8" s="10"/>
      <c r="D8" s="10"/>
      <c r="E8" s="10"/>
    </row>
    <row r="9" spans="1:12" x14ac:dyDescent="0.25">
      <c r="A9" s="10" t="s">
        <v>168</v>
      </c>
      <c r="B9" s="10" t="s">
        <v>132</v>
      </c>
      <c r="C9" s="10"/>
      <c r="D9" s="10"/>
      <c r="E9" s="10"/>
    </row>
    <row r="10" spans="1:12" x14ac:dyDescent="0.25">
      <c r="A10" s="10" t="s">
        <v>169</v>
      </c>
      <c r="B10" s="10" t="s">
        <v>170</v>
      </c>
      <c r="C10" s="10"/>
      <c r="D10" s="10"/>
      <c r="E10" s="10"/>
    </row>
    <row r="11" spans="1:12" x14ac:dyDescent="0.25">
      <c r="A11" s="10" t="s">
        <v>174</v>
      </c>
      <c r="B11" s="10" t="s">
        <v>112</v>
      </c>
      <c r="C11" s="10"/>
      <c r="D11" s="10"/>
      <c r="E11" s="10"/>
    </row>
    <row r="12" spans="1:12" x14ac:dyDescent="0.25">
      <c r="A12" s="10" t="s">
        <v>175</v>
      </c>
      <c r="B12" s="10" t="s">
        <v>117</v>
      </c>
      <c r="C12" s="10"/>
      <c r="D12" s="10"/>
      <c r="E12" s="10"/>
    </row>
    <row r="13" spans="1:12" x14ac:dyDescent="0.25">
      <c r="A13" s="10" t="s">
        <v>176</v>
      </c>
      <c r="B13" s="10" t="s">
        <v>3</v>
      </c>
      <c r="C13" s="10"/>
      <c r="D13" s="10"/>
      <c r="E13" s="10"/>
    </row>
    <row r="14" spans="1:12" x14ac:dyDescent="0.25">
      <c r="A14" s="10" t="s">
        <v>177</v>
      </c>
      <c r="B14" s="10" t="s">
        <v>178</v>
      </c>
      <c r="C14" s="10"/>
      <c r="D14" s="10"/>
      <c r="E14" s="10"/>
    </row>
    <row r="15" spans="1:12" x14ac:dyDescent="0.25">
      <c r="A15" s="10" t="s">
        <v>179</v>
      </c>
      <c r="B15" s="10" t="s">
        <v>103</v>
      </c>
      <c r="C15" s="10"/>
      <c r="D15" s="10"/>
      <c r="E15" s="10"/>
    </row>
    <row r="16" spans="1:12" x14ac:dyDescent="0.25">
      <c r="A16" s="10" t="s">
        <v>180</v>
      </c>
      <c r="B16" s="10" t="s">
        <v>132</v>
      </c>
      <c r="C16" s="10"/>
      <c r="D16" s="10"/>
      <c r="E16" s="10"/>
    </row>
    <row r="17" spans="1:5" x14ac:dyDescent="0.25">
      <c r="A17" s="10" t="s">
        <v>181</v>
      </c>
      <c r="B17" s="10" t="s">
        <v>3</v>
      </c>
      <c r="C17" s="10"/>
      <c r="D17" s="10"/>
      <c r="E17" s="10"/>
    </row>
    <row r="18" spans="1:5" x14ac:dyDescent="0.25">
      <c r="A18" s="10" t="s">
        <v>166</v>
      </c>
      <c r="B18" s="10" t="s">
        <v>167</v>
      </c>
      <c r="C18" s="10"/>
      <c r="D18" s="10"/>
      <c r="E18" s="10"/>
    </row>
    <row r="19" spans="1:5" x14ac:dyDescent="0.25">
      <c r="A19" s="10" t="s">
        <v>168</v>
      </c>
      <c r="B19" s="10" t="s">
        <v>132</v>
      </c>
      <c r="C19" s="10"/>
      <c r="D19" s="10"/>
      <c r="E19" s="10"/>
    </row>
    <row r="20" spans="1:5" x14ac:dyDescent="0.25">
      <c r="A20" s="10" t="s">
        <v>169</v>
      </c>
      <c r="B20" s="10" t="s">
        <v>170</v>
      </c>
      <c r="C20" s="10"/>
      <c r="D20" s="10"/>
      <c r="E20" s="10"/>
    </row>
    <row r="21" spans="1:5" x14ac:dyDescent="0.25">
      <c r="A21" s="10" t="s">
        <v>182</v>
      </c>
      <c r="B21" s="10" t="s">
        <v>170</v>
      </c>
      <c r="C21" s="10"/>
      <c r="D21" s="10"/>
      <c r="E21" s="10"/>
    </row>
    <row r="22" spans="1:5" x14ac:dyDescent="0.25">
      <c r="A22" s="10" t="s">
        <v>166</v>
      </c>
      <c r="B22" s="10" t="s">
        <v>167</v>
      </c>
      <c r="C22" s="10"/>
      <c r="D22" s="10"/>
      <c r="E22" s="10"/>
    </row>
    <row r="23" spans="1:5" x14ac:dyDescent="0.25">
      <c r="A23" s="10" t="s">
        <v>168</v>
      </c>
      <c r="B23" s="10" t="s">
        <v>132</v>
      </c>
      <c r="C23" s="10"/>
      <c r="D23" s="10"/>
      <c r="E23" s="10"/>
    </row>
    <row r="24" spans="1:5" x14ac:dyDescent="0.25">
      <c r="A24" s="10" t="s">
        <v>169</v>
      </c>
      <c r="B24" s="10" t="s">
        <v>170</v>
      </c>
      <c r="C24" s="10"/>
      <c r="D24" s="10"/>
      <c r="E2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2026-03-27T16:41:44Z</dcterms:created>
  <dcterms:modified xsi:type="dcterms:W3CDTF">2026-04-07T03:28:25Z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2026-04-01T07:38:33Z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ce74d5e9-0369-438a-ace7-acd960934e43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