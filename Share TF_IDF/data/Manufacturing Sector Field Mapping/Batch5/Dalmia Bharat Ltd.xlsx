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2-04-2026\"/>
    </mc:Choice>
  </mc:AlternateContent>
  <xr:revisionPtr revIDLastSave="0" documentId="13_ncr:1_{D68B821D-9532-4067-B9C5-B82EE9569E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6" r:id="rId1"/>
    <sheet name="Standalone Balance Sheet" sheetId="5" r:id="rId2"/>
    <sheet name="Consolidated Profit &amp; Loss" sheetId="1" r:id="rId3"/>
    <sheet name="Consolidated Balance Sheet" sheetId="2" r:id="rId4"/>
    <sheet name="Standalone Cash Flow" sheetId="4" r:id="rId5"/>
    <sheet name="Consolidated Cash Flow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2" i="1"/>
  <c r="H1" i="1"/>
  <c r="H2" i="2"/>
  <c r="H1" i="2"/>
  <c r="H2" i="4"/>
  <c r="H1" i="4"/>
  <c r="H2" i="3"/>
  <c r="H1" i="3"/>
  <c r="H2" i="6"/>
  <c r="H1" i="6"/>
  <c r="H3" i="3" l="1"/>
  <c r="H3" i="4"/>
  <c r="H3" i="2"/>
  <c r="H1" i="5"/>
  <c r="H3" i="5" s="1"/>
  <c r="H3" i="1"/>
  <c r="H3" i="6"/>
</calcChain>
</file>

<file path=xl/sharedStrings.xml><?xml version="1.0" encoding="utf-8"?>
<sst xmlns="http://schemas.openxmlformats.org/spreadsheetml/2006/main" count="1005" uniqueCount="319">
  <si>
    <t>Particulars</t>
  </si>
  <si>
    <t>Cogencis Field</t>
  </si>
  <si>
    <t>Income</t>
  </si>
  <si>
    <t>Lable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</si>
  <si>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</si>
  <si>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</si>
  <si>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</si>
  <si>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</si>
  <si>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</si>
  <si>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</si>
  <si>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</si>
  <si>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Cost of raw materials consumed</t>
  </si>
  <si>
    <t>Cost of Materials Consumed</t>
  </si>
  <si>
    <t>Purchases of stock in trade</t>
  </si>
  <si>
    <t>Purchase of Stock-in-Trade</t>
  </si>
  <si>
    <t>Changes in inventories of finished goods, stock in 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</si>
  <si>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</si>
  <si>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</si>
  <si>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</si>
  <si>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</si>
  <si>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</si>
  <si>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</si>
  <si>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</si>
  <si>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Power and fuel</t>
  </si>
  <si>
    <t>Power and Fuel</t>
  </si>
  <si>
    <t>Freight charges</t>
  </si>
  <si>
    <t>Operating Expenses</t>
  </si>
  <si>
    <t>on finished goods</t>
  </si>
  <si>
    <t>Diluted EPS</t>
  </si>
  <si>
    <t>on internal clinker transfer</t>
  </si>
  <si>
    <t>Items that will be reclassified to Profit or Loss</t>
  </si>
  <si>
    <t>Other expenses</t>
  </si>
  <si>
    <t>Other Expenses</t>
  </si>
  <si>
    <t>Total expenses</t>
  </si>
  <si>
    <t>Total Expenses</t>
  </si>
  <si>
    <t>Profit before share of profit in joint venture and exceptional item</t>
  </si>
  <si>
    <t>Profit/(Loss) from ordinary activities before finance costs and exceptional items</t>
  </si>
  <si>
    <t>Share of profit/(loss ) in joint venture accounted for using equity method ( net of tax )</t>
  </si>
  <si>
    <t>Share of Profit/(loss) of associates and Joint Ventures before ebt</t>
  </si>
  <si>
    <t>Profit before exceptional item and tax from continuing operations</t>
  </si>
  <si>
    <t>Profit/(Loss) from Ordinary Activities after Finance Costs but before Exceptional Items</t>
  </si>
  <si>
    <t>Exceptional item</t>
  </si>
  <si>
    <t>Other Exceptional Items</t>
  </si>
  <si>
    <t>Profit before tax from continuing operations</t>
  </si>
  <si>
    <t>Profit/(Loss) From Ordinary Activities before Tax</t>
  </si>
  <si>
    <t>Tax expense</t>
  </si>
  <si>
    <t>Current tax</t>
  </si>
  <si>
    <t>Tax Expense</t>
  </si>
  <si>
    <t>Deferred tax charge</t>
  </si>
  <si>
    <t>Deferred Tax</t>
  </si>
  <si>
    <t>Tax adjustments for earlier years</t>
  </si>
  <si>
    <t>Total tax expense</t>
  </si>
  <si>
    <t>Total Field</t>
  </si>
  <si>
    <t>Profit for the period/ year from continuing operation</t>
  </si>
  <si>
    <t>Profit/(Loss) for the Period from Continuing Operations</t>
  </si>
  <si>
    <t>Discontinued operations</t>
  </si>
  <si>
    <t>Profit/(loss ) before tax from discontinued operations</t>
  </si>
  <si>
    <t>Profit/(Loss) from Discontinuing Operations</t>
  </si>
  <si>
    <t>Tax expense on discontinued operations</t>
  </si>
  <si>
    <t>Tax Expense of Discontinuing Operations</t>
  </si>
  <si>
    <t>Profit/(loss ) for the period/ year from discontinued operations</t>
  </si>
  <si>
    <t>Net Profit From Discontinuing Operations (After Tax)</t>
  </si>
  <si>
    <t>Profit for the period/ year</t>
  </si>
  <si>
    <t>Net Profit/(Loss) for the Period</t>
  </si>
  <si>
    <t>Profit attributable to : -</t>
  </si>
  <si>
    <t>Non - controlling interest</t>
  </si>
  <si>
    <t>Owners of the Parent</t>
  </si>
  <si>
    <t>Owners of the company</t>
  </si>
  <si>
    <t>Other comprehensive income</t>
  </si>
  <si>
    <t>Items that will not be reclassified to profit or loss</t>
  </si>
  <si>
    <t>Items that will not be reclassified to Profit or Loss</t>
  </si>
  <si>
    <t>Re- measurement gain/(loss ) on defined benefit plans</t>
  </si>
  <si>
    <t>Change in fair value of financial instruments through other comprehensive income</t>
  </si>
  <si>
    <t>Income tax credit/(expense ) relating to above items</t>
  </si>
  <si>
    <t>Income Tax related to items that will not be reclassified to Profit or Loss</t>
  </si>
  <si>
    <t>Items that will be reclassified to profit or loss</t>
  </si>
  <si>
    <t>Net movement on effective portion of cash flow hedges</t>
  </si>
  <si>
    <t>Other comprehensive income/(loss ) for the period/ year</t>
  </si>
  <si>
    <t>Other Comprehensive Income</t>
  </si>
  <si>
    <t>Other comprehensive income/(loss ) attributable to : -</t>
  </si>
  <si>
    <t>Total comprehensive income for the period/ year</t>
  </si>
  <si>
    <t>Total Comprehensive Gain (Loss) For the Year</t>
  </si>
  <si>
    <t>Total comprehensive income attributable to : -</t>
  </si>
  <si>
    <t>Total Comprehensive Income Attributable To</t>
  </si>
  <si>
    <t>Paid up Equity Share Capital - Faoo Value No . 2/ cach</t>
  </si>
  <si>
    <t>Paid-Up Equity Share Capital</t>
  </si>
  <si>
    <t>Other equity</t>
  </si>
  <si>
    <t>Reserve excluding Revaluation Reserves (as per Balance Sheet of Previous Accounting Year)</t>
  </si>
  <si>
    <t>Earnings per Share from continuing operations ( not annualised )</t>
  </si>
  <si>
    <t>Basic ( In Rupees )</t>
  </si>
  <si>
    <t>Basic EPS</t>
  </si>
  <si>
    <t>Diluted ( In Rupees )</t>
  </si>
  <si>
    <t>Earnings per Share from discontinued operations ( not annualised )</t>
  </si>
  <si>
    <t>Earnings per Share from continuing and discontinued operations ( not annualised )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</si>
  <si>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</si>
  <si>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</si>
  <si>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</si>
  <si>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</si>
  <si>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</si>
  <si>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Investment properties</t>
  </si>
  <si>
    <t>Investment Property</t>
  </si>
  <si>
    <t>Goodwill</t>
  </si>
  <si>
    <t>Other intangible assets</t>
  </si>
  <si>
    <t>Other Intangible Assets</t>
  </si>
  <si>
    <t>Right - of - use assets</t>
  </si>
  <si>
    <t>Right-of-use asset</t>
  </si>
  <si>
    <t>Intangible assets under development</t>
  </si>
  <si>
    <t>Biological assets other than bearer plants</t>
  </si>
  <si>
    <t>Biological Assets other than bearer plants</t>
  </si>
  <si>
    <t>Investments accounted using equity method</t>
  </si>
  <si>
    <t>Investment accounted for using Equity method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</si>
  <si>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</si>
  <si>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</si>
  <si>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</si>
  <si>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</si>
  <si>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</si>
  <si>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</si>
  <si>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</si>
  <si>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Income tax assets ( net )</t>
  </si>
  <si>
    <t>Current Tax Assets (Net)</t>
  </si>
  <si>
    <t>Deferred tax assets ( net )</t>
  </si>
  <si>
    <t>Deferred Tax Assets (Net)</t>
  </si>
  <si>
    <t>Other non - current assets</t>
  </si>
  <si>
    <t>Other Non-Current Assets</t>
  </si>
  <si>
    <t>Sub - total -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</si>
  <si>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</si>
  <si>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</si>
  <si>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</si>
  <si>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</si>
  <si>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</si>
  <si>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</si>
  <si>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</si>
  <si>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</si>
  <si>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</si>
  <si>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</si>
  <si>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</si>
  <si>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Sub - total - Current assets</t>
  </si>
  <si>
    <t>Total Current Assets</t>
  </si>
  <si>
    <t>Assets or disposal group classified as held for sale</t>
  </si>
  <si>
    <t>Liabilities directly associated with assets in disposal group classified as held for sale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</si>
  <si>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</si>
  <si>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</si>
  <si>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</si>
  <si>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</si>
  <si>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</si>
  <si>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</si>
  <si>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Equity attributable to owners of the Parent</t>
  </si>
  <si>
    <t>Sub - total - 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</si>
  <si>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</si>
  <si>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</si>
  <si>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</si>
  <si>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</si>
  <si>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</si>
  <si>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</si>
  <si>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</si>
  <si>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</si>
  <si>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</si>
  <si>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</si>
  <si>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Government grants</t>
  </si>
  <si>
    <t>Deferred government grants, Current</t>
  </si>
  <si>
    <t>Deferred tax liabilities ( net )</t>
  </si>
  <si>
    <t>Deferred Tax Liability (Net)</t>
  </si>
  <si>
    <t>Sub - total - Non - current liabilities</t>
  </si>
  <si>
    <t>Total Non-Current Liabilities</t>
  </si>
  <si>
    <t>Current liabilities</t>
  </si>
  <si>
    <t>Financial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</si>
  <si>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</si>
  <si>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</si>
  <si>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</si>
  <si>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</si>
  <si>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</si>
  <si>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</si>
  <si>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Current tax liabilities ( net )</t>
  </si>
  <si>
    <t>Current Tax Liabilities (Net)</t>
  </si>
  <si>
    <t>Sub - total - Current liabilities</t>
  </si>
  <si>
    <t>Total - Liabilities</t>
  </si>
  <si>
    <t>Total - Equity and Liabilities</t>
  </si>
  <si>
    <t>Total Equity And Liabilities</t>
  </si>
  <si>
    <t>Profit before tax from :</t>
  </si>
  <si>
    <t>Continuing operations</t>
  </si>
  <si>
    <t>Net Profit Before Tax And Exceptional Item</t>
  </si>
  <si>
    <t>Adjustments to reconcile profit before tax to net cash flows :</t>
  </si>
  <si>
    <t>Depreciation and amortisation</t>
  </si>
  <si>
    <t>Depreciation and Amortisation Expense</t>
  </si>
  <si>
    <t>Exceptional items ( net )</t>
  </si>
  <si>
    <t>Provision for impairment allowance ( net )</t>
  </si>
  <si>
    <t>Provision For Doubtful Debts</t>
  </si>
  <si>
    <t>Bad debts/ advances written off ( net )</t>
  </si>
  <si>
    <t>Bad Debts Written Off</t>
  </si>
  <si>
    <t>Expenses on employees stock options scheme</t>
  </si>
  <si>
    <t>Employees Stock Options Grants</t>
  </si>
  <si>
    <t>Dividend income</t>
  </si>
  <si>
    <t>Dividend Received</t>
  </si>
  <si>
    <t>Exchange difference ( net )</t>
  </si>
  <si>
    <t>Foreign Exchange Gain / Loss</t>
  </si>
  <si>
    <t>Interest Expense</t>
  </si>
  <si>
    <t>Interest income</t>
  </si>
  <si>
    <t>Interest Received</t>
  </si>
  <si>
    <t>Interest income on government grant</t>
  </si>
  <si>
    <t>Interest Income</t>
  </si>
  <si>
    <t>Gain on termination of leases</t>
  </si>
  <si>
    <t>Others-Before Working Capital Changes</t>
  </si>
  <si>
    <t>Change of fair value of investments measured at FVTPL</t>
  </si>
  <si>
    <t>Profit On Sale Of Fixed Assets</t>
  </si>
  <si>
    <t>Profit on sale of investments ( net )</t>
  </si>
  <si>
    <t>Profit On Sale Of Investments</t>
  </si>
  <si>
    <t>Profit on disposal of property, plant and equipment (net)</t>
  </si>
  <si>
    <t>Share of profit in joint venture</t>
  </si>
  <si>
    <t>Share Of Profit &amp; Loss from Partnership Firm or Association of Persons Etc</t>
  </si>
  <si>
    <t>Operating profit before working capital changes</t>
  </si>
  <si>
    <t>Operating Profit Before Working Capital Changes</t>
  </si>
  <si>
    <t>Working capital adjustments :</t>
  </si>
  <si>
    <t>Decrease/(increase ) in inventories</t>
  </si>
  <si>
    <t>( Increase)/ decrease in trade receivables</t>
  </si>
  <si>
    <t>Trade And Other Receivables</t>
  </si>
  <si>
    <t>Increase in financial and other assets</t>
  </si>
  <si>
    <t>Adjustments for other financial assets, non-current</t>
  </si>
  <si>
    <t>Decrease in trade and other payables</t>
  </si>
  <si>
    <t>Trade Payables And Others</t>
  </si>
  <si>
    <t>Increase in provisions and government grants</t>
  </si>
  <si>
    <t>Cash generated from operations</t>
  </si>
  <si>
    <t>Cash Generated From Operations</t>
  </si>
  <si>
    <t>Income tax paid ( net )</t>
  </si>
  <si>
    <t>Income Tax Paid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</si>
  <si>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</si>
  <si>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</si>
  <si>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</si>
  <si>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</si>
  <si>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Purchase of property. planl and equipment, capital work in progress and intangibles</t>
  </si>
  <si>
    <t>Purchase Of Fixed Assets (Tangible / Intangible)</t>
  </si>
  <si>
    <t>Proceeds from sa le of property, plant and equipment</t>
  </si>
  <si>
    <t>Sale Of Fixed Assets (Tangible / Intangible)</t>
  </si>
  <si>
    <t>Purchase of non current investments</t>
  </si>
  <si>
    <t>Purchase Of Investments</t>
  </si>
  <si>
    <t>( Purchase ) of Investment/ proceeds from sale</t>
  </si>
  <si>
    <t>Sale Of Investments</t>
  </si>
  <si>
    <t>Fixed deposits ( placed)/ matured</t>
  </si>
  <si>
    <t>Fixed Deposits</t>
  </si>
  <si>
    <t>Interest received</t>
  </si>
  <si>
    <t>Dividend received</t>
  </si>
  <si>
    <t>Net cash used in investing activities</t>
  </si>
  <si>
    <t>Cash flow from financing activities</t>
  </si>
  <si>
    <t>Proceeds from long term borrowings</t>
  </si>
  <si>
    <t>Proceeds From Long Term Borrowings</t>
  </si>
  <si>
    <t>Repayment of long term borrowings</t>
  </si>
  <si>
    <t>Repayment Of Long Term Borrowings</t>
  </si>
  <si>
    <t>Proceeds from short term borrowings</t>
  </si>
  <si>
    <t>Proceeds From Short Term Borrowings</t>
  </si>
  <si>
    <t>Finance costs paid</t>
  </si>
  <si>
    <t>Interest Paid</t>
  </si>
  <si>
    <t>Payment of interest on lease liabilities</t>
  </si>
  <si>
    <t>Payments of finance lease liabilities</t>
  </si>
  <si>
    <t>Payment of principal portion of lease liabilities</t>
  </si>
  <si>
    <t>Payments of lease liabilities</t>
  </si>
  <si>
    <t>Dividend paid</t>
  </si>
  <si>
    <t>Dividend Paid</t>
  </si>
  <si>
    <t>Net cash generated/(used in ) from financing activities</t>
  </si>
  <si>
    <t>Net Cash Flow From Financing Activities</t>
  </si>
  <si>
    <t>Net decrease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</si>
  <si>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</si>
  <si>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</si>
  <si>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</si>
  <si>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</si>
  <si>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</si>
  <si>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Cash and cash equivalents includes :</t>
  </si>
  <si>
    <t>Profit before tax</t>
  </si>
  <si>
    <t>Depreciation and amortisation expenses</t>
  </si>
  <si>
    <t>Adjustments for working capital changes :</t>
  </si>
  <si>
    <t>Decrease in financial and other assets</t>
  </si>
  <si>
    <t>( Decrease)/ Increase in trade and other payables</t>
  </si>
  <si>
    <t>Increase in provisions</t>
  </si>
  <si>
    <t>Income tax refund/(paid ) ( net )</t>
  </si>
  <si>
    <t>Income Tax Refunds</t>
  </si>
  <si>
    <t>Net cash flow generated from operating activities</t>
  </si>
  <si>
    <t>Purchase of property, plant and equipment, capital work in progress and intangibles</t>
  </si>
  <si>
    <t>Proceeds from sale of property, plant and equipment</t>
  </si>
  <si>
    <t>Purchase of current investments ( net )</t>
  </si>
  <si>
    <t>Sale of non current investments</t>
  </si>
  <si>
    <t>Loans given to a subsidiary</t>
  </si>
  <si>
    <t>Loans To Subsidiaries</t>
  </si>
  <si>
    <t>Loans repaid by a subsidiary</t>
  </si>
  <si>
    <t>Cash Receipts from Repayment of Advances and Loans Made to Other Parties</t>
  </si>
  <si>
    <t>Fixed deposits matured</t>
  </si>
  <si>
    <t>Net cash flow from investing activities</t>
  </si>
  <si>
    <t>Net cash used in financing activities</t>
  </si>
  <si>
    <t>Tax expense :</t>
  </si>
  <si>
    <t>Deferred tax charge/ ( credit )</t>
  </si>
  <si>
    <t>Tax adjustment for earlier years</t>
  </si>
  <si>
    <t>Re- measurement gain/ ( loss ) on defined benefit plans</t>
  </si>
  <si>
    <t>Income tax credit/ ( expense ) relating to above items</t>
  </si>
  <si>
    <t>Other comprehensive income/ ( loss ) ( net of tax )</t>
  </si>
  <si>
    <t>Paid - up Equity Share Capital- Face Value Rs . 2/- each</t>
  </si>
  <si>
    <t>Earnings per Share ( not annualised )</t>
  </si>
  <si>
    <t>Basic ( Rupees )</t>
  </si>
  <si>
    <t>Diluted ( Rupees )</t>
  </si>
  <si>
    <t>Status</t>
  </si>
  <si>
    <t>Correct Field Mapping</t>
  </si>
  <si>
    <t>Field id</t>
  </si>
  <si>
    <t>Correct</t>
  </si>
  <si>
    <t>Incorrect</t>
  </si>
  <si>
    <t>Accuracy %</t>
  </si>
  <si>
    <t>Label</t>
  </si>
  <si>
    <t>Freight &amp; Handling Expenses</t>
  </si>
  <si>
    <t>Ignore this field</t>
  </si>
  <si>
    <t>Non-Controlling Interests</t>
  </si>
  <si>
    <t>Income Tax related to items that will be reclassified to Profit or Loss</t>
  </si>
  <si>
    <t>Loans Non-Current</t>
  </si>
  <si>
    <t>Income Tax assets (net)</t>
  </si>
  <si>
    <t>Current Investments</t>
  </si>
  <si>
    <t>Other Current Financial Assets</t>
  </si>
  <si>
    <t>Assets classified as held for sale</t>
  </si>
  <si>
    <t>Short-Term Provisions</t>
  </si>
  <si>
    <t>Total Current Liabilities</t>
  </si>
  <si>
    <t>Goodwill On Consolidation</t>
  </si>
  <si>
    <t>Minority Interest</t>
  </si>
  <si>
    <t>Deferred government grants, Non-current</t>
  </si>
  <si>
    <t>Other Current Financial Liabilities</t>
  </si>
  <si>
    <t>Impairment loss / (Reversal of Impairment Loss)</t>
  </si>
  <si>
    <t>calculated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</si>
</sst>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tabSelected="1" workbookViewId="0"/>
  </sheetViews>
  <sheetFormatPr defaultRowHeight="15" x14ac:dyDescent="0.25"/>
  <cols>
    <col min="1" max="1" width="58.140625" customWidth="1"/>
    <col min="2" max="2" width="50.285156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295</v>
      </c>
      <c r="D1" s="2" t="s">
        <v>296</v>
      </c>
      <c r="E1" s="3" t="s">
        <v>297</v>
      </c>
      <c r="G1" s="4" t="s">
        <v>298</v>
      </c>
      <c r="H1" s="5">
        <f>COUNTIF(C:C,G1)</f>
        <v>27</v>
      </c>
    </row>
    <row r="2" spans="1:8" x14ac:dyDescent="0.25">
      <c r="A2" s="10" t="s">
        <v>4</v>
      </c>
      <c r="B2" s="10" t="s">
        <v>5</v>
      </c>
      <c r="C2" s="10" t="s">
        <v>298</v>
      </c>
      <c r="D2" s="10"/>
      <c r="E2" s="10"/>
      <c r="G2" s="6" t="s">
        <v>299</v>
      </c>
      <c r="H2" s="7">
        <f>COUNTIF(C:C,G2)</f>
        <v>3</v>
      </c>
    </row>
    <row r="3" spans="1:8" ht="15.75" thickBot="1" x14ac:dyDescent="0.3">
      <c r="A3" s="10" t="s">
        <v>6</v>
      </c>
      <c r="B3" s="10" t="s">
        <v>7</v>
      </c>
      <c r="C3" s="10" t="s">
        <v>298</v>
      </c>
      <c r="D3" s="10"/>
      <c r="E3" s="10"/>
      <c r="G3" s="8" t="s">
        <v>300</v>
      </c>
      <c r="H3" s="9">
        <f>H1/SUM(H1:H2)</f>
        <v>0.9</v>
      </c>
    </row>
    <row r="4" spans="1:8" x14ac:dyDescent="0.25">
      <c r="A4" s="10" t="s">
        <v>8</v>
      </c>
      <c r="B4" s="10" t="s">
        <v>9</v>
      </c>
      <c r="C4" s="10" t="s">
        <v>298</v>
      </c>
      <c r="D4" s="10"/>
      <c r="E4" s="10"/>
    </row>
    <row r="5" spans="1:8" x14ac:dyDescent="0.25">
      <c r="A5" s="10" t="s">
        <v>10</v>
      </c>
      <c r="B5" s="10" t="s">
        <v>3</v>
      </c>
      <c r="C5" s="10" t="s">
        <v>298</v>
      </c>
      <c r="D5" s="10"/>
      <c r="E5" s="10"/>
    </row>
    <row r="6" spans="1:8" x14ac:dyDescent="0.25">
      <c r="A6" s="10" t="s">
        <v>11</v>
      </c>
      <c r="B6" s="10" t="s">
        <v>12</v>
      </c>
      <c r="C6" s="10" t="s">
        <v>298</v>
      </c>
      <c r="D6" s="10"/>
      <c r="E6" s="10"/>
    </row>
    <row r="7" spans="1:8" x14ac:dyDescent="0.25">
      <c r="A7" s="10" t="s">
        <v>13</v>
      </c>
      <c r="B7" s="10" t="s">
        <v>14</v>
      </c>
      <c r="C7" s="10" t="s">
        <v>298</v>
      </c>
      <c r="D7" s="10"/>
      <c r="E7" s="10"/>
    </row>
    <row r="8" spans="1:8" x14ac:dyDescent="0.25">
      <c r="A8" s="10" t="s">
        <v>15</v>
      </c>
      <c r="B8" s="10" t="s">
        <v>16</v>
      </c>
      <c r="C8" s="10" t="s">
        <v>298</v>
      </c>
      <c r="D8" s="10"/>
      <c r="E8" s="10"/>
    </row>
    <row r="9" spans="1:8" x14ac:dyDescent="0.25">
      <c r="A9" s="10" t="s">
        <v>17</v>
      </c>
      <c r="B9" s="10" t="s">
        <v>18</v>
      </c>
      <c r="C9" s="10" t="s">
        <v>298</v>
      </c>
      <c r="D9" s="10"/>
      <c r="E9" s="10"/>
    </row>
    <row r="10" spans="1:8" x14ac:dyDescent="0.25">
      <c r="A10" s="10" t="s">
        <v>19</v>
      </c>
      <c r="B10" s="10" t="s">
        <v>20</v>
      </c>
      <c r="C10" s="10" t="s">
        <v>298</v>
      </c>
      <c r="D10" s="10"/>
      <c r="E10" s="10"/>
    </row>
    <row r="11" spans="1:8" x14ac:dyDescent="0.25">
      <c r="A11" s="10" t="s">
        <v>21</v>
      </c>
      <c r="B11" s="10" t="s">
        <v>22</v>
      </c>
      <c r="C11" s="10" t="s">
        <v>298</v>
      </c>
      <c r="D11" s="10"/>
      <c r="E11" s="10"/>
    </row>
    <row r="12" spans="1:8" x14ac:dyDescent="0.25">
      <c r="A12" s="10" t="s">
        <v>31</v>
      </c>
      <c r="B12" s="10" t="s">
        <v>32</v>
      </c>
      <c r="C12" s="10" t="s">
        <v>298</v>
      </c>
      <c r="D12" s="10"/>
      <c r="E12" s="10"/>
    </row>
    <row r="13" spans="1:8" x14ac:dyDescent="0.25">
      <c r="A13" s="10" t="s">
        <v>33</v>
      </c>
      <c r="B13" s="10" t="s">
        <v>34</v>
      </c>
      <c r="C13" s="10" t="s">
        <v>298</v>
      </c>
      <c r="D13" s="10"/>
      <c r="E13" s="10"/>
    </row>
    <row r="14" spans="1:8" x14ac:dyDescent="0.25">
      <c r="A14" s="10" t="s">
        <v>265</v>
      </c>
      <c r="B14" s="10" t="s">
        <v>44</v>
      </c>
      <c r="C14" s="10" t="s">
        <v>298</v>
      </c>
      <c r="D14" s="10"/>
      <c r="E14" s="10"/>
    </row>
    <row r="15" spans="1:8" x14ac:dyDescent="0.25">
      <c r="A15" s="10" t="s">
        <v>285</v>
      </c>
      <c r="B15" s="10" t="s">
        <v>3</v>
      </c>
      <c r="C15" s="10" t="s">
        <v>298</v>
      </c>
      <c r="D15" s="10"/>
      <c r="E15" s="10"/>
    </row>
    <row r="16" spans="1:8" x14ac:dyDescent="0.25">
      <c r="A16" s="10" t="s">
        <v>46</v>
      </c>
      <c r="B16" s="10" t="s">
        <v>47</v>
      </c>
      <c r="C16" s="10" t="s">
        <v>298</v>
      </c>
      <c r="D16" s="10"/>
      <c r="E16" s="10"/>
    </row>
    <row r="17" spans="1:5" x14ac:dyDescent="0.25">
      <c r="A17" s="10" t="s">
        <v>286</v>
      </c>
      <c r="B17" s="10" t="s">
        <v>49</v>
      </c>
      <c r="C17" s="10" t="s">
        <v>298</v>
      </c>
      <c r="D17" s="10"/>
      <c r="E17" s="10"/>
    </row>
    <row r="18" spans="1:5" x14ac:dyDescent="0.25">
      <c r="A18" s="10" t="s">
        <v>287</v>
      </c>
      <c r="B18" s="10" t="s">
        <v>47</v>
      </c>
      <c r="C18" s="10" t="s">
        <v>298</v>
      </c>
      <c r="D18" s="10"/>
      <c r="E18" s="10"/>
    </row>
    <row r="19" spans="1:5" x14ac:dyDescent="0.25">
      <c r="A19" s="10" t="s">
        <v>51</v>
      </c>
      <c r="B19" s="10" t="s">
        <v>52</v>
      </c>
      <c r="C19" s="10"/>
      <c r="D19" s="10" t="s">
        <v>318</v>
      </c>
      <c r="E19" s="10"/>
    </row>
    <row r="20" spans="1:5" x14ac:dyDescent="0.25">
      <c r="A20" s="10" t="s">
        <v>62</v>
      </c>
      <c r="B20" s="10" t="s">
        <v>63</v>
      </c>
      <c r="C20" s="10" t="s">
        <v>298</v>
      </c>
      <c r="D20" s="10"/>
      <c r="E20" s="10"/>
    </row>
    <row r="21" spans="1:5" x14ac:dyDescent="0.25">
      <c r="A21" s="10" t="s">
        <v>68</v>
      </c>
      <c r="B21" s="10" t="s">
        <v>3</v>
      </c>
      <c r="C21" s="10" t="s">
        <v>298</v>
      </c>
      <c r="D21" s="10"/>
      <c r="E21" s="10"/>
    </row>
    <row r="22" spans="1:5" x14ac:dyDescent="0.25">
      <c r="A22" s="10" t="s">
        <v>69</v>
      </c>
      <c r="B22" s="10" t="s">
        <v>70</v>
      </c>
      <c r="C22" s="10" t="s">
        <v>299</v>
      </c>
      <c r="D22" s="10" t="s">
        <v>301</v>
      </c>
      <c r="E22" s="10"/>
    </row>
    <row r="23" spans="1:5" x14ac:dyDescent="0.25">
      <c r="A23" s="10" t="s">
        <v>288</v>
      </c>
      <c r="B23" s="10" t="s">
        <v>70</v>
      </c>
      <c r="C23" s="10" t="s">
        <v>298</v>
      </c>
      <c r="D23" s="10"/>
      <c r="E23" s="10"/>
    </row>
    <row r="24" spans="1:5" x14ac:dyDescent="0.25">
      <c r="A24" s="10" t="s">
        <v>72</v>
      </c>
      <c r="B24" s="10" t="s">
        <v>42</v>
      </c>
      <c r="C24" s="10" t="s">
        <v>299</v>
      </c>
      <c r="D24" s="10" t="s">
        <v>70</v>
      </c>
      <c r="E24" s="11">
        <v>22293</v>
      </c>
    </row>
    <row r="25" spans="1:5" x14ac:dyDescent="0.25">
      <c r="A25" s="10" t="s">
        <v>289</v>
      </c>
      <c r="B25" s="10" t="s">
        <v>74</v>
      </c>
      <c r="C25" s="10" t="s">
        <v>298</v>
      </c>
      <c r="D25" s="10"/>
      <c r="E25" s="10"/>
    </row>
    <row r="26" spans="1:5" x14ac:dyDescent="0.25">
      <c r="A26" s="10" t="s">
        <v>290</v>
      </c>
      <c r="B26" s="10" t="s">
        <v>70</v>
      </c>
      <c r="C26" s="10" t="s">
        <v>299</v>
      </c>
      <c r="D26" s="10" t="s">
        <v>78</v>
      </c>
      <c r="E26" s="10">
        <v>16484</v>
      </c>
    </row>
    <row r="27" spans="1:5" x14ac:dyDescent="0.25">
      <c r="A27" s="10" t="s">
        <v>80</v>
      </c>
      <c r="B27" s="10" t="s">
        <v>81</v>
      </c>
      <c r="C27" s="10" t="s">
        <v>298</v>
      </c>
      <c r="D27" s="10"/>
      <c r="E27" s="10"/>
    </row>
    <row r="28" spans="1:5" x14ac:dyDescent="0.25">
      <c r="A28" s="10" t="s">
        <v>291</v>
      </c>
      <c r="B28" s="10" t="s">
        <v>85</v>
      </c>
      <c r="C28" s="10" t="s">
        <v>298</v>
      </c>
      <c r="D28" s="10"/>
      <c r="E28" s="10"/>
    </row>
    <row r="29" spans="1:5" x14ac:dyDescent="0.25">
      <c r="A29" s="10" t="s">
        <v>86</v>
      </c>
      <c r="B29" s="10" t="s">
        <v>87</v>
      </c>
      <c r="C29" s="10" t="s">
        <v>298</v>
      </c>
      <c r="D29" s="10"/>
      <c r="E29" s="10"/>
    </row>
    <row r="30" spans="1:5" x14ac:dyDescent="0.25">
      <c r="A30" s="10" t="s">
        <v>292</v>
      </c>
      <c r="B30" s="10" t="s">
        <v>3</v>
      </c>
      <c r="C30" s="10" t="s">
        <v>298</v>
      </c>
      <c r="D30" s="10"/>
      <c r="E30" s="10"/>
    </row>
    <row r="31" spans="1:5" x14ac:dyDescent="0.25">
      <c r="A31" s="10" t="s">
        <v>293</v>
      </c>
      <c r="B31" s="10" t="s">
        <v>90</v>
      </c>
      <c r="C31" s="10" t="s">
        <v>298</v>
      </c>
      <c r="D31" s="10"/>
      <c r="E31" s="10"/>
    </row>
    <row r="32" spans="1:5" x14ac:dyDescent="0.25">
      <c r="A32" s="10" t="s">
        <v>294</v>
      </c>
      <c r="B32" s="10" t="s">
        <v>28</v>
      </c>
      <c r="C32" s="10" t="s">
        <v>298</v>
      </c>
      <c r="D32" s="10"/>
      <c r="E3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9"/>
  <sheetViews>
    <sheetView workbookViewId="0"/>
  </sheetViews>
  <sheetFormatPr defaultRowHeight="15" x14ac:dyDescent="0.25"/>
  <cols>
    <col min="1" max="1" width="45.85546875" bestFit="1" customWidth="1"/>
    <col min="2" max="2" width="45.28515625" customWidth="1"/>
    <col min="4" max="4" width="27.85546875" customWidth="1"/>
  </cols>
  <sheetData>
    <row r="1" spans="1:8" x14ac:dyDescent="0.25">
      <c r="A1" s="1" t="s">
        <v>0</v>
      </c>
      <c r="B1" s="1" t="s">
        <v>1</v>
      </c>
      <c r="C1" s="2" t="s">
        <v>295</v>
      </c>
      <c r="D1" s="2" t="s">
        <v>296</v>
      </c>
      <c r="E1" s="3" t="s">
        <v>297</v>
      </c>
      <c r="G1" s="4" t="s">
        <v>298</v>
      </c>
      <c r="H1" s="5">
        <f>COUNTIF(C:C,G1)</f>
        <v>38</v>
      </c>
    </row>
    <row r="2" spans="1:8" x14ac:dyDescent="0.25">
      <c r="A2" s="10" t="s">
        <v>94</v>
      </c>
      <c r="B2" s="10" t="s">
        <v>3</v>
      </c>
      <c r="C2" s="10" t="s">
        <v>298</v>
      </c>
      <c r="D2" s="10"/>
      <c r="E2" s="10"/>
      <c r="G2" s="6" t="s">
        <v>299</v>
      </c>
      <c r="H2" s="7">
        <f>COUNTIF(C:C,G2)</f>
        <v>9</v>
      </c>
    </row>
    <row r="3" spans="1:8" ht="15.75" thickBot="1" x14ac:dyDescent="0.3">
      <c r="A3" s="10" t="s">
        <v>95</v>
      </c>
      <c r="B3" s="10" t="s">
        <v>96</v>
      </c>
      <c r="C3" s="10" t="s">
        <v>298</v>
      </c>
      <c r="D3" s="10"/>
      <c r="E3" s="10"/>
      <c r="G3" s="8" t="s">
        <v>300</v>
      </c>
      <c r="H3" s="9">
        <f>H1/SUM(H1:H2)</f>
        <v>0.80851063829787229</v>
      </c>
    </row>
    <row r="4" spans="1:8" x14ac:dyDescent="0.25">
      <c r="A4" s="10" t="s">
        <v>97</v>
      </c>
      <c r="B4" s="10" t="s">
        <v>98</v>
      </c>
      <c r="C4" s="10" t="s">
        <v>298</v>
      </c>
      <c r="D4" s="10"/>
      <c r="E4" s="10"/>
    </row>
    <row r="5" spans="1:8" x14ac:dyDescent="0.25">
      <c r="A5" s="10" t="s">
        <v>102</v>
      </c>
      <c r="B5" s="10" t="s">
        <v>103</v>
      </c>
      <c r="C5" s="10" t="s">
        <v>298</v>
      </c>
      <c r="D5" s="10"/>
      <c r="E5" s="10"/>
    </row>
    <row r="6" spans="1:8" x14ac:dyDescent="0.25">
      <c r="A6" s="10" t="s">
        <v>104</v>
      </c>
      <c r="B6" s="10" t="s">
        <v>105</v>
      </c>
      <c r="C6" s="10" t="s">
        <v>298</v>
      </c>
      <c r="D6" s="10"/>
      <c r="E6" s="10"/>
    </row>
    <row r="7" spans="1:8" x14ac:dyDescent="0.25">
      <c r="A7" s="10" t="s">
        <v>106</v>
      </c>
      <c r="B7" s="10" t="s">
        <v>106</v>
      </c>
      <c r="C7" s="10" t="s">
        <v>298</v>
      </c>
      <c r="D7" s="10"/>
      <c r="E7" s="10"/>
    </row>
    <row r="8" spans="1:8" x14ac:dyDescent="0.25">
      <c r="A8" s="10" t="s">
        <v>111</v>
      </c>
      <c r="B8" s="10" t="s">
        <v>3</v>
      </c>
      <c r="C8" s="10" t="s">
        <v>298</v>
      </c>
      <c r="D8" s="10"/>
      <c r="E8" s="10"/>
    </row>
    <row r="9" spans="1:8" x14ac:dyDescent="0.25">
      <c r="A9" s="10" t="s">
        <v>112</v>
      </c>
      <c r="B9" s="10" t="s">
        <v>113</v>
      </c>
      <c r="C9" s="10" t="s">
        <v>298</v>
      </c>
      <c r="D9" s="10"/>
      <c r="E9" s="10"/>
    </row>
    <row r="10" spans="1:8" x14ac:dyDescent="0.25">
      <c r="A10" s="10" t="s">
        <v>114</v>
      </c>
      <c r="B10" s="10" t="s">
        <v>115</v>
      </c>
      <c r="C10" s="10" t="s">
        <v>299</v>
      </c>
      <c r="D10" s="10" t="s">
        <v>306</v>
      </c>
      <c r="E10" s="10">
        <v>20217</v>
      </c>
    </row>
    <row r="11" spans="1:8" x14ac:dyDescent="0.25">
      <c r="A11" s="10" t="s">
        <v>116</v>
      </c>
      <c r="B11" s="10" t="s">
        <v>117</v>
      </c>
      <c r="C11" s="10" t="s">
        <v>298</v>
      </c>
      <c r="D11" s="10"/>
      <c r="E11" s="10"/>
    </row>
    <row r="12" spans="1:8" x14ac:dyDescent="0.25">
      <c r="A12" s="10" t="s">
        <v>118</v>
      </c>
      <c r="B12" s="10" t="s">
        <v>119</v>
      </c>
      <c r="C12" s="10" t="s">
        <v>299</v>
      </c>
      <c r="D12" s="10" t="s">
        <v>307</v>
      </c>
      <c r="E12" s="10">
        <v>20215</v>
      </c>
    </row>
    <row r="13" spans="1:8" x14ac:dyDescent="0.25">
      <c r="A13" s="10" t="s">
        <v>122</v>
      </c>
      <c r="B13" s="10" t="s">
        <v>123</v>
      </c>
      <c r="C13" s="10" t="s">
        <v>298</v>
      </c>
      <c r="D13" s="10"/>
      <c r="E13" s="10"/>
    </row>
    <row r="14" spans="1:8" x14ac:dyDescent="0.25">
      <c r="A14" s="10" t="s">
        <v>124</v>
      </c>
      <c r="B14" s="10" t="s">
        <v>125</v>
      </c>
      <c r="C14" s="10" t="s">
        <v>298</v>
      </c>
      <c r="D14" s="10"/>
      <c r="E14" s="10"/>
    </row>
    <row r="15" spans="1:8" x14ac:dyDescent="0.25">
      <c r="A15" s="10" t="s">
        <v>126</v>
      </c>
      <c r="B15" s="10" t="s">
        <v>3</v>
      </c>
      <c r="C15" s="10" t="s">
        <v>298</v>
      </c>
      <c r="D15" s="10"/>
      <c r="E15" s="10"/>
    </row>
    <row r="16" spans="1:8" x14ac:dyDescent="0.25">
      <c r="A16" s="10" t="s">
        <v>111</v>
      </c>
      <c r="B16" s="10" t="s">
        <v>3</v>
      </c>
      <c r="C16" s="10" t="s">
        <v>298</v>
      </c>
      <c r="D16" s="10"/>
      <c r="E16" s="10"/>
    </row>
    <row r="17" spans="1:5" x14ac:dyDescent="0.25">
      <c r="A17" s="10" t="s">
        <v>112</v>
      </c>
      <c r="B17" s="10" t="s">
        <v>113</v>
      </c>
      <c r="C17" s="10" t="s">
        <v>299</v>
      </c>
      <c r="D17" s="10" t="s">
        <v>308</v>
      </c>
      <c r="E17" s="10">
        <v>13724</v>
      </c>
    </row>
    <row r="18" spans="1:5" x14ac:dyDescent="0.25">
      <c r="A18" s="10" t="s">
        <v>128</v>
      </c>
      <c r="B18" s="10" t="s">
        <v>129</v>
      </c>
      <c r="C18" s="10" t="s">
        <v>298</v>
      </c>
      <c r="D18" s="10" t="s">
        <v>129</v>
      </c>
      <c r="E18" s="10">
        <v>13780</v>
      </c>
    </row>
    <row r="19" spans="1:5" x14ac:dyDescent="0.25">
      <c r="A19" s="10" t="s">
        <v>130</v>
      </c>
      <c r="B19" s="10" t="s">
        <v>131</v>
      </c>
      <c r="C19" s="10" t="s">
        <v>298</v>
      </c>
      <c r="D19" s="10"/>
      <c r="E19" s="10"/>
    </row>
    <row r="20" spans="1:5" x14ac:dyDescent="0.25">
      <c r="A20" s="10" t="s">
        <v>132</v>
      </c>
      <c r="B20" s="10" t="s">
        <v>133</v>
      </c>
      <c r="C20" s="10" t="s">
        <v>298</v>
      </c>
      <c r="D20" s="10"/>
      <c r="E20" s="10"/>
    </row>
    <row r="21" spans="1:5" x14ac:dyDescent="0.25">
      <c r="A21" s="10" t="s">
        <v>114</v>
      </c>
      <c r="B21" s="10" t="s">
        <v>115</v>
      </c>
      <c r="C21" s="10" t="s">
        <v>298</v>
      </c>
      <c r="D21" s="10"/>
      <c r="E21" s="10"/>
    </row>
    <row r="22" spans="1:5" x14ac:dyDescent="0.25">
      <c r="A22" s="10" t="s">
        <v>116</v>
      </c>
      <c r="B22" s="10" t="s">
        <v>117</v>
      </c>
      <c r="C22" s="10" t="s">
        <v>299</v>
      </c>
      <c r="D22" s="10" t="s">
        <v>309</v>
      </c>
      <c r="E22" s="10">
        <v>20231</v>
      </c>
    </row>
    <row r="23" spans="1:5" x14ac:dyDescent="0.25">
      <c r="A23" s="10" t="s">
        <v>134</v>
      </c>
      <c r="B23" s="10" t="s">
        <v>135</v>
      </c>
      <c r="C23" s="10" t="s">
        <v>298</v>
      </c>
      <c r="D23" s="10"/>
      <c r="E23" s="10"/>
    </row>
    <row r="24" spans="1:5" x14ac:dyDescent="0.25">
      <c r="A24" s="10" t="s">
        <v>136</v>
      </c>
      <c r="B24" s="10" t="s">
        <v>137</v>
      </c>
      <c r="C24" s="10" t="s">
        <v>298</v>
      </c>
      <c r="D24" s="10"/>
      <c r="E24" s="10"/>
    </row>
    <row r="25" spans="1:5" x14ac:dyDescent="0.25">
      <c r="A25" s="10" t="s">
        <v>138</v>
      </c>
      <c r="B25" s="10" t="s">
        <v>139</v>
      </c>
      <c r="C25" s="10" t="s">
        <v>299</v>
      </c>
      <c r="D25" s="10" t="s">
        <v>310</v>
      </c>
      <c r="E25" s="10">
        <v>20208</v>
      </c>
    </row>
    <row r="26" spans="1:5" x14ac:dyDescent="0.25">
      <c r="A26" s="10" t="s">
        <v>140</v>
      </c>
      <c r="B26" s="10" t="s">
        <v>140</v>
      </c>
      <c r="C26" s="10" t="s">
        <v>298</v>
      </c>
      <c r="D26" s="10"/>
      <c r="E26" s="10"/>
    </row>
    <row r="27" spans="1:5" x14ac:dyDescent="0.25">
      <c r="A27" s="10" t="s">
        <v>141</v>
      </c>
      <c r="B27" s="10" t="s">
        <v>3</v>
      </c>
      <c r="C27" s="10" t="s">
        <v>298</v>
      </c>
      <c r="D27" s="10"/>
      <c r="E27" s="10"/>
    </row>
    <row r="28" spans="1:5" x14ac:dyDescent="0.25">
      <c r="A28" s="10" t="s">
        <v>142</v>
      </c>
      <c r="B28" s="10" t="s">
        <v>3</v>
      </c>
      <c r="C28" s="10" t="s">
        <v>298</v>
      </c>
      <c r="D28" s="10"/>
      <c r="E28" s="10"/>
    </row>
    <row r="29" spans="1:5" x14ac:dyDescent="0.25">
      <c r="A29" s="10" t="s">
        <v>143</v>
      </c>
      <c r="B29" s="10" t="s">
        <v>144</v>
      </c>
      <c r="C29" s="10" t="s">
        <v>298</v>
      </c>
      <c r="D29" s="10"/>
      <c r="E29" s="10"/>
    </row>
    <row r="30" spans="1:5" x14ac:dyDescent="0.25">
      <c r="A30" s="10" t="s">
        <v>86</v>
      </c>
      <c r="B30" s="10" t="s">
        <v>145</v>
      </c>
      <c r="C30" s="10" t="s">
        <v>298</v>
      </c>
      <c r="D30" s="10"/>
      <c r="E30" s="10"/>
    </row>
    <row r="31" spans="1:5" x14ac:dyDescent="0.25">
      <c r="A31" s="10" t="s">
        <v>147</v>
      </c>
      <c r="B31" s="10" t="s">
        <v>148</v>
      </c>
      <c r="C31" s="10" t="s">
        <v>298</v>
      </c>
      <c r="D31" s="10"/>
      <c r="E31" s="10"/>
    </row>
    <row r="32" spans="1:5" x14ac:dyDescent="0.25">
      <c r="A32" s="10" t="s">
        <v>149</v>
      </c>
      <c r="B32" s="10" t="s">
        <v>3</v>
      </c>
      <c r="C32" s="10" t="s">
        <v>298</v>
      </c>
      <c r="D32" s="10"/>
      <c r="E32" s="10"/>
    </row>
    <row r="33" spans="1:5" x14ac:dyDescent="0.25">
      <c r="A33" s="10" t="s">
        <v>150</v>
      </c>
      <c r="B33" s="10" t="s">
        <v>3</v>
      </c>
      <c r="C33" s="10" t="s">
        <v>298</v>
      </c>
      <c r="D33" s="10"/>
      <c r="E33" s="10"/>
    </row>
    <row r="34" spans="1:5" x14ac:dyDescent="0.25">
      <c r="A34" s="10" t="s">
        <v>151</v>
      </c>
      <c r="B34" s="10" t="s">
        <v>3</v>
      </c>
      <c r="C34" s="10" t="s">
        <v>298</v>
      </c>
      <c r="D34" s="10"/>
      <c r="E34" s="10"/>
    </row>
    <row r="35" spans="1:5" x14ac:dyDescent="0.25">
      <c r="A35" s="10" t="s">
        <v>153</v>
      </c>
      <c r="B35" s="10" t="s">
        <v>153</v>
      </c>
      <c r="C35" s="10" t="s">
        <v>298</v>
      </c>
      <c r="D35" s="10" t="s">
        <v>153</v>
      </c>
      <c r="E35" s="10">
        <v>30340</v>
      </c>
    </row>
    <row r="36" spans="1:5" x14ac:dyDescent="0.25">
      <c r="A36" s="10" t="s">
        <v>156</v>
      </c>
      <c r="B36" s="10" t="s">
        <v>157</v>
      </c>
      <c r="C36" s="10" t="s">
        <v>298</v>
      </c>
      <c r="D36" s="10"/>
      <c r="E36" s="10"/>
    </row>
    <row r="37" spans="1:5" x14ac:dyDescent="0.25">
      <c r="A37" s="10" t="s">
        <v>160</v>
      </c>
      <c r="B37" s="10" t="s">
        <v>161</v>
      </c>
      <c r="C37" s="10" t="s">
        <v>298</v>
      </c>
      <c r="D37" s="10"/>
      <c r="E37" s="10"/>
    </row>
    <row r="38" spans="1:5" x14ac:dyDescent="0.25">
      <c r="A38" s="10" t="s">
        <v>162</v>
      </c>
      <c r="B38" s="10" t="s">
        <v>163</v>
      </c>
      <c r="C38" s="10" t="s">
        <v>298</v>
      </c>
      <c r="D38" s="10"/>
      <c r="E38" s="10"/>
    </row>
    <row r="39" spans="1:5" x14ac:dyDescent="0.25">
      <c r="A39" s="10" t="s">
        <v>164</v>
      </c>
      <c r="B39" s="10" t="s">
        <v>3</v>
      </c>
      <c r="C39" s="10" t="s">
        <v>298</v>
      </c>
      <c r="D39" s="10"/>
      <c r="E39" s="10"/>
    </row>
    <row r="40" spans="1:5" x14ac:dyDescent="0.25">
      <c r="A40" s="10" t="s">
        <v>165</v>
      </c>
      <c r="B40" s="10" t="s">
        <v>3</v>
      </c>
      <c r="C40" s="10" t="s">
        <v>298</v>
      </c>
      <c r="D40" s="10"/>
      <c r="E40" s="10"/>
    </row>
    <row r="41" spans="1:5" x14ac:dyDescent="0.25">
      <c r="A41" s="10" t="s">
        <v>153</v>
      </c>
      <c r="B41" s="10" t="s">
        <v>153</v>
      </c>
      <c r="C41" s="10" t="s">
        <v>298</v>
      </c>
      <c r="D41" s="10" t="s">
        <v>153</v>
      </c>
      <c r="E41" s="10">
        <v>25716</v>
      </c>
    </row>
    <row r="42" spans="1:5" x14ac:dyDescent="0.25">
      <c r="A42" s="10" t="s">
        <v>166</v>
      </c>
      <c r="B42" s="10" t="s">
        <v>167</v>
      </c>
      <c r="C42" s="10" t="s">
        <v>299</v>
      </c>
      <c r="D42" s="10" t="s">
        <v>301</v>
      </c>
      <c r="E42" s="10"/>
    </row>
    <row r="43" spans="1:5" x14ac:dyDescent="0.25">
      <c r="A43" s="10" t="s">
        <v>168</v>
      </c>
      <c r="B43" s="10" t="s">
        <v>167</v>
      </c>
      <c r="C43" s="10" t="s">
        <v>298</v>
      </c>
      <c r="D43" s="10" t="s">
        <v>167</v>
      </c>
      <c r="E43" s="10">
        <v>13779</v>
      </c>
    </row>
    <row r="44" spans="1:5" x14ac:dyDescent="0.25">
      <c r="A44" s="10" t="s">
        <v>169</v>
      </c>
      <c r="B44" s="10" t="s">
        <v>167</v>
      </c>
      <c r="C44" s="10" t="s">
        <v>298</v>
      </c>
      <c r="D44" s="10" t="s">
        <v>167</v>
      </c>
      <c r="E44" s="10">
        <v>13779</v>
      </c>
    </row>
    <row r="45" spans="1:5" x14ac:dyDescent="0.25">
      <c r="A45" s="10" t="s">
        <v>154</v>
      </c>
      <c r="B45" s="10" t="s">
        <v>155</v>
      </c>
      <c r="C45" s="10" t="s">
        <v>299</v>
      </c>
      <c r="D45" s="10" t="s">
        <v>316</v>
      </c>
      <c r="E45" s="10">
        <v>20214</v>
      </c>
    </row>
    <row r="46" spans="1:5" x14ac:dyDescent="0.25">
      <c r="A46" s="10" t="s">
        <v>156</v>
      </c>
      <c r="B46" s="10" t="s">
        <v>157</v>
      </c>
      <c r="C46" s="10" t="s">
        <v>299</v>
      </c>
      <c r="D46" s="10" t="s">
        <v>311</v>
      </c>
      <c r="E46" s="10">
        <v>13767</v>
      </c>
    </row>
    <row r="47" spans="1:5" x14ac:dyDescent="0.25">
      <c r="A47" s="10" t="s">
        <v>174</v>
      </c>
      <c r="B47" s="10" t="s">
        <v>52</v>
      </c>
      <c r="C47" s="10" t="s">
        <v>299</v>
      </c>
      <c r="D47" s="10" t="s">
        <v>312</v>
      </c>
      <c r="E47" s="10">
        <v>13775</v>
      </c>
    </row>
    <row r="48" spans="1:5" x14ac:dyDescent="0.25">
      <c r="A48" s="10" t="s">
        <v>175</v>
      </c>
      <c r="B48" s="10" t="s">
        <v>52</v>
      </c>
      <c r="C48" s="10"/>
      <c r="D48" s="10"/>
      <c r="E48" s="10"/>
    </row>
    <row r="49" spans="1:5" x14ac:dyDescent="0.25">
      <c r="A49" s="10" t="s">
        <v>176</v>
      </c>
      <c r="B49" s="10" t="s">
        <v>177</v>
      </c>
      <c r="C49" s="10" t="s">
        <v>298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workbookViewId="0">
      <selection activeCell="A2" sqref="A2"/>
    </sheetView>
  </sheetViews>
  <sheetFormatPr defaultRowHeight="15" x14ac:dyDescent="0.25"/>
  <cols>
    <col min="1" max="1" width="53" customWidth="1"/>
    <col min="2" max="2" width="49.42578125" customWidth="1"/>
    <col min="4" max="4" width="62.42578125" bestFit="1" customWidth="1"/>
  </cols>
  <sheetData>
    <row r="1" spans="1:8" x14ac:dyDescent="0.25">
      <c r="A1" s="1" t="s">
        <v>0</v>
      </c>
      <c r="B1" s="1" t="s">
        <v>1</v>
      </c>
      <c r="C1" s="2" t="s">
        <v>295</v>
      </c>
      <c r="D1" s="2" t="s">
        <v>296</v>
      </c>
      <c r="E1" s="3" t="s">
        <v>297</v>
      </c>
      <c r="G1" s="4" t="s">
        <v>298</v>
      </c>
      <c r="H1" s="5">
        <f>COUNTIF(C:C,G1)</f>
        <v>44</v>
      </c>
    </row>
    <row r="2" spans="1:8" x14ac:dyDescent="0.25">
      <c r="A2" s="10" t="s">
        <v>2</v>
      </c>
      <c r="B2" s="10" t="s">
        <v>3</v>
      </c>
      <c r="C2" s="10" t="s">
        <v>298</v>
      </c>
      <c r="D2" s="10"/>
      <c r="E2" s="10"/>
      <c r="G2" s="6" t="s">
        <v>299</v>
      </c>
      <c r="H2" s="7">
        <f>COUNTIF(C:C,G2)</f>
        <v>11</v>
      </c>
    </row>
    <row r="3" spans="1:8" ht="15.75" thickBot="1" x14ac:dyDescent="0.3">
      <c r="A3" s="10" t="s">
        <v>4</v>
      </c>
      <c r="B3" s="10" t="s">
        <v>5</v>
      </c>
      <c r="C3" s="10" t="s">
        <v>298</v>
      </c>
      <c r="D3" s="10"/>
      <c r="E3" s="10"/>
      <c r="G3" s="8" t="s">
        <v>300</v>
      </c>
      <c r="H3" s="9">
        <f>H1/SUM(H1:H2)</f>
        <v>0.8</v>
      </c>
    </row>
    <row r="4" spans="1:8" x14ac:dyDescent="0.25">
      <c r="A4" s="10" t="s">
        <v>6</v>
      </c>
      <c r="B4" s="10" t="s">
        <v>7</v>
      </c>
      <c r="C4" s="10" t="s">
        <v>298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298</v>
      </c>
      <c r="D5" s="10"/>
      <c r="E5" s="10"/>
    </row>
    <row r="6" spans="1:8" x14ac:dyDescent="0.25">
      <c r="A6" s="10" t="s">
        <v>10</v>
      </c>
      <c r="B6" s="10" t="s">
        <v>3</v>
      </c>
      <c r="C6" s="10" t="s">
        <v>298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298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298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298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298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298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298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298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299</v>
      </c>
      <c r="D14" s="10" t="s">
        <v>301</v>
      </c>
      <c r="E14" s="10"/>
    </row>
    <row r="15" spans="1:8" x14ac:dyDescent="0.25">
      <c r="A15" s="10" t="s">
        <v>27</v>
      </c>
      <c r="B15" s="10" t="s">
        <v>28</v>
      </c>
      <c r="C15" s="10" t="s">
        <v>299</v>
      </c>
      <c r="D15" s="10" t="s">
        <v>302</v>
      </c>
      <c r="E15" s="10">
        <v>248</v>
      </c>
    </row>
    <row r="16" spans="1:8" x14ac:dyDescent="0.25">
      <c r="A16" s="10" t="s">
        <v>29</v>
      </c>
      <c r="B16" s="10" t="s">
        <v>30</v>
      </c>
      <c r="C16" s="10" t="s">
        <v>299</v>
      </c>
      <c r="D16" s="10" t="s">
        <v>302</v>
      </c>
      <c r="E16" s="10">
        <v>248</v>
      </c>
    </row>
    <row r="17" spans="1:5" x14ac:dyDescent="0.25">
      <c r="A17" s="10" t="s">
        <v>31</v>
      </c>
      <c r="B17" s="10" t="s">
        <v>32</v>
      </c>
      <c r="C17" s="10" t="s">
        <v>298</v>
      </c>
      <c r="D17" s="10"/>
      <c r="E17" s="10"/>
    </row>
    <row r="18" spans="1:5" x14ac:dyDescent="0.25">
      <c r="A18" s="10" t="s">
        <v>33</v>
      </c>
      <c r="B18" s="10" t="s">
        <v>34</v>
      </c>
      <c r="C18" s="10" t="s">
        <v>298</v>
      </c>
      <c r="D18" s="10"/>
      <c r="E18" s="10"/>
    </row>
    <row r="19" spans="1:5" x14ac:dyDescent="0.25">
      <c r="A19" s="10" t="s">
        <v>35</v>
      </c>
      <c r="B19" s="10" t="s">
        <v>36</v>
      </c>
      <c r="C19" s="10"/>
      <c r="D19" s="10" t="s">
        <v>303</v>
      </c>
      <c r="E19" s="10"/>
    </row>
    <row r="20" spans="1:5" x14ac:dyDescent="0.25">
      <c r="A20" s="10" t="s">
        <v>37</v>
      </c>
      <c r="B20" s="10" t="s">
        <v>38</v>
      </c>
      <c r="C20" s="10" t="s">
        <v>298</v>
      </c>
      <c r="D20" s="10"/>
      <c r="E20" s="10"/>
    </row>
    <row r="21" spans="1:5" x14ac:dyDescent="0.25">
      <c r="A21" s="10" t="s">
        <v>39</v>
      </c>
      <c r="B21" s="10" t="s">
        <v>40</v>
      </c>
      <c r="C21" s="10" t="s">
        <v>298</v>
      </c>
      <c r="D21" s="10"/>
      <c r="E21" s="10"/>
    </row>
    <row r="22" spans="1:5" x14ac:dyDescent="0.25">
      <c r="A22" s="10" t="s">
        <v>41</v>
      </c>
      <c r="B22" s="10" t="s">
        <v>42</v>
      </c>
      <c r="C22" s="10" t="s">
        <v>298</v>
      </c>
      <c r="D22" s="10"/>
      <c r="E22" s="10"/>
    </row>
    <row r="23" spans="1:5" x14ac:dyDescent="0.25">
      <c r="A23" s="10" t="s">
        <v>43</v>
      </c>
      <c r="B23" s="10" t="s">
        <v>44</v>
      </c>
      <c r="C23" s="10" t="s">
        <v>298</v>
      </c>
      <c r="D23" s="10"/>
      <c r="E23" s="10"/>
    </row>
    <row r="24" spans="1:5" x14ac:dyDescent="0.25">
      <c r="A24" s="10" t="s">
        <v>45</v>
      </c>
      <c r="B24" s="10" t="s">
        <v>3</v>
      </c>
      <c r="C24" s="10" t="s">
        <v>298</v>
      </c>
      <c r="D24" s="10"/>
      <c r="E24" s="10"/>
    </row>
    <row r="25" spans="1:5" x14ac:dyDescent="0.25">
      <c r="A25" s="10" t="s">
        <v>46</v>
      </c>
      <c r="B25" s="10" t="s">
        <v>47</v>
      </c>
      <c r="C25" s="10" t="s">
        <v>298</v>
      </c>
      <c r="D25" s="10"/>
      <c r="E25" s="10"/>
    </row>
    <row r="26" spans="1:5" x14ac:dyDescent="0.25">
      <c r="A26" s="10" t="s">
        <v>48</v>
      </c>
      <c r="B26" s="10" t="s">
        <v>49</v>
      </c>
      <c r="C26" s="10" t="s">
        <v>298</v>
      </c>
      <c r="D26" s="10"/>
      <c r="E26" s="10"/>
    </row>
    <row r="27" spans="1:5" x14ac:dyDescent="0.25">
      <c r="A27" s="10" t="s">
        <v>50</v>
      </c>
      <c r="B27" s="10" t="s">
        <v>47</v>
      </c>
      <c r="C27" s="10" t="s">
        <v>298</v>
      </c>
      <c r="D27" s="10"/>
      <c r="E27" s="10"/>
    </row>
    <row r="28" spans="1:5" x14ac:dyDescent="0.25">
      <c r="A28" s="10" t="s">
        <v>51</v>
      </c>
      <c r="B28" s="10" t="s">
        <v>52</v>
      </c>
      <c r="C28" s="10"/>
      <c r="D28" s="10" t="s">
        <v>318</v>
      </c>
      <c r="E28" s="10"/>
    </row>
    <row r="29" spans="1:5" x14ac:dyDescent="0.25">
      <c r="A29" s="10" t="s">
        <v>53</v>
      </c>
      <c r="B29" s="10" t="s">
        <v>54</v>
      </c>
      <c r="C29" s="10" t="s">
        <v>298</v>
      </c>
      <c r="D29" s="10"/>
      <c r="E29" s="10"/>
    </row>
    <row r="30" spans="1:5" x14ac:dyDescent="0.25">
      <c r="A30" s="10" t="s">
        <v>55</v>
      </c>
      <c r="B30" s="10" t="s">
        <v>3</v>
      </c>
      <c r="C30" s="10" t="s">
        <v>298</v>
      </c>
      <c r="D30" s="10"/>
      <c r="E30" s="10"/>
    </row>
    <row r="31" spans="1:5" x14ac:dyDescent="0.25">
      <c r="A31" s="10" t="s">
        <v>56</v>
      </c>
      <c r="B31" s="10" t="s">
        <v>57</v>
      </c>
      <c r="C31" s="10" t="s">
        <v>298</v>
      </c>
      <c r="D31" s="10"/>
      <c r="E31" s="10"/>
    </row>
    <row r="32" spans="1:5" x14ac:dyDescent="0.25">
      <c r="A32" s="10" t="s">
        <v>58</v>
      </c>
      <c r="B32" s="10" t="s">
        <v>59</v>
      </c>
      <c r="C32" s="10" t="s">
        <v>298</v>
      </c>
      <c r="D32" s="10"/>
      <c r="E32" s="10"/>
    </row>
    <row r="33" spans="1:5" x14ac:dyDescent="0.25">
      <c r="A33" s="10" t="s">
        <v>60</v>
      </c>
      <c r="B33" s="10" t="s">
        <v>61</v>
      </c>
      <c r="C33" s="10" t="s">
        <v>298</v>
      </c>
      <c r="D33" s="10"/>
      <c r="E33" s="10"/>
    </row>
    <row r="34" spans="1:5" x14ac:dyDescent="0.25">
      <c r="A34" s="10" t="s">
        <v>62</v>
      </c>
      <c r="B34" s="10" t="s">
        <v>63</v>
      </c>
      <c r="C34" s="10" t="s">
        <v>298</v>
      </c>
      <c r="D34" s="10"/>
      <c r="E34" s="10"/>
    </row>
    <row r="35" spans="1:5" x14ac:dyDescent="0.25">
      <c r="A35" s="10" t="s">
        <v>64</v>
      </c>
      <c r="B35" s="10" t="s">
        <v>3</v>
      </c>
      <c r="C35" s="10" t="s">
        <v>298</v>
      </c>
      <c r="D35" s="10"/>
      <c r="E35" s="10"/>
    </row>
    <row r="36" spans="1:5" x14ac:dyDescent="0.25">
      <c r="A36" s="10" t="s">
        <v>65</v>
      </c>
      <c r="B36" s="10" t="s">
        <v>3</v>
      </c>
      <c r="C36" s="10" t="s">
        <v>299</v>
      </c>
      <c r="D36" s="10" t="s">
        <v>304</v>
      </c>
      <c r="E36" s="10">
        <v>22298</v>
      </c>
    </row>
    <row r="37" spans="1:5" x14ac:dyDescent="0.25">
      <c r="A37" s="10" t="s">
        <v>66</v>
      </c>
      <c r="B37" s="10" t="s">
        <v>67</v>
      </c>
      <c r="C37" s="10" t="s">
        <v>298</v>
      </c>
      <c r="D37" s="10" t="s">
        <v>67</v>
      </c>
      <c r="E37" s="10">
        <v>22299</v>
      </c>
    </row>
    <row r="38" spans="1:5" x14ac:dyDescent="0.25">
      <c r="A38" s="10" t="s">
        <v>68</v>
      </c>
      <c r="B38" s="10" t="s">
        <v>3</v>
      </c>
      <c r="C38" s="10" t="s">
        <v>298</v>
      </c>
      <c r="D38" s="10"/>
      <c r="E38" s="10"/>
    </row>
    <row r="39" spans="1:5" x14ac:dyDescent="0.25">
      <c r="A39" s="10" t="s">
        <v>69</v>
      </c>
      <c r="B39" s="10" t="s">
        <v>70</v>
      </c>
      <c r="C39" s="10" t="s">
        <v>299</v>
      </c>
      <c r="D39" s="10" t="s">
        <v>301</v>
      </c>
      <c r="E39" s="10"/>
    </row>
    <row r="40" spans="1:5" x14ac:dyDescent="0.25">
      <c r="A40" s="10" t="s">
        <v>71</v>
      </c>
      <c r="B40" s="10" t="s">
        <v>70</v>
      </c>
      <c r="C40" s="10" t="s">
        <v>298</v>
      </c>
      <c r="D40" s="10"/>
      <c r="E40" s="10"/>
    </row>
    <row r="41" spans="1:5" x14ac:dyDescent="0.25">
      <c r="A41" s="10" t="s">
        <v>72</v>
      </c>
      <c r="B41" s="10" t="s">
        <v>42</v>
      </c>
      <c r="C41" s="10" t="s">
        <v>299</v>
      </c>
      <c r="D41" s="10" t="s">
        <v>70</v>
      </c>
      <c r="E41" s="10">
        <v>22293</v>
      </c>
    </row>
    <row r="42" spans="1:5" x14ac:dyDescent="0.25">
      <c r="A42" s="10" t="s">
        <v>73</v>
      </c>
      <c r="B42" s="10" t="s">
        <v>74</v>
      </c>
      <c r="C42" s="10" t="s">
        <v>298</v>
      </c>
      <c r="D42" s="10"/>
      <c r="E42" s="10"/>
    </row>
    <row r="43" spans="1:5" x14ac:dyDescent="0.25">
      <c r="A43" s="10" t="s">
        <v>75</v>
      </c>
      <c r="B43" s="10" t="s">
        <v>30</v>
      </c>
      <c r="C43" s="10" t="s">
        <v>299</v>
      </c>
      <c r="D43" s="10" t="s">
        <v>301</v>
      </c>
      <c r="E43" s="10"/>
    </row>
    <row r="44" spans="1:5" x14ac:dyDescent="0.25">
      <c r="A44" s="10" t="s">
        <v>76</v>
      </c>
      <c r="B44" s="10" t="s">
        <v>30</v>
      </c>
      <c r="C44" s="10" t="s">
        <v>298</v>
      </c>
      <c r="D44" s="10"/>
      <c r="E44" s="10"/>
    </row>
    <row r="45" spans="1:5" x14ac:dyDescent="0.25">
      <c r="A45" s="10" t="s">
        <v>73</v>
      </c>
      <c r="B45" s="10" t="s">
        <v>74</v>
      </c>
      <c r="C45" s="10" t="s">
        <v>299</v>
      </c>
      <c r="D45" s="10" t="s">
        <v>305</v>
      </c>
      <c r="E45" s="10">
        <v>22296</v>
      </c>
    </row>
    <row r="46" spans="1:5" x14ac:dyDescent="0.25">
      <c r="A46" s="10" t="s">
        <v>77</v>
      </c>
      <c r="B46" s="10" t="s">
        <v>78</v>
      </c>
      <c r="C46" s="10" t="s">
        <v>298</v>
      </c>
      <c r="D46" s="10"/>
      <c r="E46" s="10"/>
    </row>
    <row r="47" spans="1:5" x14ac:dyDescent="0.25">
      <c r="A47" s="10" t="s">
        <v>79</v>
      </c>
      <c r="B47" s="10" t="s">
        <v>3</v>
      </c>
      <c r="C47" s="10" t="s">
        <v>298</v>
      </c>
      <c r="D47" s="10"/>
      <c r="E47" s="10"/>
    </row>
    <row r="48" spans="1:5" x14ac:dyDescent="0.25">
      <c r="A48" s="10" t="s">
        <v>65</v>
      </c>
      <c r="B48" s="10" t="s">
        <v>3</v>
      </c>
      <c r="C48" s="10" t="s">
        <v>299</v>
      </c>
      <c r="D48" s="10" t="s">
        <v>304</v>
      </c>
      <c r="E48" s="10">
        <v>22290</v>
      </c>
    </row>
    <row r="49" spans="1:5" x14ac:dyDescent="0.25">
      <c r="A49" s="10" t="s">
        <v>66</v>
      </c>
      <c r="B49" s="10" t="s">
        <v>67</v>
      </c>
      <c r="C49" s="10" t="s">
        <v>298</v>
      </c>
      <c r="D49" s="10" t="s">
        <v>67</v>
      </c>
      <c r="E49" s="10">
        <v>22291</v>
      </c>
    </row>
    <row r="50" spans="1:5" x14ac:dyDescent="0.25">
      <c r="A50" s="10" t="s">
        <v>80</v>
      </c>
      <c r="B50" s="10" t="s">
        <v>81</v>
      </c>
      <c r="C50" s="10" t="s">
        <v>298</v>
      </c>
      <c r="D50" s="10"/>
      <c r="E50" s="10"/>
    </row>
    <row r="51" spans="1:5" x14ac:dyDescent="0.25">
      <c r="A51" s="10" t="s">
        <v>82</v>
      </c>
      <c r="B51" s="10" t="s">
        <v>83</v>
      </c>
      <c r="C51" s="10" t="s">
        <v>299</v>
      </c>
      <c r="D51" s="10" t="s">
        <v>301</v>
      </c>
      <c r="E51" s="10"/>
    </row>
    <row r="52" spans="1:5" x14ac:dyDescent="0.25">
      <c r="A52" s="10" t="s">
        <v>65</v>
      </c>
      <c r="B52" s="10" t="s">
        <v>3</v>
      </c>
      <c r="C52" s="10" t="s">
        <v>299</v>
      </c>
      <c r="D52" s="10" t="s">
        <v>304</v>
      </c>
      <c r="E52" s="10">
        <v>22302</v>
      </c>
    </row>
    <row r="53" spans="1:5" x14ac:dyDescent="0.25">
      <c r="A53" s="10" t="s">
        <v>66</v>
      </c>
      <c r="B53" s="10" t="s">
        <v>67</v>
      </c>
      <c r="C53" s="10" t="s">
        <v>298</v>
      </c>
      <c r="D53" s="10" t="s">
        <v>67</v>
      </c>
      <c r="E53" s="10">
        <v>22303</v>
      </c>
    </row>
    <row r="54" spans="1:5" x14ac:dyDescent="0.25">
      <c r="A54" s="10" t="s">
        <v>84</v>
      </c>
      <c r="B54" s="10" t="s">
        <v>85</v>
      </c>
      <c r="C54" s="10" t="s">
        <v>298</v>
      </c>
      <c r="D54" s="10"/>
      <c r="E54" s="10"/>
    </row>
    <row r="55" spans="1:5" x14ac:dyDescent="0.25">
      <c r="A55" s="10" t="s">
        <v>86</v>
      </c>
      <c r="B55" s="10" t="s">
        <v>87</v>
      </c>
      <c r="C55" s="10" t="s">
        <v>298</v>
      </c>
      <c r="D55" s="10"/>
      <c r="E55" s="10"/>
    </row>
    <row r="56" spans="1:5" x14ac:dyDescent="0.25">
      <c r="A56" s="10" t="s">
        <v>88</v>
      </c>
      <c r="B56" s="10" t="s">
        <v>3</v>
      </c>
      <c r="C56" s="10"/>
      <c r="D56" s="10" t="s">
        <v>303</v>
      </c>
      <c r="E56" s="10"/>
    </row>
    <row r="57" spans="1:5" x14ac:dyDescent="0.25">
      <c r="A57" s="10" t="s">
        <v>89</v>
      </c>
      <c r="B57" s="10" t="s">
        <v>90</v>
      </c>
      <c r="C57" s="10"/>
      <c r="D57" s="10" t="s">
        <v>303</v>
      </c>
      <c r="E57" s="10"/>
    </row>
    <row r="58" spans="1:5" x14ac:dyDescent="0.25">
      <c r="A58" s="10" t="s">
        <v>91</v>
      </c>
      <c r="B58" s="10" t="s">
        <v>28</v>
      </c>
      <c r="C58" s="10"/>
      <c r="D58" s="10" t="s">
        <v>303</v>
      </c>
      <c r="E58" s="10"/>
    </row>
    <row r="59" spans="1:5" x14ac:dyDescent="0.25">
      <c r="A59" s="10" t="s">
        <v>92</v>
      </c>
      <c r="B59" s="10" t="s">
        <v>3</v>
      </c>
      <c r="C59" s="10"/>
      <c r="D59" s="10" t="s">
        <v>303</v>
      </c>
      <c r="E59" s="10"/>
    </row>
    <row r="60" spans="1:5" x14ac:dyDescent="0.25">
      <c r="A60" s="10" t="s">
        <v>89</v>
      </c>
      <c r="B60" s="10" t="s">
        <v>90</v>
      </c>
      <c r="C60" s="10"/>
      <c r="D60" s="10" t="s">
        <v>303</v>
      </c>
      <c r="E60" s="10"/>
    </row>
    <row r="61" spans="1:5" x14ac:dyDescent="0.25">
      <c r="A61" s="10" t="s">
        <v>91</v>
      </c>
      <c r="B61" s="10" t="s">
        <v>28</v>
      </c>
      <c r="C61" s="10"/>
      <c r="D61" s="10" t="s">
        <v>303</v>
      </c>
      <c r="E61" s="10"/>
    </row>
    <row r="62" spans="1:5" x14ac:dyDescent="0.25">
      <c r="A62" s="10" t="s">
        <v>93</v>
      </c>
      <c r="B62" s="10" t="s">
        <v>3</v>
      </c>
      <c r="C62" s="10" t="s">
        <v>298</v>
      </c>
      <c r="D62" s="10"/>
      <c r="E62" s="10"/>
    </row>
    <row r="63" spans="1:5" x14ac:dyDescent="0.25">
      <c r="A63" s="10" t="s">
        <v>89</v>
      </c>
      <c r="B63" s="10" t="s">
        <v>90</v>
      </c>
      <c r="C63" s="10" t="s">
        <v>298</v>
      </c>
      <c r="D63" s="10"/>
      <c r="E63" s="10"/>
    </row>
    <row r="64" spans="1:5" x14ac:dyDescent="0.25">
      <c r="A64" s="10" t="s">
        <v>91</v>
      </c>
      <c r="B64" s="10" t="s">
        <v>28</v>
      </c>
      <c r="C64" s="10" t="s">
        <v>298</v>
      </c>
      <c r="D64" s="10"/>
      <c r="E6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workbookViewId="0"/>
  </sheetViews>
  <sheetFormatPr defaultRowHeight="15" x14ac:dyDescent="0.25"/>
  <cols>
    <col min="1" max="1" width="45.85546875" bestFit="1" customWidth="1"/>
    <col min="2" max="2" width="50.140625" customWidth="1"/>
    <col min="4" max="4" width="39" bestFit="1" customWidth="1"/>
  </cols>
  <sheetData>
    <row r="1" spans="1:8" x14ac:dyDescent="0.25">
      <c r="A1" s="1" t="s">
        <v>0</v>
      </c>
      <c r="B1" s="1" t="s">
        <v>1</v>
      </c>
      <c r="C1" s="2" t="s">
        <v>295</v>
      </c>
      <c r="D1" s="2" t="s">
        <v>296</v>
      </c>
      <c r="E1" s="3" t="s">
        <v>297</v>
      </c>
      <c r="G1" s="4" t="s">
        <v>298</v>
      </c>
      <c r="H1" s="5">
        <f>COUNTIF(C:C,G1)</f>
        <v>49</v>
      </c>
    </row>
    <row r="2" spans="1:8" x14ac:dyDescent="0.25">
      <c r="A2" s="10" t="s">
        <v>94</v>
      </c>
      <c r="B2" s="10" t="s">
        <v>3</v>
      </c>
      <c r="C2" s="10" t="s">
        <v>298</v>
      </c>
      <c r="D2" s="10"/>
      <c r="E2" s="10"/>
      <c r="G2" s="6" t="s">
        <v>299</v>
      </c>
      <c r="H2" s="7">
        <f>COUNTIF(C:C,G2)</f>
        <v>13</v>
      </c>
    </row>
    <row r="3" spans="1:8" ht="15.75" thickBot="1" x14ac:dyDescent="0.3">
      <c r="A3" s="10" t="s">
        <v>95</v>
      </c>
      <c r="B3" s="10" t="s">
        <v>96</v>
      </c>
      <c r="C3" s="10" t="s">
        <v>298</v>
      </c>
      <c r="D3" s="10"/>
      <c r="E3" s="10"/>
      <c r="G3" s="8" t="s">
        <v>300</v>
      </c>
      <c r="H3" s="9">
        <f>H1/SUM(H1:H2)</f>
        <v>0.79032258064516125</v>
      </c>
    </row>
    <row r="4" spans="1:8" x14ac:dyDescent="0.25">
      <c r="A4" s="10" t="s">
        <v>97</v>
      </c>
      <c r="B4" s="10" t="s">
        <v>98</v>
      </c>
      <c r="C4" s="10" t="s">
        <v>298</v>
      </c>
      <c r="D4" s="10"/>
      <c r="E4" s="10"/>
    </row>
    <row r="5" spans="1:8" x14ac:dyDescent="0.25">
      <c r="A5" s="10" t="s">
        <v>99</v>
      </c>
      <c r="B5" s="10" t="s">
        <v>100</v>
      </c>
      <c r="C5" s="10" t="s">
        <v>298</v>
      </c>
      <c r="D5" s="10"/>
      <c r="E5" s="10"/>
    </row>
    <row r="6" spans="1:8" x14ac:dyDescent="0.25">
      <c r="A6" s="10" t="s">
        <v>101</v>
      </c>
      <c r="B6" s="10" t="s">
        <v>101</v>
      </c>
      <c r="C6" s="10" t="s">
        <v>299</v>
      </c>
      <c r="D6" s="10" t="s">
        <v>313</v>
      </c>
      <c r="E6" s="10">
        <v>13734</v>
      </c>
    </row>
    <row r="7" spans="1:8" x14ac:dyDescent="0.25">
      <c r="A7" s="10" t="s">
        <v>102</v>
      </c>
      <c r="B7" s="10" t="s">
        <v>103</v>
      </c>
      <c r="C7" s="10" t="s">
        <v>298</v>
      </c>
      <c r="D7" s="10"/>
      <c r="E7" s="10"/>
    </row>
    <row r="8" spans="1:8" x14ac:dyDescent="0.25">
      <c r="A8" s="10" t="s">
        <v>104</v>
      </c>
      <c r="B8" s="10" t="s">
        <v>105</v>
      </c>
      <c r="C8" s="10" t="s">
        <v>298</v>
      </c>
      <c r="D8" s="10"/>
      <c r="E8" s="10"/>
    </row>
    <row r="9" spans="1:8" x14ac:dyDescent="0.25">
      <c r="A9" s="10" t="s">
        <v>106</v>
      </c>
      <c r="B9" s="10" t="s">
        <v>106</v>
      </c>
      <c r="C9" s="10" t="s">
        <v>298</v>
      </c>
      <c r="D9" s="10"/>
      <c r="E9" s="10"/>
    </row>
    <row r="10" spans="1:8" x14ac:dyDescent="0.25">
      <c r="A10" s="10" t="s">
        <v>107</v>
      </c>
      <c r="B10" s="10" t="s">
        <v>108</v>
      </c>
      <c r="C10" s="10" t="s">
        <v>298</v>
      </c>
      <c r="D10" s="10"/>
      <c r="E10" s="10"/>
    </row>
    <row r="11" spans="1:8" x14ac:dyDescent="0.25">
      <c r="A11" s="10" t="s">
        <v>109</v>
      </c>
      <c r="B11" s="10" t="s">
        <v>110</v>
      </c>
      <c r="C11" s="10" t="s">
        <v>298</v>
      </c>
      <c r="D11" s="10"/>
      <c r="E11" s="10"/>
    </row>
    <row r="12" spans="1:8" x14ac:dyDescent="0.25">
      <c r="A12" s="10" t="s">
        <v>111</v>
      </c>
      <c r="B12" s="10" t="s">
        <v>3</v>
      </c>
      <c r="C12" s="10" t="s">
        <v>298</v>
      </c>
      <c r="D12" s="10"/>
      <c r="E12" s="10"/>
    </row>
    <row r="13" spans="1:8" x14ac:dyDescent="0.25">
      <c r="A13" s="10" t="s">
        <v>112</v>
      </c>
      <c r="B13" s="10" t="s">
        <v>113</v>
      </c>
      <c r="C13" s="10" t="s">
        <v>298</v>
      </c>
      <c r="D13" s="10"/>
      <c r="E13" s="10"/>
    </row>
    <row r="14" spans="1:8" x14ac:dyDescent="0.25">
      <c r="A14" s="10" t="s">
        <v>114</v>
      </c>
      <c r="B14" s="10" t="s">
        <v>115</v>
      </c>
      <c r="C14" s="10" t="s">
        <v>299</v>
      </c>
      <c r="D14" s="10" t="s">
        <v>306</v>
      </c>
      <c r="E14" s="10">
        <v>20217</v>
      </c>
    </row>
    <row r="15" spans="1:8" x14ac:dyDescent="0.25">
      <c r="A15" s="10" t="s">
        <v>116</v>
      </c>
      <c r="B15" s="10" t="s">
        <v>117</v>
      </c>
      <c r="C15" s="10" t="s">
        <v>298</v>
      </c>
      <c r="D15" s="10"/>
      <c r="E15" s="10"/>
    </row>
    <row r="16" spans="1:8" x14ac:dyDescent="0.25">
      <c r="A16" s="10" t="s">
        <v>118</v>
      </c>
      <c r="B16" s="10" t="s">
        <v>119</v>
      </c>
      <c r="C16" s="10" t="s">
        <v>299</v>
      </c>
      <c r="D16" s="10" t="s">
        <v>307</v>
      </c>
      <c r="E16" s="10">
        <v>20215</v>
      </c>
    </row>
    <row r="17" spans="1:5" x14ac:dyDescent="0.25">
      <c r="A17" s="10" t="s">
        <v>120</v>
      </c>
      <c r="B17" s="10" t="s">
        <v>121</v>
      </c>
      <c r="C17" s="10" t="s">
        <v>298</v>
      </c>
      <c r="D17" s="10"/>
      <c r="E17" s="10"/>
    </row>
    <row r="18" spans="1:5" x14ac:dyDescent="0.25">
      <c r="A18" s="10" t="s">
        <v>122</v>
      </c>
      <c r="B18" s="10" t="s">
        <v>123</v>
      </c>
      <c r="C18" s="10" t="s">
        <v>298</v>
      </c>
      <c r="D18" s="10"/>
      <c r="E18" s="10"/>
    </row>
    <row r="19" spans="1:5" x14ac:dyDescent="0.25">
      <c r="A19" s="10" t="s">
        <v>124</v>
      </c>
      <c r="B19" s="10" t="s">
        <v>125</v>
      </c>
      <c r="C19" s="10" t="s">
        <v>298</v>
      </c>
      <c r="D19" s="10"/>
      <c r="E19" s="10"/>
    </row>
    <row r="20" spans="1:5" x14ac:dyDescent="0.25">
      <c r="A20" s="10" t="s">
        <v>126</v>
      </c>
      <c r="B20" s="10" t="s">
        <v>3</v>
      </c>
      <c r="C20" s="10" t="s">
        <v>298</v>
      </c>
      <c r="D20" s="10"/>
      <c r="E20" s="10"/>
    </row>
    <row r="21" spans="1:5" x14ac:dyDescent="0.25">
      <c r="A21" s="10" t="s">
        <v>127</v>
      </c>
      <c r="B21" s="10" t="s">
        <v>127</v>
      </c>
      <c r="C21" s="10" t="s">
        <v>298</v>
      </c>
      <c r="D21" s="10"/>
      <c r="E21" s="10"/>
    </row>
    <row r="22" spans="1:5" x14ac:dyDescent="0.25">
      <c r="A22" s="10" t="s">
        <v>111</v>
      </c>
      <c r="B22" s="10" t="s">
        <v>3</v>
      </c>
      <c r="C22" s="10" t="s">
        <v>298</v>
      </c>
      <c r="D22" s="10"/>
      <c r="E22" s="10"/>
    </row>
    <row r="23" spans="1:5" x14ac:dyDescent="0.25">
      <c r="A23" s="10" t="s">
        <v>112</v>
      </c>
      <c r="B23" s="10" t="s">
        <v>113</v>
      </c>
      <c r="C23" s="10" t="s">
        <v>299</v>
      </c>
      <c r="D23" s="10" t="s">
        <v>308</v>
      </c>
      <c r="E23" s="10">
        <v>13724</v>
      </c>
    </row>
    <row r="24" spans="1:5" x14ac:dyDescent="0.25">
      <c r="A24" s="10" t="s">
        <v>128</v>
      </c>
      <c r="B24" s="10" t="s">
        <v>129</v>
      </c>
      <c r="C24" s="10" t="s">
        <v>298</v>
      </c>
      <c r="D24" s="10" t="s">
        <v>129</v>
      </c>
      <c r="E24" s="10">
        <v>13780</v>
      </c>
    </row>
    <row r="25" spans="1:5" x14ac:dyDescent="0.25">
      <c r="A25" s="10" t="s">
        <v>130</v>
      </c>
      <c r="B25" s="10" t="s">
        <v>131</v>
      </c>
      <c r="C25" s="10" t="s">
        <v>298</v>
      </c>
      <c r="D25" s="10"/>
      <c r="E25" s="10"/>
    </row>
    <row r="26" spans="1:5" x14ac:dyDescent="0.25">
      <c r="A26" s="10" t="s">
        <v>132</v>
      </c>
      <c r="B26" s="10" t="s">
        <v>133</v>
      </c>
      <c r="C26" s="10" t="s">
        <v>298</v>
      </c>
      <c r="D26" s="10"/>
      <c r="E26" s="10"/>
    </row>
    <row r="27" spans="1:5" x14ac:dyDescent="0.25">
      <c r="A27" s="10" t="s">
        <v>114</v>
      </c>
      <c r="B27" s="10" t="s">
        <v>115</v>
      </c>
      <c r="C27" s="10" t="s">
        <v>298</v>
      </c>
      <c r="D27" s="10"/>
      <c r="E27" s="10"/>
    </row>
    <row r="28" spans="1:5" x14ac:dyDescent="0.25">
      <c r="A28" s="10" t="s">
        <v>116</v>
      </c>
      <c r="B28" s="10" t="s">
        <v>117</v>
      </c>
      <c r="C28" s="10" t="s">
        <v>299</v>
      </c>
      <c r="D28" s="10" t="s">
        <v>309</v>
      </c>
      <c r="E28" s="10">
        <v>20231</v>
      </c>
    </row>
    <row r="29" spans="1:5" x14ac:dyDescent="0.25">
      <c r="A29" s="10" t="s">
        <v>118</v>
      </c>
      <c r="B29" s="10" t="s">
        <v>119</v>
      </c>
      <c r="C29" s="10" t="s">
        <v>298</v>
      </c>
      <c r="D29" s="10"/>
      <c r="E29" s="10"/>
    </row>
    <row r="30" spans="1:5" x14ac:dyDescent="0.25">
      <c r="A30" s="10" t="s">
        <v>134</v>
      </c>
      <c r="B30" s="10" t="s">
        <v>135</v>
      </c>
      <c r="C30" s="10" t="s">
        <v>298</v>
      </c>
      <c r="D30" s="10"/>
      <c r="E30" s="10"/>
    </row>
    <row r="31" spans="1:5" x14ac:dyDescent="0.25">
      <c r="A31" s="10" t="s">
        <v>136</v>
      </c>
      <c r="B31" s="10" t="s">
        <v>137</v>
      </c>
      <c r="C31" s="10" t="s">
        <v>298</v>
      </c>
      <c r="D31" s="10"/>
      <c r="E31" s="10"/>
    </row>
    <row r="32" spans="1:5" x14ac:dyDescent="0.25">
      <c r="A32" s="10" t="s">
        <v>138</v>
      </c>
      <c r="B32" s="10" t="s">
        <v>139</v>
      </c>
      <c r="C32" s="10" t="s">
        <v>299</v>
      </c>
      <c r="D32" s="10" t="s">
        <v>310</v>
      </c>
      <c r="E32" s="10">
        <v>20208</v>
      </c>
    </row>
    <row r="33" spans="1:5" x14ac:dyDescent="0.25">
      <c r="A33" s="10" t="s">
        <v>140</v>
      </c>
      <c r="B33" s="10" t="s">
        <v>140</v>
      </c>
      <c r="C33" s="10" t="s">
        <v>298</v>
      </c>
      <c r="D33" s="10"/>
      <c r="E33" s="10"/>
    </row>
    <row r="34" spans="1:5" x14ac:dyDescent="0.25">
      <c r="A34" s="10" t="s">
        <v>141</v>
      </c>
      <c r="B34" s="10" t="s">
        <v>3</v>
      </c>
      <c r="C34" s="10" t="s">
        <v>298</v>
      </c>
      <c r="D34" s="10"/>
      <c r="E34" s="10"/>
    </row>
    <row r="35" spans="1:5" x14ac:dyDescent="0.25">
      <c r="A35" s="10" t="s">
        <v>142</v>
      </c>
      <c r="B35" s="10" t="s">
        <v>3</v>
      </c>
      <c r="C35" s="10" t="s">
        <v>298</v>
      </c>
      <c r="D35" s="10"/>
      <c r="E35" s="10"/>
    </row>
    <row r="36" spans="1:5" x14ac:dyDescent="0.25">
      <c r="A36" s="10" t="s">
        <v>143</v>
      </c>
      <c r="B36" s="10" t="s">
        <v>144</v>
      </c>
      <c r="C36" s="10" t="s">
        <v>298</v>
      </c>
      <c r="D36" s="10"/>
      <c r="E36" s="10"/>
    </row>
    <row r="37" spans="1:5" x14ac:dyDescent="0.25">
      <c r="A37" s="10" t="s">
        <v>86</v>
      </c>
      <c r="B37" s="10" t="s">
        <v>145</v>
      </c>
      <c r="C37" s="10" t="s">
        <v>298</v>
      </c>
      <c r="D37" s="10"/>
      <c r="E37" s="10"/>
    </row>
    <row r="38" spans="1:5" x14ac:dyDescent="0.25">
      <c r="A38" s="10" t="s">
        <v>146</v>
      </c>
      <c r="B38" s="10" t="s">
        <v>3</v>
      </c>
      <c r="C38" s="10" t="s">
        <v>299</v>
      </c>
      <c r="D38" s="10" t="s">
        <v>148</v>
      </c>
      <c r="E38" s="10">
        <v>13773</v>
      </c>
    </row>
    <row r="39" spans="1:5" x14ac:dyDescent="0.25">
      <c r="A39" s="10" t="s">
        <v>65</v>
      </c>
      <c r="B39" s="10" t="s">
        <v>3</v>
      </c>
      <c r="C39" s="10" t="s">
        <v>299</v>
      </c>
      <c r="D39" s="10" t="s">
        <v>314</v>
      </c>
      <c r="E39" s="10">
        <v>13744</v>
      </c>
    </row>
    <row r="40" spans="1:5" x14ac:dyDescent="0.25">
      <c r="A40" s="10" t="s">
        <v>147</v>
      </c>
      <c r="B40" s="10" t="s">
        <v>148</v>
      </c>
      <c r="C40" s="10"/>
      <c r="D40" s="10" t="s">
        <v>303</v>
      </c>
      <c r="E40" s="10"/>
    </row>
    <row r="41" spans="1:5" x14ac:dyDescent="0.25">
      <c r="A41" s="10" t="s">
        <v>149</v>
      </c>
      <c r="B41" s="10" t="s">
        <v>3</v>
      </c>
      <c r="C41" s="10" t="s">
        <v>298</v>
      </c>
      <c r="D41" s="10"/>
      <c r="E41" s="10"/>
    </row>
    <row r="42" spans="1:5" x14ac:dyDescent="0.25">
      <c r="A42" s="10" t="s">
        <v>150</v>
      </c>
      <c r="B42" s="10" t="s">
        <v>3</v>
      </c>
      <c r="C42" s="10" t="s">
        <v>298</v>
      </c>
      <c r="D42" s="10"/>
      <c r="E42" s="10"/>
    </row>
    <row r="43" spans="1:5" x14ac:dyDescent="0.25">
      <c r="A43" s="10" t="s">
        <v>151</v>
      </c>
      <c r="B43" s="10" t="s">
        <v>3</v>
      </c>
      <c r="C43" s="10" t="s">
        <v>298</v>
      </c>
      <c r="D43" s="10"/>
      <c r="E43" s="10"/>
    </row>
    <row r="44" spans="1:5" x14ac:dyDescent="0.25">
      <c r="A44" s="10" t="s">
        <v>152</v>
      </c>
      <c r="B44" s="10" t="s">
        <v>152</v>
      </c>
      <c r="C44" s="10" t="s">
        <v>298</v>
      </c>
      <c r="D44" s="10" t="s">
        <v>152</v>
      </c>
      <c r="E44" s="10">
        <v>20223</v>
      </c>
    </row>
    <row r="45" spans="1:5" x14ac:dyDescent="0.25">
      <c r="A45" s="10" t="s">
        <v>153</v>
      </c>
      <c r="B45" s="10" t="s">
        <v>153</v>
      </c>
      <c r="C45" s="10" t="s">
        <v>298</v>
      </c>
      <c r="D45" s="10" t="s">
        <v>153</v>
      </c>
      <c r="E45" s="10">
        <v>30340</v>
      </c>
    </row>
    <row r="46" spans="1:5" x14ac:dyDescent="0.25">
      <c r="A46" s="10" t="s">
        <v>154</v>
      </c>
      <c r="B46" s="10" t="s">
        <v>155</v>
      </c>
      <c r="C46" s="10" t="s">
        <v>298</v>
      </c>
      <c r="D46" s="10"/>
      <c r="E46" s="10"/>
    </row>
    <row r="47" spans="1:5" x14ac:dyDescent="0.25">
      <c r="A47" s="10" t="s">
        <v>156</v>
      </c>
      <c r="B47" s="10" t="s">
        <v>157</v>
      </c>
      <c r="C47" s="10" t="s">
        <v>298</v>
      </c>
      <c r="D47" s="10"/>
      <c r="E47" s="10"/>
    </row>
    <row r="48" spans="1:5" x14ac:dyDescent="0.25">
      <c r="A48" s="10" t="s">
        <v>158</v>
      </c>
      <c r="B48" s="10" t="s">
        <v>159</v>
      </c>
      <c r="C48" s="10" t="s">
        <v>299</v>
      </c>
      <c r="D48" s="10" t="s">
        <v>315</v>
      </c>
      <c r="E48" s="10">
        <v>33070</v>
      </c>
    </row>
    <row r="49" spans="1:5" x14ac:dyDescent="0.25">
      <c r="A49" s="10" t="s">
        <v>160</v>
      </c>
      <c r="B49" s="10" t="s">
        <v>161</v>
      </c>
      <c r="C49" s="10" t="s">
        <v>298</v>
      </c>
      <c r="D49" s="10"/>
      <c r="E49" s="10"/>
    </row>
    <row r="50" spans="1:5" x14ac:dyDescent="0.25">
      <c r="A50" s="10" t="s">
        <v>162</v>
      </c>
      <c r="B50" s="10" t="s">
        <v>163</v>
      </c>
      <c r="C50" s="10" t="s">
        <v>298</v>
      </c>
      <c r="D50" s="10"/>
      <c r="E50" s="10"/>
    </row>
    <row r="51" spans="1:5" x14ac:dyDescent="0.25">
      <c r="A51" s="10" t="s">
        <v>164</v>
      </c>
      <c r="B51" s="10" t="s">
        <v>3</v>
      </c>
      <c r="C51" s="10" t="s">
        <v>298</v>
      </c>
      <c r="D51" s="10"/>
      <c r="E51" s="10"/>
    </row>
    <row r="52" spans="1:5" x14ac:dyDescent="0.25">
      <c r="A52" s="10" t="s">
        <v>165</v>
      </c>
      <c r="B52" s="10" t="s">
        <v>3</v>
      </c>
      <c r="C52" s="10" t="s">
        <v>298</v>
      </c>
      <c r="D52" s="10"/>
      <c r="E52" s="10"/>
    </row>
    <row r="53" spans="1:5" x14ac:dyDescent="0.25">
      <c r="A53" s="10" t="s">
        <v>152</v>
      </c>
      <c r="B53" s="10" t="s">
        <v>152</v>
      </c>
      <c r="C53" s="10" t="s">
        <v>298</v>
      </c>
      <c r="D53" s="10" t="s">
        <v>152</v>
      </c>
      <c r="E53" s="10">
        <v>20209</v>
      </c>
    </row>
    <row r="54" spans="1:5" x14ac:dyDescent="0.25">
      <c r="A54" s="10" t="s">
        <v>153</v>
      </c>
      <c r="B54" s="10" t="s">
        <v>153</v>
      </c>
      <c r="C54" s="10" t="s">
        <v>298</v>
      </c>
      <c r="D54" s="10" t="s">
        <v>153</v>
      </c>
      <c r="E54" s="10">
        <v>25716</v>
      </c>
    </row>
    <row r="55" spans="1:5" x14ac:dyDescent="0.25">
      <c r="A55" s="10" t="s">
        <v>166</v>
      </c>
      <c r="B55" s="10" t="s">
        <v>167</v>
      </c>
      <c r="C55" s="10" t="s">
        <v>299</v>
      </c>
      <c r="D55" s="10" t="s">
        <v>301</v>
      </c>
      <c r="E55" s="10"/>
    </row>
    <row r="56" spans="1:5" x14ac:dyDescent="0.25">
      <c r="A56" s="10" t="s">
        <v>168</v>
      </c>
      <c r="B56" s="10" t="s">
        <v>167</v>
      </c>
      <c r="C56" s="10" t="s">
        <v>298</v>
      </c>
      <c r="D56" s="10" t="s">
        <v>167</v>
      </c>
      <c r="E56" s="10">
        <v>13779</v>
      </c>
    </row>
    <row r="57" spans="1:5" x14ac:dyDescent="0.25">
      <c r="A57" s="10" t="s">
        <v>169</v>
      </c>
      <c r="B57" s="10" t="s">
        <v>167</v>
      </c>
      <c r="C57" s="10" t="s">
        <v>298</v>
      </c>
      <c r="D57" s="10" t="s">
        <v>167</v>
      </c>
      <c r="E57" s="10">
        <v>13779</v>
      </c>
    </row>
    <row r="58" spans="1:5" x14ac:dyDescent="0.25">
      <c r="A58" s="10" t="s">
        <v>154</v>
      </c>
      <c r="B58" s="10" t="s">
        <v>155</v>
      </c>
      <c r="C58" s="10" t="s">
        <v>299</v>
      </c>
      <c r="D58" s="10" t="s">
        <v>316</v>
      </c>
      <c r="E58" s="10">
        <v>20214</v>
      </c>
    </row>
    <row r="59" spans="1:5" x14ac:dyDescent="0.25">
      <c r="A59" s="10" t="s">
        <v>156</v>
      </c>
      <c r="B59" s="10" t="s">
        <v>157</v>
      </c>
      <c r="C59" s="10" t="s">
        <v>299</v>
      </c>
      <c r="D59" s="10" t="s">
        <v>311</v>
      </c>
      <c r="E59" s="10">
        <v>13767</v>
      </c>
    </row>
    <row r="60" spans="1:5" x14ac:dyDescent="0.25">
      <c r="A60" s="10" t="s">
        <v>158</v>
      </c>
      <c r="B60" s="10" t="s">
        <v>159</v>
      </c>
      <c r="C60" s="10" t="s">
        <v>298</v>
      </c>
      <c r="D60" s="10"/>
      <c r="E60" s="10"/>
    </row>
    <row r="61" spans="1:5" x14ac:dyDescent="0.25">
      <c r="A61" s="10" t="s">
        <v>170</v>
      </c>
      <c r="B61" s="10" t="s">
        <v>171</v>
      </c>
      <c r="C61" s="10" t="s">
        <v>298</v>
      </c>
      <c r="D61" s="10"/>
      <c r="E61" s="10"/>
    </row>
    <row r="62" spans="1:5" x14ac:dyDescent="0.25">
      <c r="A62" s="10" t="s">
        <v>172</v>
      </c>
      <c r="B62" s="10" t="s">
        <v>173</v>
      </c>
      <c r="C62" s="10" t="s">
        <v>298</v>
      </c>
      <c r="D62" s="10"/>
      <c r="E62" s="10"/>
    </row>
    <row r="63" spans="1:5" x14ac:dyDescent="0.25">
      <c r="A63" s="10" t="s">
        <v>174</v>
      </c>
      <c r="B63" s="10" t="s">
        <v>52</v>
      </c>
      <c r="C63" s="10" t="s">
        <v>299</v>
      </c>
      <c r="D63" s="10" t="s">
        <v>312</v>
      </c>
      <c r="E63" s="10">
        <v>13775</v>
      </c>
    </row>
    <row r="64" spans="1:5" x14ac:dyDescent="0.25">
      <c r="A64" s="10" t="s">
        <v>175</v>
      </c>
      <c r="B64" s="10" t="s">
        <v>52</v>
      </c>
      <c r="C64" s="10"/>
      <c r="D64" s="10" t="s">
        <v>303</v>
      </c>
      <c r="E64" s="10"/>
    </row>
    <row r="65" spans="1:5" x14ac:dyDescent="0.25">
      <c r="A65" s="10" t="s">
        <v>176</v>
      </c>
      <c r="B65" s="10" t="s">
        <v>177</v>
      </c>
      <c r="C65" s="10" t="s">
        <v>298</v>
      </c>
      <c r="D65" s="10"/>
      <c r="E6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workbookViewId="0"/>
  </sheetViews>
  <sheetFormatPr defaultRowHeight="15" x14ac:dyDescent="0.25"/>
  <cols>
    <col min="1" max="1" width="58" customWidth="1"/>
    <col min="2" max="2" width="51.85546875" customWidth="1"/>
    <col min="4" max="4" width="36.85546875" bestFit="1" customWidth="1"/>
  </cols>
  <sheetData>
    <row r="1" spans="1:8" x14ac:dyDescent="0.25">
      <c r="A1" s="1" t="s">
        <v>0</v>
      </c>
      <c r="B1" s="1" t="s">
        <v>1</v>
      </c>
      <c r="C1" s="2" t="s">
        <v>295</v>
      </c>
      <c r="D1" s="2" t="s">
        <v>296</v>
      </c>
      <c r="E1" s="3" t="s">
        <v>297</v>
      </c>
      <c r="G1" s="4" t="s">
        <v>298</v>
      </c>
      <c r="H1" s="5">
        <f>COUNTIF(C:C,G1)</f>
        <v>34</v>
      </c>
    </row>
    <row r="2" spans="1:8" x14ac:dyDescent="0.25">
      <c r="A2" s="10" t="s">
        <v>265</v>
      </c>
      <c r="B2" s="10" t="s">
        <v>180</v>
      </c>
      <c r="C2" s="10" t="s">
        <v>298</v>
      </c>
      <c r="D2" s="10"/>
      <c r="E2" s="10"/>
      <c r="G2" s="6" t="s">
        <v>299</v>
      </c>
      <c r="H2" s="7">
        <f>COUNTIF(C:C,G2)</f>
        <v>5</v>
      </c>
    </row>
    <row r="3" spans="1:8" ht="15.75" thickBot="1" x14ac:dyDescent="0.3">
      <c r="A3" s="10" t="s">
        <v>181</v>
      </c>
      <c r="B3" s="10" t="s">
        <v>3</v>
      </c>
      <c r="C3" s="10" t="s">
        <v>298</v>
      </c>
      <c r="D3" s="10"/>
      <c r="E3" s="10"/>
      <c r="G3" s="8" t="s">
        <v>300</v>
      </c>
      <c r="H3" s="9">
        <f>H1/SUM(H1:H2)</f>
        <v>0.87179487179487181</v>
      </c>
    </row>
    <row r="4" spans="1:8" x14ac:dyDescent="0.25">
      <c r="A4" s="10" t="s">
        <v>266</v>
      </c>
      <c r="B4" s="10" t="s">
        <v>183</v>
      </c>
      <c r="C4" s="10" t="s">
        <v>298</v>
      </c>
      <c r="D4" s="10"/>
      <c r="E4" s="10"/>
    </row>
    <row r="5" spans="1:8" x14ac:dyDescent="0.25">
      <c r="A5" s="10" t="s">
        <v>189</v>
      </c>
      <c r="B5" s="10" t="s">
        <v>190</v>
      </c>
      <c r="C5" s="10" t="s">
        <v>298</v>
      </c>
      <c r="D5" s="10"/>
      <c r="E5" s="10"/>
    </row>
    <row r="6" spans="1:8" x14ac:dyDescent="0.25">
      <c r="A6" s="10" t="s">
        <v>191</v>
      </c>
      <c r="B6" s="10" t="s">
        <v>192</v>
      </c>
      <c r="C6" s="10" t="s">
        <v>298</v>
      </c>
      <c r="D6" s="10"/>
      <c r="E6" s="10"/>
    </row>
    <row r="7" spans="1:8" x14ac:dyDescent="0.25">
      <c r="A7" s="10" t="s">
        <v>19</v>
      </c>
      <c r="B7" s="10" t="s">
        <v>195</v>
      </c>
      <c r="C7" s="10" t="s">
        <v>298</v>
      </c>
      <c r="D7" s="10"/>
      <c r="E7" s="10"/>
    </row>
    <row r="8" spans="1:8" x14ac:dyDescent="0.25">
      <c r="A8" s="10" t="s">
        <v>196</v>
      </c>
      <c r="B8" s="10" t="s">
        <v>197</v>
      </c>
      <c r="C8" s="10" t="s">
        <v>299</v>
      </c>
      <c r="D8" s="10" t="s">
        <v>199</v>
      </c>
      <c r="E8" s="10">
        <v>30481</v>
      </c>
    </row>
    <row r="9" spans="1:8" x14ac:dyDescent="0.25">
      <c r="A9" s="10" t="s">
        <v>202</v>
      </c>
      <c r="B9" s="10" t="s">
        <v>203</v>
      </c>
      <c r="C9" s="10" t="s">
        <v>299</v>
      </c>
      <c r="D9" s="10" t="s">
        <v>201</v>
      </c>
      <c r="E9" s="10">
        <v>17542</v>
      </c>
    </row>
    <row r="10" spans="1:8" x14ac:dyDescent="0.25">
      <c r="A10" s="10" t="s">
        <v>204</v>
      </c>
      <c r="B10" s="10" t="s">
        <v>205</v>
      </c>
      <c r="C10" s="10" t="s">
        <v>298</v>
      </c>
      <c r="D10" s="10"/>
      <c r="E10" s="10"/>
    </row>
    <row r="11" spans="1:8" x14ac:dyDescent="0.25">
      <c r="A11" s="10" t="s">
        <v>206</v>
      </c>
      <c r="B11" s="10" t="s">
        <v>203</v>
      </c>
      <c r="C11" s="10" t="s">
        <v>298</v>
      </c>
      <c r="D11" s="10"/>
      <c r="E11" s="10"/>
    </row>
    <row r="12" spans="1:8" x14ac:dyDescent="0.25">
      <c r="A12" s="10" t="s">
        <v>209</v>
      </c>
      <c r="B12" s="10" t="s">
        <v>210</v>
      </c>
      <c r="C12" s="10" t="s">
        <v>298</v>
      </c>
      <c r="D12" s="10"/>
      <c r="E12" s="10"/>
    </row>
    <row r="13" spans="1:8" x14ac:dyDescent="0.25">
      <c r="A13" s="10" t="s">
        <v>267</v>
      </c>
      <c r="B13" s="10" t="s">
        <v>3</v>
      </c>
      <c r="C13" s="10" t="s">
        <v>298</v>
      </c>
      <c r="D13" s="10"/>
      <c r="E13" s="10"/>
    </row>
    <row r="14" spans="1:8" x14ac:dyDescent="0.25">
      <c r="A14" s="10" t="s">
        <v>213</v>
      </c>
      <c r="B14" s="10" t="s">
        <v>214</v>
      </c>
      <c r="C14" s="10" t="s">
        <v>298</v>
      </c>
      <c r="D14" s="10"/>
      <c r="E14" s="10"/>
    </row>
    <row r="15" spans="1:8" x14ac:dyDescent="0.25">
      <c r="A15" s="10" t="s">
        <v>268</v>
      </c>
      <c r="B15" s="10" t="s">
        <v>216</v>
      </c>
      <c r="C15" s="10" t="s">
        <v>298</v>
      </c>
      <c r="D15" s="10"/>
      <c r="E15" s="10"/>
    </row>
    <row r="16" spans="1:8" x14ac:dyDescent="0.25">
      <c r="A16" s="10" t="s">
        <v>269</v>
      </c>
      <c r="B16" s="10" t="s">
        <v>218</v>
      </c>
      <c r="C16" s="10" t="s">
        <v>298</v>
      </c>
      <c r="D16" s="10"/>
      <c r="E16" s="10"/>
    </row>
    <row r="17" spans="1:5" x14ac:dyDescent="0.25">
      <c r="A17" s="10" t="s">
        <v>270</v>
      </c>
      <c r="B17" s="10" t="s">
        <v>156</v>
      </c>
      <c r="C17" s="10" t="s">
        <v>298</v>
      </c>
      <c r="D17" s="10"/>
      <c r="E17" s="10"/>
    </row>
    <row r="18" spans="1:5" x14ac:dyDescent="0.25">
      <c r="A18" s="10" t="s">
        <v>220</v>
      </c>
      <c r="B18" s="10" t="s">
        <v>221</v>
      </c>
      <c r="C18" s="10" t="s">
        <v>298</v>
      </c>
      <c r="D18" s="10"/>
      <c r="E18" s="10"/>
    </row>
    <row r="19" spans="1:5" x14ac:dyDescent="0.25">
      <c r="A19" s="10" t="s">
        <v>271</v>
      </c>
      <c r="B19" s="10" t="s">
        <v>272</v>
      </c>
      <c r="C19" s="10" t="s">
        <v>298</v>
      </c>
      <c r="D19" s="10"/>
      <c r="E19" s="10"/>
    </row>
    <row r="20" spans="1:5" x14ac:dyDescent="0.25">
      <c r="A20" s="10" t="s">
        <v>273</v>
      </c>
      <c r="B20" s="10" t="s">
        <v>225</v>
      </c>
      <c r="C20" s="10" t="s">
        <v>298</v>
      </c>
      <c r="D20" s="10"/>
      <c r="E20" s="10"/>
    </row>
    <row r="21" spans="1:5" x14ac:dyDescent="0.25">
      <c r="A21" s="10" t="s">
        <v>226</v>
      </c>
      <c r="B21" s="10" t="s">
        <v>227</v>
      </c>
      <c r="C21" s="10" t="s">
        <v>299</v>
      </c>
      <c r="D21" s="10" t="s">
        <v>301</v>
      </c>
      <c r="E21" s="10"/>
    </row>
    <row r="22" spans="1:5" x14ac:dyDescent="0.25">
      <c r="A22" s="10" t="s">
        <v>274</v>
      </c>
      <c r="B22" s="10" t="s">
        <v>229</v>
      </c>
      <c r="C22" s="10" t="s">
        <v>298</v>
      </c>
      <c r="D22" s="10"/>
      <c r="E22" s="10"/>
    </row>
    <row r="23" spans="1:5" x14ac:dyDescent="0.25">
      <c r="A23" s="10" t="s">
        <v>275</v>
      </c>
      <c r="B23" s="10" t="s">
        <v>231</v>
      </c>
      <c r="C23" s="10" t="s">
        <v>298</v>
      </c>
      <c r="D23" s="10"/>
      <c r="E23" s="10"/>
    </row>
    <row r="24" spans="1:5" x14ac:dyDescent="0.25">
      <c r="A24" s="10" t="s">
        <v>276</v>
      </c>
      <c r="B24" s="10" t="s">
        <v>233</v>
      </c>
      <c r="C24" s="10" t="s">
        <v>298</v>
      </c>
      <c r="D24" s="10"/>
      <c r="E24" s="10"/>
    </row>
    <row r="25" spans="1:5" x14ac:dyDescent="0.25">
      <c r="A25" s="10" t="s">
        <v>277</v>
      </c>
      <c r="B25" s="10" t="s">
        <v>235</v>
      </c>
      <c r="C25" s="10" t="s">
        <v>298</v>
      </c>
      <c r="D25" s="10"/>
      <c r="E25" s="10"/>
    </row>
    <row r="26" spans="1:5" x14ac:dyDescent="0.25">
      <c r="A26" s="10" t="s">
        <v>278</v>
      </c>
      <c r="B26" s="10" t="s">
        <v>279</v>
      </c>
      <c r="C26" s="10" t="s">
        <v>298</v>
      </c>
      <c r="D26" s="10"/>
      <c r="E26" s="10"/>
    </row>
    <row r="27" spans="1:5" x14ac:dyDescent="0.25">
      <c r="A27" s="10" t="s">
        <v>280</v>
      </c>
      <c r="B27" s="10" t="s">
        <v>281</v>
      </c>
      <c r="C27" s="10" t="s">
        <v>298</v>
      </c>
      <c r="D27" s="10"/>
      <c r="E27" s="10"/>
    </row>
    <row r="28" spans="1:5" x14ac:dyDescent="0.25">
      <c r="A28" s="10" t="s">
        <v>282</v>
      </c>
      <c r="B28" s="10" t="s">
        <v>237</v>
      </c>
      <c r="C28" s="10" t="s">
        <v>298</v>
      </c>
      <c r="D28" s="10"/>
      <c r="E28" s="10"/>
    </row>
    <row r="29" spans="1:5" x14ac:dyDescent="0.25">
      <c r="A29" s="10" t="s">
        <v>238</v>
      </c>
      <c r="B29" s="10" t="s">
        <v>199</v>
      </c>
      <c r="C29" s="10" t="s">
        <v>299</v>
      </c>
      <c r="D29" s="10" t="s">
        <v>197</v>
      </c>
      <c r="E29" s="10">
        <v>30485</v>
      </c>
    </row>
    <row r="30" spans="1:5" x14ac:dyDescent="0.25">
      <c r="A30" s="10" t="s">
        <v>239</v>
      </c>
      <c r="B30" s="10" t="s">
        <v>192</v>
      </c>
      <c r="C30" s="10" t="s">
        <v>298</v>
      </c>
      <c r="D30" s="10"/>
      <c r="E30" s="10"/>
    </row>
    <row r="31" spans="1:5" x14ac:dyDescent="0.25">
      <c r="A31" s="10" t="s">
        <v>283</v>
      </c>
      <c r="B31" s="10" t="s">
        <v>227</v>
      </c>
      <c r="C31" s="10" t="s">
        <v>298</v>
      </c>
      <c r="D31" s="10"/>
      <c r="E31" s="10"/>
    </row>
    <row r="32" spans="1:5" x14ac:dyDescent="0.25">
      <c r="A32" s="10" t="s">
        <v>241</v>
      </c>
      <c r="B32" s="10" t="s">
        <v>3</v>
      </c>
      <c r="C32" s="10" t="s">
        <v>298</v>
      </c>
      <c r="D32" s="10"/>
      <c r="E32" s="10"/>
    </row>
    <row r="33" spans="1:5" x14ac:dyDescent="0.25">
      <c r="A33" s="10" t="s">
        <v>248</v>
      </c>
      <c r="B33" s="10" t="s">
        <v>249</v>
      </c>
      <c r="C33" s="10" t="s">
        <v>298</v>
      </c>
      <c r="D33" s="10"/>
      <c r="E33" s="10"/>
    </row>
    <row r="34" spans="1:5" x14ac:dyDescent="0.25">
      <c r="A34" s="10" t="s">
        <v>250</v>
      </c>
      <c r="B34" s="10" t="s">
        <v>251</v>
      </c>
      <c r="C34" s="10" t="s">
        <v>299</v>
      </c>
      <c r="D34" s="10" t="s">
        <v>253</v>
      </c>
      <c r="E34" s="11">
        <v>30467</v>
      </c>
    </row>
    <row r="35" spans="1:5" x14ac:dyDescent="0.25">
      <c r="A35" s="10" t="s">
        <v>252</v>
      </c>
      <c r="B35" s="10" t="s">
        <v>253</v>
      </c>
      <c r="C35" s="10" t="s">
        <v>298</v>
      </c>
      <c r="D35" s="10"/>
      <c r="E35" s="10"/>
    </row>
    <row r="36" spans="1:5" x14ac:dyDescent="0.25">
      <c r="A36" s="10" t="s">
        <v>254</v>
      </c>
      <c r="B36" s="10" t="s">
        <v>255</v>
      </c>
      <c r="C36" s="10" t="s">
        <v>298</v>
      </c>
      <c r="D36" s="10"/>
      <c r="E36" s="10"/>
    </row>
    <row r="37" spans="1:5" x14ac:dyDescent="0.25">
      <c r="A37" s="10" t="s">
        <v>284</v>
      </c>
      <c r="B37" s="10" t="s">
        <v>257</v>
      </c>
      <c r="C37" s="10" t="s">
        <v>298</v>
      </c>
      <c r="D37" s="10"/>
      <c r="E37" s="10"/>
    </row>
    <row r="38" spans="1:5" x14ac:dyDescent="0.25">
      <c r="A38" s="10" t="s">
        <v>258</v>
      </c>
      <c r="B38" s="10" t="s">
        <v>259</v>
      </c>
      <c r="C38" s="10" t="s">
        <v>298</v>
      </c>
      <c r="D38" s="10"/>
      <c r="E38" s="10"/>
    </row>
    <row r="39" spans="1:5" x14ac:dyDescent="0.25">
      <c r="A39" s="10" t="s">
        <v>260</v>
      </c>
      <c r="B39" s="10" t="s">
        <v>261</v>
      </c>
      <c r="C39" s="10" t="s">
        <v>298</v>
      </c>
      <c r="D39" s="10"/>
      <c r="E39" s="10"/>
    </row>
    <row r="40" spans="1:5" x14ac:dyDescent="0.25">
      <c r="A40" s="10" t="s">
        <v>262</v>
      </c>
      <c r="B40" s="10" t="s">
        <v>263</v>
      </c>
      <c r="C40" s="10" t="s">
        <v>298</v>
      </c>
      <c r="D40" s="10"/>
      <c r="E4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workbookViewId="0"/>
  </sheetViews>
  <sheetFormatPr defaultRowHeight="15" x14ac:dyDescent="0.25"/>
  <cols>
    <col min="1" max="1" width="61.28515625" customWidth="1"/>
    <col min="2" max="2" width="57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295</v>
      </c>
      <c r="D1" s="2" t="s">
        <v>296</v>
      </c>
      <c r="E1" s="3" t="s">
        <v>297</v>
      </c>
      <c r="G1" s="4" t="s">
        <v>298</v>
      </c>
      <c r="H1" s="5">
        <f>COUNTIF(C:C,G1)</f>
        <v>42</v>
      </c>
    </row>
    <row r="2" spans="1:8" x14ac:dyDescent="0.25">
      <c r="A2" s="10" t="s">
        <v>178</v>
      </c>
      <c r="B2" s="10" t="s">
        <v>3</v>
      </c>
      <c r="C2" s="10" t="s">
        <v>298</v>
      </c>
      <c r="D2" s="10"/>
      <c r="E2" s="10"/>
      <c r="G2" s="6" t="s">
        <v>299</v>
      </c>
      <c r="H2" s="7">
        <f>COUNTIF(C:C,G2)</f>
        <v>8</v>
      </c>
    </row>
    <row r="3" spans="1:8" ht="15.75" thickBot="1" x14ac:dyDescent="0.3">
      <c r="A3" s="10" t="s">
        <v>179</v>
      </c>
      <c r="B3" s="10" t="s">
        <v>180</v>
      </c>
      <c r="C3" s="10" t="s">
        <v>298</v>
      </c>
      <c r="D3" s="10"/>
      <c r="E3" s="10"/>
      <c r="G3" s="8" t="s">
        <v>300</v>
      </c>
      <c r="H3" s="9">
        <f>H1/SUM(H1:H2)</f>
        <v>0.84</v>
      </c>
    </row>
    <row r="4" spans="1:8" x14ac:dyDescent="0.25">
      <c r="A4" s="10" t="s">
        <v>55</v>
      </c>
      <c r="B4" s="10" t="s">
        <v>180</v>
      </c>
      <c r="C4" s="10" t="s">
        <v>298</v>
      </c>
      <c r="D4" s="10"/>
      <c r="E4" s="10"/>
    </row>
    <row r="5" spans="1:8" x14ac:dyDescent="0.25">
      <c r="A5" s="10" t="s">
        <v>181</v>
      </c>
      <c r="B5" s="10" t="s">
        <v>3</v>
      </c>
      <c r="C5" s="10" t="s">
        <v>298</v>
      </c>
      <c r="D5" s="10"/>
      <c r="E5" s="10"/>
    </row>
    <row r="6" spans="1:8" x14ac:dyDescent="0.25">
      <c r="A6" s="10" t="s">
        <v>182</v>
      </c>
      <c r="B6" s="10" t="s">
        <v>183</v>
      </c>
      <c r="C6" s="10" t="s">
        <v>298</v>
      </c>
      <c r="D6" s="10"/>
      <c r="E6" s="10"/>
    </row>
    <row r="7" spans="1:8" x14ac:dyDescent="0.25">
      <c r="A7" s="10" t="s">
        <v>184</v>
      </c>
      <c r="B7" s="10" t="s">
        <v>3</v>
      </c>
      <c r="C7" s="10" t="s">
        <v>299</v>
      </c>
      <c r="D7" s="10" t="s">
        <v>201</v>
      </c>
      <c r="E7" s="10">
        <v>17542</v>
      </c>
    </row>
    <row r="8" spans="1:8" x14ac:dyDescent="0.25">
      <c r="A8" s="10" t="s">
        <v>185</v>
      </c>
      <c r="B8" s="10" t="s">
        <v>186</v>
      </c>
      <c r="C8" s="10" t="s">
        <v>299</v>
      </c>
      <c r="D8" s="10" t="s">
        <v>317</v>
      </c>
      <c r="E8" s="10">
        <v>30420</v>
      </c>
    </row>
    <row r="9" spans="1:8" x14ac:dyDescent="0.25">
      <c r="A9" s="10" t="s">
        <v>187</v>
      </c>
      <c r="B9" s="10" t="s">
        <v>188</v>
      </c>
      <c r="C9" s="10" t="s">
        <v>298</v>
      </c>
      <c r="D9" s="10"/>
      <c r="E9" s="10"/>
    </row>
    <row r="10" spans="1:8" x14ac:dyDescent="0.25">
      <c r="A10" s="10" t="s">
        <v>189</v>
      </c>
      <c r="B10" s="10" t="s">
        <v>190</v>
      </c>
      <c r="C10" s="10" t="s">
        <v>298</v>
      </c>
      <c r="D10" s="10"/>
      <c r="E10" s="10"/>
    </row>
    <row r="11" spans="1:8" x14ac:dyDescent="0.25">
      <c r="A11" s="10" t="s">
        <v>191</v>
      </c>
      <c r="B11" s="10" t="s">
        <v>192</v>
      </c>
      <c r="C11" s="10" t="s">
        <v>298</v>
      </c>
      <c r="D11" s="10"/>
      <c r="E11" s="10"/>
    </row>
    <row r="12" spans="1:8" x14ac:dyDescent="0.25">
      <c r="A12" s="10" t="s">
        <v>193</v>
      </c>
      <c r="B12" s="10" t="s">
        <v>194</v>
      </c>
      <c r="C12" s="10" t="s">
        <v>298</v>
      </c>
      <c r="D12" s="10"/>
      <c r="E12" s="10"/>
    </row>
    <row r="13" spans="1:8" x14ac:dyDescent="0.25">
      <c r="A13" s="10" t="s">
        <v>19</v>
      </c>
      <c r="B13" s="10" t="s">
        <v>195</v>
      </c>
      <c r="C13" s="10" t="s">
        <v>298</v>
      </c>
      <c r="D13" s="10"/>
      <c r="E13" s="10"/>
    </row>
    <row r="14" spans="1:8" x14ac:dyDescent="0.25">
      <c r="A14" s="10" t="s">
        <v>196</v>
      </c>
      <c r="B14" s="10" t="s">
        <v>197</v>
      </c>
      <c r="C14" s="10" t="s">
        <v>299</v>
      </c>
      <c r="D14" s="10" t="s">
        <v>199</v>
      </c>
      <c r="E14" s="10">
        <v>30481</v>
      </c>
    </row>
    <row r="15" spans="1:8" x14ac:dyDescent="0.25">
      <c r="A15" s="10" t="s">
        <v>198</v>
      </c>
      <c r="B15" s="10" t="s">
        <v>199</v>
      </c>
      <c r="C15" s="10" t="s">
        <v>299</v>
      </c>
      <c r="D15" s="10" t="s">
        <v>199</v>
      </c>
      <c r="E15" s="10">
        <v>30481</v>
      </c>
    </row>
    <row r="16" spans="1:8" x14ac:dyDescent="0.25">
      <c r="A16" s="10" t="s">
        <v>200</v>
      </c>
      <c r="B16" s="10" t="s">
        <v>201</v>
      </c>
      <c r="C16" s="10" t="s">
        <v>298</v>
      </c>
      <c r="D16" s="10"/>
      <c r="E16" s="10"/>
    </row>
    <row r="17" spans="1:5" x14ac:dyDescent="0.25">
      <c r="A17" s="10" t="s">
        <v>202</v>
      </c>
      <c r="B17" s="10" t="s">
        <v>203</v>
      </c>
      <c r="C17" s="10" t="s">
        <v>299</v>
      </c>
      <c r="D17" s="10" t="s">
        <v>201</v>
      </c>
      <c r="E17" s="10">
        <v>17542</v>
      </c>
    </row>
    <row r="18" spans="1:5" x14ac:dyDescent="0.25">
      <c r="A18" s="10" t="s">
        <v>204</v>
      </c>
      <c r="B18" s="10" t="s">
        <v>205</v>
      </c>
      <c r="C18" s="10" t="s">
        <v>298</v>
      </c>
      <c r="D18" s="10"/>
      <c r="E18" s="10"/>
    </row>
    <row r="19" spans="1:5" x14ac:dyDescent="0.25">
      <c r="A19" s="10" t="s">
        <v>206</v>
      </c>
      <c r="B19" s="10" t="s">
        <v>203</v>
      </c>
      <c r="C19" s="10" t="s">
        <v>298</v>
      </c>
      <c r="D19" s="10"/>
      <c r="E19" s="10"/>
    </row>
    <row r="20" spans="1:5" x14ac:dyDescent="0.25">
      <c r="A20" s="10" t="s">
        <v>207</v>
      </c>
      <c r="B20" s="10" t="s">
        <v>208</v>
      </c>
      <c r="C20" s="10" t="s">
        <v>298</v>
      </c>
      <c r="D20" s="10"/>
      <c r="E20" s="10"/>
    </row>
    <row r="21" spans="1:5" x14ac:dyDescent="0.25">
      <c r="A21" s="10" t="s">
        <v>209</v>
      </c>
      <c r="B21" s="10" t="s">
        <v>210</v>
      </c>
      <c r="C21" s="10" t="s">
        <v>298</v>
      </c>
      <c r="D21" s="10"/>
      <c r="E21" s="10"/>
    </row>
    <row r="22" spans="1:5" x14ac:dyDescent="0.25">
      <c r="A22" s="10" t="s">
        <v>211</v>
      </c>
      <c r="B22" s="10" t="s">
        <v>3</v>
      </c>
      <c r="C22" s="10" t="s">
        <v>298</v>
      </c>
      <c r="D22" s="10"/>
      <c r="E22" s="10"/>
    </row>
    <row r="23" spans="1:5" x14ac:dyDescent="0.25">
      <c r="A23" s="10" t="s">
        <v>212</v>
      </c>
      <c r="B23" s="10" t="s">
        <v>127</v>
      </c>
      <c r="C23" s="10" t="s">
        <v>298</v>
      </c>
      <c r="D23" s="10"/>
      <c r="E23" s="10"/>
    </row>
    <row r="24" spans="1:5" x14ac:dyDescent="0.25">
      <c r="A24" s="10" t="s">
        <v>213</v>
      </c>
      <c r="B24" s="10" t="s">
        <v>214</v>
      </c>
      <c r="C24" s="10" t="s">
        <v>298</v>
      </c>
      <c r="D24" s="10"/>
      <c r="E24" s="10"/>
    </row>
    <row r="25" spans="1:5" x14ac:dyDescent="0.25">
      <c r="A25" s="10" t="s">
        <v>215</v>
      </c>
      <c r="B25" s="10" t="s">
        <v>216</v>
      </c>
      <c r="C25" s="10" t="s">
        <v>298</v>
      </c>
      <c r="D25" s="10"/>
      <c r="E25" s="10"/>
    </row>
    <row r="26" spans="1:5" x14ac:dyDescent="0.25">
      <c r="A26" s="10" t="s">
        <v>217</v>
      </c>
      <c r="B26" s="10" t="s">
        <v>218</v>
      </c>
      <c r="C26" s="10" t="s">
        <v>298</v>
      </c>
      <c r="D26" s="10"/>
      <c r="E26" s="10"/>
    </row>
    <row r="27" spans="1:5" x14ac:dyDescent="0.25">
      <c r="A27" s="10" t="s">
        <v>219</v>
      </c>
      <c r="B27" s="10" t="s">
        <v>156</v>
      </c>
      <c r="C27" s="10" t="s">
        <v>298</v>
      </c>
      <c r="D27" s="10"/>
      <c r="E27" s="10"/>
    </row>
    <row r="28" spans="1:5" x14ac:dyDescent="0.25">
      <c r="A28" s="10" t="s">
        <v>220</v>
      </c>
      <c r="B28" s="10" t="s">
        <v>221</v>
      </c>
      <c r="C28" s="10" t="s">
        <v>298</v>
      </c>
      <c r="D28" s="10"/>
      <c r="E28" s="10"/>
    </row>
    <row r="29" spans="1:5" x14ac:dyDescent="0.25">
      <c r="A29" s="10" t="s">
        <v>222</v>
      </c>
      <c r="B29" s="10" t="s">
        <v>223</v>
      </c>
      <c r="C29" s="10" t="s">
        <v>298</v>
      </c>
      <c r="D29" s="10"/>
      <c r="E29" s="10"/>
    </row>
    <row r="30" spans="1:5" x14ac:dyDescent="0.25">
      <c r="A30" s="10" t="s">
        <v>224</v>
      </c>
      <c r="B30" s="10" t="s">
        <v>225</v>
      </c>
      <c r="C30" s="10" t="s">
        <v>298</v>
      </c>
      <c r="D30" s="10"/>
      <c r="E30" s="10"/>
    </row>
    <row r="31" spans="1:5" x14ac:dyDescent="0.25">
      <c r="A31" s="10" t="s">
        <v>226</v>
      </c>
      <c r="B31" s="10" t="s">
        <v>227</v>
      </c>
      <c r="C31" s="10" t="s">
        <v>299</v>
      </c>
      <c r="D31" s="10" t="s">
        <v>301</v>
      </c>
      <c r="E31" s="10"/>
    </row>
    <row r="32" spans="1:5" x14ac:dyDescent="0.25">
      <c r="A32" s="10" t="s">
        <v>228</v>
      </c>
      <c r="B32" s="10" t="s">
        <v>229</v>
      </c>
      <c r="C32" s="10" t="s">
        <v>298</v>
      </c>
      <c r="D32" s="10"/>
      <c r="E32" s="10"/>
    </row>
    <row r="33" spans="1:5" x14ac:dyDescent="0.25">
      <c r="A33" s="10" t="s">
        <v>230</v>
      </c>
      <c r="B33" s="10" t="s">
        <v>231</v>
      </c>
      <c r="C33" s="10" t="s">
        <v>298</v>
      </c>
      <c r="D33" s="10"/>
      <c r="E33" s="10"/>
    </row>
    <row r="34" spans="1:5" x14ac:dyDescent="0.25">
      <c r="A34" s="10" t="s">
        <v>232</v>
      </c>
      <c r="B34" s="10" t="s">
        <v>233</v>
      </c>
      <c r="C34" s="10" t="s">
        <v>298</v>
      </c>
      <c r="D34" s="10"/>
      <c r="E34" s="10"/>
    </row>
    <row r="35" spans="1:5" x14ac:dyDescent="0.25">
      <c r="A35" s="10" t="s">
        <v>234</v>
      </c>
      <c r="B35" s="10" t="s">
        <v>235</v>
      </c>
      <c r="C35" s="10" t="s">
        <v>298</v>
      </c>
      <c r="D35" s="10"/>
      <c r="E35" s="10"/>
    </row>
    <row r="36" spans="1:5" x14ac:dyDescent="0.25">
      <c r="A36" s="10" t="s">
        <v>236</v>
      </c>
      <c r="B36" s="10" t="s">
        <v>237</v>
      </c>
      <c r="C36" s="10" t="s">
        <v>298</v>
      </c>
      <c r="D36" s="10"/>
      <c r="E36" s="10"/>
    </row>
    <row r="37" spans="1:5" x14ac:dyDescent="0.25">
      <c r="A37" s="10" t="s">
        <v>238</v>
      </c>
      <c r="B37" s="10" t="s">
        <v>199</v>
      </c>
      <c r="C37" s="10" t="s">
        <v>299</v>
      </c>
      <c r="D37" s="10" t="s">
        <v>197</v>
      </c>
      <c r="E37" s="10">
        <v>30485</v>
      </c>
    </row>
    <row r="38" spans="1:5" x14ac:dyDescent="0.25">
      <c r="A38" s="10" t="s">
        <v>239</v>
      </c>
      <c r="B38" s="10" t="s">
        <v>192</v>
      </c>
      <c r="C38" s="10" t="s">
        <v>298</v>
      </c>
      <c r="D38" s="10"/>
      <c r="E38" s="10"/>
    </row>
    <row r="39" spans="1:5" x14ac:dyDescent="0.25">
      <c r="A39" s="10" t="s">
        <v>240</v>
      </c>
      <c r="B39" s="10" t="s">
        <v>227</v>
      </c>
      <c r="C39" s="10" t="s">
        <v>298</v>
      </c>
      <c r="D39" s="10"/>
      <c r="E39" s="10"/>
    </row>
    <row r="40" spans="1:5" x14ac:dyDescent="0.25">
      <c r="A40" s="10" t="s">
        <v>241</v>
      </c>
      <c r="B40" s="10" t="s">
        <v>3</v>
      </c>
      <c r="C40" s="10" t="s">
        <v>298</v>
      </c>
      <c r="D40" s="10"/>
      <c r="E40" s="10"/>
    </row>
    <row r="41" spans="1:5" x14ac:dyDescent="0.25">
      <c r="A41" s="10" t="s">
        <v>242</v>
      </c>
      <c r="B41" s="10" t="s">
        <v>243</v>
      </c>
      <c r="C41" s="10" t="s">
        <v>298</v>
      </c>
      <c r="D41" s="10"/>
      <c r="E41" s="10"/>
    </row>
    <row r="42" spans="1:5" x14ac:dyDescent="0.25">
      <c r="A42" s="10" t="s">
        <v>244</v>
      </c>
      <c r="B42" s="10" t="s">
        <v>245</v>
      </c>
      <c r="C42" s="10" t="s">
        <v>298</v>
      </c>
      <c r="D42" s="10"/>
      <c r="E42" s="10"/>
    </row>
    <row r="43" spans="1:5" x14ac:dyDescent="0.25">
      <c r="A43" s="10" t="s">
        <v>246</v>
      </c>
      <c r="B43" s="10" t="s">
        <v>247</v>
      </c>
      <c r="C43" s="10" t="s">
        <v>298</v>
      </c>
      <c r="D43" s="10"/>
      <c r="E43" s="10"/>
    </row>
    <row r="44" spans="1:5" x14ac:dyDescent="0.25">
      <c r="A44" s="10" t="s">
        <v>248</v>
      </c>
      <c r="B44" s="10" t="s">
        <v>249</v>
      </c>
      <c r="C44" s="10" t="s">
        <v>298</v>
      </c>
      <c r="D44" s="10"/>
      <c r="E44" s="10"/>
    </row>
    <row r="45" spans="1:5" x14ac:dyDescent="0.25">
      <c r="A45" s="10" t="s">
        <v>250</v>
      </c>
      <c r="B45" s="10" t="s">
        <v>251</v>
      </c>
      <c r="C45" s="10" t="s">
        <v>299</v>
      </c>
      <c r="D45" s="10" t="s">
        <v>253</v>
      </c>
      <c r="E45" s="11">
        <v>30467</v>
      </c>
    </row>
    <row r="46" spans="1:5" x14ac:dyDescent="0.25">
      <c r="A46" s="10" t="s">
        <v>252</v>
      </c>
      <c r="B46" s="10" t="s">
        <v>253</v>
      </c>
      <c r="C46" s="10" t="s">
        <v>298</v>
      </c>
      <c r="D46" s="10"/>
      <c r="E46" s="10"/>
    </row>
    <row r="47" spans="1:5" x14ac:dyDescent="0.25">
      <c r="A47" s="10" t="s">
        <v>254</v>
      </c>
      <c r="B47" s="10" t="s">
        <v>255</v>
      </c>
      <c r="C47" s="10" t="s">
        <v>298</v>
      </c>
      <c r="D47" s="10"/>
      <c r="E47" s="10"/>
    </row>
    <row r="48" spans="1:5" x14ac:dyDescent="0.25">
      <c r="A48" s="10" t="s">
        <v>256</v>
      </c>
      <c r="B48" s="10" t="s">
        <v>257</v>
      </c>
      <c r="C48" s="10" t="s">
        <v>298</v>
      </c>
      <c r="D48" s="10"/>
      <c r="E48" s="10"/>
    </row>
    <row r="49" spans="1:5" x14ac:dyDescent="0.25">
      <c r="A49" s="10" t="s">
        <v>258</v>
      </c>
      <c r="B49" s="10" t="s">
        <v>259</v>
      </c>
      <c r="C49" s="10" t="s">
        <v>298</v>
      </c>
      <c r="D49" s="10"/>
      <c r="E49" s="10"/>
    </row>
    <row r="50" spans="1:5" x14ac:dyDescent="0.25">
      <c r="A50" s="10" t="s">
        <v>260</v>
      </c>
      <c r="B50" s="10" t="s">
        <v>261</v>
      </c>
      <c r="C50" s="10" t="s">
        <v>298</v>
      </c>
      <c r="D50" s="10"/>
      <c r="E50" s="10"/>
    </row>
    <row r="51" spans="1:5" x14ac:dyDescent="0.25">
      <c r="A51" s="10" t="s">
        <v>262</v>
      </c>
      <c r="B51" s="10" t="s">
        <v>263</v>
      </c>
      <c r="C51" s="10" t="s">
        <v>298</v>
      </c>
      <c r="D51" s="10"/>
      <c r="E51" s="10"/>
    </row>
    <row r="52" spans="1:5" x14ac:dyDescent="0.25">
      <c r="A52" s="10" t="s">
        <v>264</v>
      </c>
      <c r="B52" s="10" t="s">
        <v>3</v>
      </c>
      <c r="C52" s="10"/>
      <c r="D52" s="10" t="s">
        <v>303</v>
      </c>
      <c r="E52" s="10"/>
    </row>
    <row r="53" spans="1:5" x14ac:dyDescent="0.25">
      <c r="A53" s="10" t="s">
        <v>179</v>
      </c>
      <c r="B53" s="10" t="s">
        <v>180</v>
      </c>
      <c r="C53" s="10"/>
      <c r="D53" s="10" t="s">
        <v>303</v>
      </c>
      <c r="E53" s="10"/>
    </row>
    <row r="54" spans="1:5" x14ac:dyDescent="0.25">
      <c r="A54" s="10" t="s">
        <v>55</v>
      </c>
      <c r="B54" s="10" t="s">
        <v>180</v>
      </c>
      <c r="C54" s="10"/>
      <c r="D54" s="10" t="s">
        <v>303</v>
      </c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Standalone Balance Sheet</vt:lpstr>
      <vt:lpstr>Consolidated Profit &amp; Loss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2026-03-27T16:22:58Z</dcterms:created>
  <dcterms:modified xsi:type="dcterms:W3CDTF">2026-04-06T11:17:45Z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2026-04-02T03:15:29Z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3ac8ea3b-93f2-46fb-a017-5a52d0981abe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