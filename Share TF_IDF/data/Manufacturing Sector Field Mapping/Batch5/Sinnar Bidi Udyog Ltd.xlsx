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2370D0FB-B5EC-4DC9-8CDF-F5A0A30377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6" l="1"/>
  <c r="C39" i="6"/>
  <c r="C38" i="6"/>
  <c r="C36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4" i="6"/>
  <c r="C3" i="6"/>
  <c r="C2" i="6"/>
  <c r="H2" i="3"/>
  <c r="H1" i="3"/>
  <c r="H3" i="3" s="1"/>
  <c r="H2" i="2"/>
  <c r="H1" i="2"/>
  <c r="H2" i="1"/>
  <c r="H1" i="1"/>
  <c r="H3" i="1" s="1"/>
  <c r="H2" i="6" l="1"/>
  <c r="H1" i="6"/>
  <c r="H1" i="5"/>
  <c r="H2" i="5"/>
  <c r="H3" i="5" s="1"/>
  <c r="H3" i="2"/>
  <c r="H2" i="4"/>
  <c r="H1" i="4"/>
  <c r="H3" i="6" l="1"/>
  <c r="H3" i="4"/>
</calcChain>
</file>

<file path=xl/sharedStrings.xml><?xml version="1.0" encoding="utf-8"?>
<sst xmlns="http://schemas.openxmlformats.org/spreadsheetml/2006/main" count="744" uniqueCount="215">
  <si>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</si>
  <si>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</si>
  <si>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</si>
  <si>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</si>
  <si>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</si>
  <si>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</si>
  <si>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</si>
  <si>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</si>
  <si>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</si>
  <si>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 consumed</t>
  </si>
  <si>
    <t>Cost of Materials Consumed</t>
  </si>
  <si>
    <t>Purchases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</si>
  <si>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</si>
  <si>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</si>
  <si>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</si>
  <si>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</si>
  <si>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</si>
  <si>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</si>
  <si>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</si>
  <si>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amortization expense</t>
  </si>
  <si>
    <t>Depreciation, Depletion and Amortisation Expense</t>
  </si>
  <si>
    <t>Other Expense</t>
  </si>
  <si>
    <t>Other Expenses</t>
  </si>
  <si>
    <t>Exchange rate difference</t>
  </si>
  <si>
    <t>Items that will be reclassified to Profit or Loss</t>
  </si>
  <si>
    <t>Total Expense</t>
  </si>
  <si>
    <t>Total Expenses</t>
  </si>
  <si>
    <t>Profit / Loss before tax</t>
  </si>
  <si>
    <t>Profit/(Loss) From Ordinary Activities before Tax</t>
  </si>
  <si>
    <t>Tax expense</t>
  </si>
  <si>
    <t>Current Tax</t>
  </si>
  <si>
    <t>Tax Expense</t>
  </si>
  <si>
    <t>Short / ( Excess ) provision of taxation for previous period</t>
  </si>
  <si>
    <t>Deferred Tax</t>
  </si>
  <si>
    <t>Total Tax Expenses</t>
  </si>
  <si>
    <t>Total Field</t>
  </si>
  <si>
    <t>Net Profit/ Loss for the period</t>
  </si>
  <si>
    <t>Net Profit/(Loss) for the Period</t>
  </si>
  <si>
    <t>Other Comprehensive Income ( After Tax )</t>
  </si>
  <si>
    <t>Other Comprehensive Income</t>
  </si>
  <si>
    <t>Total Comprehensive Income for the period comprising Net Profit / ( Loss ) for the period &amp; Other Comprehensive Income</t>
  </si>
  <si>
    <t>Total Comprehensive Gain (Loss) For the Year</t>
  </si>
  <si>
    <t>Paid - up equity share capital</t>
  </si>
  <si>
    <t>Paid-Up Equity Share Capital</t>
  </si>
  <si>
    <t>Reserve ( excluding Revaluation Reserves ) as per Audited Balance Sheet .</t>
  </si>
  <si>
    <t>Reserve excluding Revaluation Reserves (as per Balance Sheet of Previous Accounting Year)</t>
  </si>
  <si>
    <t>Earning Per Share</t>
  </si>
  <si>
    <t>Basic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</si>
  <si>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</si>
  <si>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</si>
  <si>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</si>
  <si>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</si>
  <si>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</si>
  <si>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</si>
  <si>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</si>
  <si>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Investment Property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</si>
  <si>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</si>
  <si>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</si>
  <si>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</si>
  <si>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</si>
  <si>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</si>
  <si>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</si>
  <si>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</si>
  <si>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</si>
  <si>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Others financial assets</t>
  </si>
  <si>
    <t>Other Current Financial Assets</t>
  </si>
  <si>
    <t>Deferred tax assets(Net )</t>
  </si>
  <si>
    <t>Deferred Tax Assets (Net)</t>
  </si>
  <si>
    <t>Total Non - current assets</t>
  </si>
  <si>
    <t>Total Non-Current Assets</t>
  </si>
  <si>
    <t>Current Assets</t>
  </si>
  <si>
    <t>Inventories</t>
  </si>
  <si>
    <t>Financial Assets</t>
  </si>
  <si>
    <t>Investment</t>
  </si>
  <si>
    <t>Trade receivables</t>
  </si>
  <si>
    <t>Trade Receivables</t>
  </si>
  <si>
    <t>Cash and cash equivalents</t>
  </si>
  <si>
    <t>Cash And Cash Equivalents</t>
  </si>
  <si>
    <t>Other financial assets</t>
  </si>
  <si>
    <t>Other Non-Current Financial Assets</t>
  </si>
  <si>
    <t>Current Tax Assets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</si>
  <si>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</si>
  <si>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</si>
  <si>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</si>
  <si>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</si>
  <si>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</si>
  <si>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</si>
  <si>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</si>
  <si>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</si>
  <si>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</si>
  <si>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</si>
  <si>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</si>
  <si>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</si>
  <si>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</si>
  <si>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</si>
  <si>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</si>
  <si>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</si>
  <si>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</si>
  <si>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</si>
  <si>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</si>
  <si>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Other financial liabilities</t>
  </si>
  <si>
    <t>Other Non Current Financial Liabilities</t>
  </si>
  <si>
    <t>Provisions</t>
  </si>
  <si>
    <t>Long-Term Provisions</t>
  </si>
  <si>
    <t>Deferred Tax Liabilities</t>
  </si>
  <si>
    <t>Deferred Tax Liability (Net)</t>
  </si>
  <si>
    <t>Total non - current liabilities</t>
  </si>
  <si>
    <t>Total Non-Current Liabilities</t>
  </si>
  <si>
    <t>Current liabilities</t>
  </si>
  <si>
    <t>Financial liabilities</t>
  </si>
  <si>
    <t>Trade payables</t>
  </si>
  <si>
    <t>Trade Payables</t>
  </si>
  <si>
    <t>Employee benefit obligation</t>
  </si>
  <si>
    <t>Employee  Retirement benefit obligations</t>
  </si>
  <si>
    <t>Other current liabilities</t>
  </si>
  <si>
    <t>Other liabilities</t>
  </si>
  <si>
    <t>Current tax liability ( net )</t>
  </si>
  <si>
    <t>Current Tax Liabilities (Net)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</si>
  <si>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</si>
  <si>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</si>
  <si>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</si>
  <si>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</si>
  <si>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</si>
  <si>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Extraordinary Items</t>
  </si>
  <si>
    <t>Net Profit Before Tax And Exceptional Item</t>
  </si>
  <si>
    <t>ADJUSTMENTS FOR :</t>
  </si>
  <si>
    <t>Depreciation</t>
  </si>
  <si>
    <t>Depreciation and Amortisation Expense</t>
  </si>
  <si>
    <t>(Gain) / Loss on Sales of Fixed Assets</t>
  </si>
  <si>
    <t>Loss On Sale Of Fixed Assets</t>
  </si>
  <si>
    <t>(Gain)/Loss On Sales of investments</t>
  </si>
  <si>
    <t>Profit On Sale Of Investments</t>
  </si>
  <si>
    <t>Exchange Rate Difference / Extraordinary Items</t>
  </si>
  <si>
    <t>Trade Payables And Others</t>
  </si>
  <si>
    <t>Interest Paid</t>
  </si>
  <si>
    <t>Interest Received</t>
  </si>
  <si>
    <t>Interest Income</t>
  </si>
  <si>
    <t>Dividend on Investments</t>
  </si>
  <si>
    <t>Dividend Received</t>
  </si>
  <si>
    <t>Investments Written Off</t>
  </si>
  <si>
    <t>Investment Written Off</t>
  </si>
  <si>
    <t>Operating Profit Before Working Capital Changes</t>
  </si>
  <si>
    <t>ADJUSTMENTS FOR MOVEMENT IN WORKING CAPITAL</t>
  </si>
  <si>
    <t>Trade Payable</t>
  </si>
  <si>
    <t>Employee Benefit Obigation</t>
  </si>
  <si>
    <t>Short - Term Provisions</t>
  </si>
  <si>
    <t>Other Current Liabilities</t>
  </si>
  <si>
    <t>Other Current and Non Current Liabilities</t>
  </si>
  <si>
    <t>Trade Receivable</t>
  </si>
  <si>
    <t>Trade And Other Receivables</t>
  </si>
  <si>
    <t>Other Current and Non Current Assets</t>
  </si>
  <si>
    <t>Other Financial Assets</t>
  </si>
  <si>
    <t>Adjustments for other financial assets, non-current</t>
  </si>
  <si>
    <t>Cash Generated from Operations</t>
  </si>
  <si>
    <t>Cash Generated From Operations</t>
  </si>
  <si>
    <t>Direct Taxes Refund / ( Paid ) Net</t>
  </si>
  <si>
    <t>Income Tax Paid</t>
  </si>
  <si>
    <t>Cash Flow Before Extra Ordinary Items</t>
  </si>
  <si>
    <t>Net Cash From Operating Activities Before EOI</t>
  </si>
  <si>
    <t>Net Cash from / ( used in )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</si>
  <si>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</si>
  <si>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</si>
  <si>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</si>
  <si>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</t>
  </si>
  <si>
    <t>Purchase Of Fixed Assets (Tangible / Intangible)</t>
  </si>
  <si>
    <t>Sale of Property, plant and equipment</t>
  </si>
  <si>
    <t>Sale Of Fixed Assets (Tangible / Intangible)</t>
  </si>
  <si>
    <t>Purchase of Investments</t>
  </si>
  <si>
    <t>Purchase Of Investments</t>
  </si>
  <si>
    <t>Gain on Sale of Investments</t>
  </si>
  <si>
    <t>Dividend Received on Investments</t>
  </si>
  <si>
    <t>Net Cash from / ( used in ) Investing Activities</t>
  </si>
  <si>
    <t>CASH FLOW FROM FINANCING ACTIVITIES :</t>
  </si>
  <si>
    <t>Net Cash from / ( used in ) Financing Activities</t>
  </si>
  <si>
    <t>Net Cash Flow From Financing Activities</t>
  </si>
  <si>
    <t>Net Cash Inflow/ ( Outflow )</t>
  </si>
  <si>
    <t>Net Increase in Cash and Cash Equivalents</t>
  </si>
  <si>
    <t>Cash and Cash Equivalents as at 01.04.2025 (Opening Balance )</t>
  </si>
  <si>
    <t>Cash and Cash Equivalents at the Beginning of the Year</t>
  </si>
  <si>
    <t>Cash and Cash Equivalents as at 30.09.2025 (Closing Balance )</t>
  </si>
  <si>
    <t>Cash and Cash Equivalents at the End of the Year</t>
  </si>
  <si>
    <t>Net Increase / ( Decrease ) in Cash Cash Equivalents</t>
  </si>
  <si>
    <t>Net increase (decrease) in cash and cash equivalents before effect of exchange rate changes</t>
  </si>
  <si>
    <t>Paid-up equity share capital (Face Value Rs. 5/- PerShare)</t>
  </si>
  <si>
    <t xml:space="preserve">Reserve ( excluding Revaluation Reserves ) as per Audited Balance Sheet </t>
  </si>
  <si>
    <t>Eamlng Per Share (of Rs.5/- each)</t>
  </si>
  <si>
    <t>Face Value</t>
  </si>
  <si>
    <t>Capital work -in - progress</t>
  </si>
  <si>
    <t>Other currents assets</t>
  </si>
  <si>
    <t>(Gain) /Loss On Sales of Investments</t>
  </si>
  <si>
    <t>Purchase of Property, plant and equipment</t>
  </si>
  <si>
    <t>Net Cash Inflow / ( Outflow )</t>
  </si>
  <si>
    <t>Net Increase / ( Decrease ) In Cash Cash Equivalents</t>
  </si>
  <si>
    <t>Status</t>
  </si>
  <si>
    <t>Revised Field Mapping</t>
  </si>
  <si>
    <t>Field id</t>
  </si>
  <si>
    <t>Correct</t>
  </si>
  <si>
    <t>Incorrect</t>
  </si>
  <si>
    <t>Accuracy %</t>
  </si>
  <si>
    <t>Exchange (Gain)/Loss</t>
  </si>
  <si>
    <t>Basic EPS</t>
  </si>
  <si>
    <t>Diluted EPS</t>
  </si>
  <si>
    <t xml:space="preserve"> </t>
  </si>
  <si>
    <t>Loans Non-Current</t>
  </si>
  <si>
    <t>Current Investments</t>
  </si>
  <si>
    <t>Short-Term Provisions</t>
  </si>
  <si>
    <t>Calculated Field</t>
  </si>
  <si>
    <t>Interest Expense</t>
  </si>
  <si>
    <t>Foreign Exchange Gain / Loss</t>
  </si>
  <si>
    <t>Label</t>
  </si>
  <si>
    <t>Sale Of Investments</t>
  </si>
  <si>
    <t>Ignore this Field</t>
  </si>
  <si>
    <t>ignore this field</t>
  </si>
  <si>
    <t>Ignore this field</t>
  </si>
  <si>
    <t>Profit On 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</si>
</sst>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/>
  </sheetViews>
  <sheetFormatPr defaultRowHeight="15" x14ac:dyDescent="0.25"/>
  <cols>
    <col min="1" max="1" width="49.140625" customWidth="1"/>
    <col min="2" max="2" width="58.140625" customWidth="1"/>
    <col min="3" max="3" width="10" customWidth="1"/>
    <col min="4" max="4" width="40.710937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193</v>
      </c>
      <c r="D1" s="2" t="s">
        <v>194</v>
      </c>
      <c r="E1" s="3" t="s">
        <v>195</v>
      </c>
      <c r="G1" s="4" t="s">
        <v>196</v>
      </c>
      <c r="H1" s="5">
        <f>COUNTIF(C:C,G1)</f>
        <v>23</v>
      </c>
    </row>
    <row r="2" spans="1:8" x14ac:dyDescent="0.25">
      <c r="A2" s="10" t="s">
        <v>2</v>
      </c>
      <c r="B2" s="10" t="s">
        <v>3</v>
      </c>
      <c r="C2" s="10" t="s">
        <v>196</v>
      </c>
      <c r="D2" s="10"/>
      <c r="E2" s="10"/>
      <c r="G2" s="6" t="s">
        <v>197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196</v>
      </c>
      <c r="D3" s="10"/>
      <c r="E3" s="10"/>
      <c r="G3" s="8" t="s">
        <v>198</v>
      </c>
      <c r="H3" s="9">
        <f>H1/SUM(H1:H2)</f>
        <v>0.88461538461538458</v>
      </c>
    </row>
    <row r="4" spans="1:8" x14ac:dyDescent="0.25">
      <c r="A4" s="10" t="s">
        <v>6</v>
      </c>
      <c r="B4" s="10" t="s">
        <v>6</v>
      </c>
      <c r="C4" s="10" t="s">
        <v>196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196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196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196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196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196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196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196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196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197</v>
      </c>
      <c r="D13" s="10" t="s">
        <v>199</v>
      </c>
      <c r="E13" s="11">
        <v>240</v>
      </c>
    </row>
    <row r="14" spans="1:8" x14ac:dyDescent="0.25">
      <c r="A14" s="10" t="s">
        <v>25</v>
      </c>
      <c r="B14" s="10" t="s">
        <v>26</v>
      </c>
      <c r="C14" s="10" t="s">
        <v>196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196</v>
      </c>
      <c r="D15" s="10"/>
      <c r="E15" s="10"/>
    </row>
    <row r="16" spans="1:8" x14ac:dyDescent="0.25">
      <c r="A16" s="10" t="s">
        <v>29</v>
      </c>
      <c r="B16" s="10" t="s">
        <v>8</v>
      </c>
      <c r="C16" s="10" t="s">
        <v>196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196</v>
      </c>
      <c r="D17" s="10"/>
      <c r="E17" s="10"/>
    </row>
    <row r="18" spans="1:5" x14ac:dyDescent="0.25">
      <c r="A18" s="10" t="s">
        <v>32</v>
      </c>
      <c r="B18" s="10" t="s">
        <v>31</v>
      </c>
      <c r="C18" s="10" t="s">
        <v>196</v>
      </c>
      <c r="D18" s="10"/>
      <c r="E18" s="10"/>
    </row>
    <row r="19" spans="1:5" x14ac:dyDescent="0.25">
      <c r="A19" s="10" t="s">
        <v>33</v>
      </c>
      <c r="B19" s="10" t="s">
        <v>33</v>
      </c>
      <c r="C19" s="10" t="s">
        <v>196</v>
      </c>
      <c r="D19" s="10"/>
      <c r="E19" s="10"/>
    </row>
    <row r="20" spans="1:5" x14ac:dyDescent="0.25">
      <c r="A20" s="10" t="s">
        <v>34</v>
      </c>
      <c r="B20" s="10" t="s">
        <v>35</v>
      </c>
      <c r="C20" s="10"/>
      <c r="D20" s="10" t="s">
        <v>212</v>
      </c>
      <c r="E20" s="10"/>
    </row>
    <row r="21" spans="1:5" x14ac:dyDescent="0.25">
      <c r="A21" s="10" t="s">
        <v>36</v>
      </c>
      <c r="B21" s="10" t="s">
        <v>37</v>
      </c>
      <c r="C21" s="10" t="s">
        <v>196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196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196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196</v>
      </c>
      <c r="D24" s="10"/>
      <c r="E24" s="10"/>
    </row>
    <row r="25" spans="1:5" x14ac:dyDescent="0.25">
      <c r="A25" s="10" t="s">
        <v>44</v>
      </c>
      <c r="B25" s="10" t="s">
        <v>45</v>
      </c>
      <c r="C25" s="10" t="s">
        <v>196</v>
      </c>
      <c r="D25" s="10"/>
      <c r="E25" s="10"/>
    </row>
    <row r="26" spans="1:5" x14ac:dyDescent="0.25">
      <c r="A26" s="10" t="s">
        <v>46</v>
      </c>
      <c r="B26" s="10" t="s">
        <v>8</v>
      </c>
      <c r="C26" s="10" t="s">
        <v>196</v>
      </c>
      <c r="D26" s="10"/>
      <c r="E26" s="10"/>
    </row>
    <row r="27" spans="1:5" x14ac:dyDescent="0.25">
      <c r="A27" s="10" t="s">
        <v>47</v>
      </c>
      <c r="B27" s="10" t="s">
        <v>8</v>
      </c>
      <c r="C27" s="10" t="s">
        <v>197</v>
      </c>
      <c r="D27" s="10" t="s">
        <v>200</v>
      </c>
      <c r="E27" s="11">
        <v>222</v>
      </c>
    </row>
    <row r="28" spans="1:5" x14ac:dyDescent="0.25">
      <c r="A28" s="10" t="s">
        <v>48</v>
      </c>
      <c r="B28" s="10" t="s">
        <v>8</v>
      </c>
      <c r="C28" s="10" t="s">
        <v>197</v>
      </c>
      <c r="D28" s="10" t="s">
        <v>201</v>
      </c>
      <c r="E28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/>
  </sheetViews>
  <sheetFormatPr defaultRowHeight="15" x14ac:dyDescent="0.25"/>
  <cols>
    <col min="1" max="1" width="52.5703125" customWidth="1"/>
    <col min="2" max="2" width="50.140625" customWidth="1"/>
    <col min="3" max="3" width="10.85546875" customWidth="1"/>
    <col min="4" max="4" width="39.14062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193</v>
      </c>
      <c r="D1" s="2" t="s">
        <v>194</v>
      </c>
      <c r="E1" s="3" t="s">
        <v>195</v>
      </c>
      <c r="G1" s="4" t="s">
        <v>196</v>
      </c>
      <c r="H1" s="5">
        <f>COUNTIF(C:C,G1)</f>
        <v>23</v>
      </c>
    </row>
    <row r="2" spans="1:8" x14ac:dyDescent="0.25">
      <c r="A2" s="10" t="s">
        <v>2</v>
      </c>
      <c r="B2" s="10" t="s">
        <v>3</v>
      </c>
      <c r="C2" s="10" t="s">
        <v>196</v>
      </c>
      <c r="D2" s="10"/>
      <c r="E2" s="10"/>
      <c r="G2" s="6" t="s">
        <v>197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5</v>
      </c>
      <c r="C3" s="10" t="s">
        <v>196</v>
      </c>
      <c r="D3" s="10"/>
      <c r="E3" s="10"/>
      <c r="G3" s="8" t="s">
        <v>198</v>
      </c>
      <c r="H3" s="9">
        <f>H1/SUM(H1:H2)</f>
        <v>0.88461538461538458</v>
      </c>
    </row>
    <row r="4" spans="1:8" x14ac:dyDescent="0.25">
      <c r="A4" s="10" t="s">
        <v>6</v>
      </c>
      <c r="B4" s="10" t="s">
        <v>6</v>
      </c>
      <c r="C4" s="10" t="s">
        <v>196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196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196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196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196</v>
      </c>
      <c r="D8" s="10" t="s">
        <v>202</v>
      </c>
      <c r="E8" s="10"/>
    </row>
    <row r="9" spans="1:8" x14ac:dyDescent="0.25">
      <c r="A9" s="10" t="s">
        <v>15</v>
      </c>
      <c r="B9" s="10" t="s">
        <v>16</v>
      </c>
      <c r="C9" s="10" t="s">
        <v>196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196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196</v>
      </c>
      <c r="D11" s="10" t="s">
        <v>202</v>
      </c>
      <c r="E11" s="10"/>
    </row>
    <row r="12" spans="1:8" x14ac:dyDescent="0.25">
      <c r="A12" s="10" t="s">
        <v>21</v>
      </c>
      <c r="B12" s="10" t="s">
        <v>22</v>
      </c>
      <c r="C12" s="10" t="s">
        <v>196</v>
      </c>
      <c r="D12" s="10"/>
      <c r="E12" s="10"/>
    </row>
    <row r="13" spans="1:8" x14ac:dyDescent="0.25">
      <c r="A13" s="10" t="s">
        <v>23</v>
      </c>
      <c r="B13" s="10" t="s">
        <v>24</v>
      </c>
      <c r="C13" s="10" t="s">
        <v>197</v>
      </c>
      <c r="D13" s="10" t="s">
        <v>199</v>
      </c>
      <c r="E13" s="11">
        <v>240</v>
      </c>
    </row>
    <row r="14" spans="1:8" x14ac:dyDescent="0.25">
      <c r="A14" s="10" t="s">
        <v>25</v>
      </c>
      <c r="B14" s="10" t="s">
        <v>26</v>
      </c>
      <c r="C14" s="10" t="s">
        <v>196</v>
      </c>
      <c r="D14" s="10"/>
      <c r="E14" s="10"/>
    </row>
    <row r="15" spans="1:8" x14ac:dyDescent="0.25">
      <c r="A15" s="10" t="s">
        <v>27</v>
      </c>
      <c r="B15" s="10" t="s">
        <v>28</v>
      </c>
      <c r="C15" s="10" t="s">
        <v>196</v>
      </c>
      <c r="D15" s="10"/>
      <c r="E15" s="10"/>
    </row>
    <row r="16" spans="1:8" x14ac:dyDescent="0.25">
      <c r="A16" s="10" t="s">
        <v>29</v>
      </c>
      <c r="B16" s="10" t="s">
        <v>8</v>
      </c>
      <c r="C16" s="10" t="s">
        <v>196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196</v>
      </c>
      <c r="D17" s="10"/>
      <c r="E17" s="10"/>
    </row>
    <row r="18" spans="1:5" x14ac:dyDescent="0.25">
      <c r="A18" s="10" t="s">
        <v>32</v>
      </c>
      <c r="B18" s="10" t="s">
        <v>31</v>
      </c>
      <c r="C18" s="10" t="s">
        <v>196</v>
      </c>
      <c r="D18" s="10"/>
      <c r="E18" s="10"/>
    </row>
    <row r="19" spans="1:5" x14ac:dyDescent="0.25">
      <c r="A19" s="10" t="s">
        <v>33</v>
      </c>
      <c r="B19" s="10" t="s">
        <v>33</v>
      </c>
      <c r="C19" s="10" t="s">
        <v>196</v>
      </c>
      <c r="D19" s="10"/>
      <c r="E19" s="10"/>
    </row>
    <row r="20" spans="1:5" x14ac:dyDescent="0.25">
      <c r="A20" s="10" t="s">
        <v>34</v>
      </c>
      <c r="B20" s="10" t="s">
        <v>35</v>
      </c>
      <c r="C20" s="10"/>
      <c r="D20" s="10" t="s">
        <v>213</v>
      </c>
      <c r="E20" s="10"/>
    </row>
    <row r="21" spans="1:5" x14ac:dyDescent="0.25">
      <c r="A21" s="10" t="s">
        <v>36</v>
      </c>
      <c r="B21" s="10" t="s">
        <v>37</v>
      </c>
      <c r="C21" s="10" t="s">
        <v>196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196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196</v>
      </c>
      <c r="D23" s="10"/>
      <c r="E23" s="10"/>
    </row>
    <row r="24" spans="1:5" x14ac:dyDescent="0.25">
      <c r="A24" s="10" t="s">
        <v>183</v>
      </c>
      <c r="B24" s="10" t="s">
        <v>43</v>
      </c>
      <c r="C24" s="10" t="s">
        <v>196</v>
      </c>
      <c r="D24" s="10"/>
      <c r="E24" s="10"/>
    </row>
    <row r="25" spans="1:5" x14ac:dyDescent="0.25">
      <c r="A25" s="10" t="s">
        <v>184</v>
      </c>
      <c r="B25" s="10" t="s">
        <v>45</v>
      </c>
      <c r="C25" s="10" t="s">
        <v>196</v>
      </c>
      <c r="D25" s="10"/>
      <c r="E25" s="10"/>
    </row>
    <row r="26" spans="1:5" x14ac:dyDescent="0.25">
      <c r="A26" s="10" t="s">
        <v>185</v>
      </c>
      <c r="B26" s="10" t="s">
        <v>186</v>
      </c>
      <c r="C26" s="10" t="s">
        <v>196</v>
      </c>
      <c r="D26" s="10"/>
      <c r="E26" s="10"/>
    </row>
    <row r="27" spans="1:5" x14ac:dyDescent="0.25">
      <c r="A27" s="10" t="s">
        <v>47</v>
      </c>
      <c r="B27" s="10" t="s">
        <v>8</v>
      </c>
      <c r="C27" s="10" t="s">
        <v>197</v>
      </c>
      <c r="D27" s="10" t="s">
        <v>200</v>
      </c>
      <c r="E27" s="11">
        <v>222</v>
      </c>
    </row>
    <row r="28" spans="1:5" x14ac:dyDescent="0.25">
      <c r="A28" s="10" t="s">
        <v>48</v>
      </c>
      <c r="B28" s="10" t="s">
        <v>8</v>
      </c>
      <c r="C28" s="10" t="s">
        <v>197</v>
      </c>
      <c r="D28" s="10" t="s">
        <v>201</v>
      </c>
      <c r="E28" s="11">
        <v>234</v>
      </c>
    </row>
    <row r="30" spans="1:5" x14ac:dyDescent="0.25">
      <c r="C30" t="s">
        <v>202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45.42578125" customWidth="1"/>
    <col min="2" max="2" width="55.7109375" customWidth="1"/>
    <col min="3" max="3" width="11.42578125" customWidth="1"/>
    <col min="4" max="4" width="46" customWidth="1"/>
    <col min="5" max="5" width="11.85546875" customWidth="1"/>
  </cols>
  <sheetData>
    <row r="1" spans="1:8" x14ac:dyDescent="0.25">
      <c r="A1" s="1" t="s">
        <v>0</v>
      </c>
      <c r="B1" s="1" t="s">
        <v>1</v>
      </c>
      <c r="C1" s="2" t="s">
        <v>193</v>
      </c>
      <c r="D1" s="2" t="s">
        <v>194</v>
      </c>
      <c r="E1" s="3" t="s">
        <v>195</v>
      </c>
      <c r="G1" s="4" t="s">
        <v>196</v>
      </c>
      <c r="H1" s="5">
        <f>COUNTIF(C:C,G1)</f>
        <v>42</v>
      </c>
    </row>
    <row r="2" spans="1:8" x14ac:dyDescent="0.25">
      <c r="A2" s="10" t="s">
        <v>49</v>
      </c>
      <c r="B2" s="10" t="s">
        <v>8</v>
      </c>
      <c r="C2" s="10" t="s">
        <v>196</v>
      </c>
      <c r="D2" s="10"/>
      <c r="E2" s="10"/>
      <c r="G2" s="6" t="s">
        <v>197</v>
      </c>
      <c r="H2" s="7">
        <f>COUNTIF(C:C,G2)</f>
        <v>5</v>
      </c>
    </row>
    <row r="3" spans="1:8" ht="15.75" thickBot="1" x14ac:dyDescent="0.3">
      <c r="A3" s="10" t="s">
        <v>50</v>
      </c>
      <c r="B3" s="10" t="s">
        <v>51</v>
      </c>
      <c r="C3" s="10" t="s">
        <v>196</v>
      </c>
      <c r="D3" s="10"/>
      <c r="E3" s="10"/>
      <c r="G3" s="8" t="s">
        <v>198</v>
      </c>
      <c r="H3" s="9">
        <f>H1/SUM(H1:H2)</f>
        <v>0.8936170212765957</v>
      </c>
    </row>
    <row r="4" spans="1:8" x14ac:dyDescent="0.25">
      <c r="A4" s="10" t="s">
        <v>52</v>
      </c>
      <c r="B4" s="10" t="s">
        <v>53</v>
      </c>
      <c r="C4" s="10" t="s">
        <v>196</v>
      </c>
      <c r="D4" s="10"/>
      <c r="E4" s="10"/>
    </row>
    <row r="5" spans="1:8" x14ac:dyDescent="0.25">
      <c r="A5" s="10" t="s">
        <v>54</v>
      </c>
      <c r="B5" s="10" t="s">
        <v>55</v>
      </c>
      <c r="C5" s="10" t="s">
        <v>196</v>
      </c>
      <c r="D5" s="10"/>
      <c r="E5" s="10"/>
    </row>
    <row r="6" spans="1:8" x14ac:dyDescent="0.25">
      <c r="A6" s="10" t="s">
        <v>56</v>
      </c>
      <c r="B6" s="10" t="s">
        <v>57</v>
      </c>
      <c r="C6" s="10" t="s">
        <v>196</v>
      </c>
      <c r="D6" s="10"/>
      <c r="E6" s="10"/>
    </row>
    <row r="7" spans="1:8" x14ac:dyDescent="0.25">
      <c r="A7" s="10" t="s">
        <v>58</v>
      </c>
      <c r="B7" s="10" t="s">
        <v>58</v>
      </c>
      <c r="C7" s="10" t="s">
        <v>196</v>
      </c>
      <c r="D7" s="10"/>
      <c r="E7" s="10"/>
    </row>
    <row r="8" spans="1:8" x14ac:dyDescent="0.25">
      <c r="A8" s="10" t="s">
        <v>59</v>
      </c>
      <c r="B8" s="10" t="s">
        <v>8</v>
      </c>
      <c r="C8" s="10" t="s">
        <v>196</v>
      </c>
      <c r="D8" s="10"/>
      <c r="E8" s="10"/>
    </row>
    <row r="9" spans="1:8" x14ac:dyDescent="0.25">
      <c r="A9" s="10" t="s">
        <v>60</v>
      </c>
      <c r="B9" s="10" t="s">
        <v>61</v>
      </c>
      <c r="C9" s="10" t="s">
        <v>196</v>
      </c>
      <c r="D9" s="10"/>
      <c r="E9" s="10"/>
    </row>
    <row r="10" spans="1:8" x14ac:dyDescent="0.25">
      <c r="A10" s="10" t="s">
        <v>62</v>
      </c>
      <c r="B10" s="10" t="s">
        <v>63</v>
      </c>
      <c r="C10" s="10" t="s">
        <v>197</v>
      </c>
      <c r="D10" s="10" t="s">
        <v>203</v>
      </c>
      <c r="E10" s="11">
        <v>20217</v>
      </c>
    </row>
    <row r="11" spans="1:8" x14ac:dyDescent="0.25">
      <c r="A11" s="10" t="s">
        <v>64</v>
      </c>
      <c r="B11" s="10" t="s">
        <v>65</v>
      </c>
      <c r="C11" s="10" t="s">
        <v>197</v>
      </c>
      <c r="D11" s="10" t="s">
        <v>79</v>
      </c>
      <c r="E11" s="11">
        <v>20216</v>
      </c>
    </row>
    <row r="12" spans="1:8" x14ac:dyDescent="0.25">
      <c r="A12" s="10" t="s">
        <v>66</v>
      </c>
      <c r="B12" s="10" t="s">
        <v>67</v>
      </c>
      <c r="C12" s="10" t="s">
        <v>196</v>
      </c>
      <c r="D12" s="10"/>
      <c r="E12" s="10"/>
    </row>
    <row r="13" spans="1:8" x14ac:dyDescent="0.25">
      <c r="A13" s="10" t="s">
        <v>68</v>
      </c>
      <c r="B13" s="10" t="s">
        <v>69</v>
      </c>
      <c r="C13" s="10" t="s">
        <v>196</v>
      </c>
      <c r="D13" s="10"/>
      <c r="E13" s="10"/>
    </row>
    <row r="14" spans="1:8" x14ac:dyDescent="0.25">
      <c r="A14" s="10" t="s">
        <v>70</v>
      </c>
      <c r="B14" s="10" t="s">
        <v>8</v>
      </c>
      <c r="C14" s="10" t="s">
        <v>196</v>
      </c>
      <c r="D14" s="10"/>
      <c r="E14" s="10"/>
    </row>
    <row r="15" spans="1:8" x14ac:dyDescent="0.25">
      <c r="A15" s="10" t="s">
        <v>71</v>
      </c>
      <c r="B15" s="10" t="s">
        <v>71</v>
      </c>
      <c r="C15" s="10" t="s">
        <v>196</v>
      </c>
      <c r="D15" s="10"/>
      <c r="E15" s="10"/>
    </row>
    <row r="16" spans="1:8" x14ac:dyDescent="0.25">
      <c r="A16" s="10" t="s">
        <v>72</v>
      </c>
      <c r="B16" s="10" t="s">
        <v>8</v>
      </c>
      <c r="C16" s="10" t="s">
        <v>196</v>
      </c>
      <c r="D16" s="10"/>
      <c r="E16" s="10"/>
    </row>
    <row r="17" spans="1:5" x14ac:dyDescent="0.25">
      <c r="A17" s="10" t="s">
        <v>73</v>
      </c>
      <c r="B17" s="10" t="s">
        <v>61</v>
      </c>
      <c r="C17" s="10" t="s">
        <v>197</v>
      </c>
      <c r="D17" s="10" t="s">
        <v>204</v>
      </c>
      <c r="E17" s="11">
        <v>13724</v>
      </c>
    </row>
    <row r="18" spans="1:5" x14ac:dyDescent="0.25">
      <c r="A18" s="10" t="s">
        <v>74</v>
      </c>
      <c r="B18" s="10" t="s">
        <v>75</v>
      </c>
      <c r="C18" s="10" t="s">
        <v>196</v>
      </c>
      <c r="D18" s="10" t="s">
        <v>75</v>
      </c>
      <c r="E18" s="11">
        <v>13780</v>
      </c>
    </row>
    <row r="19" spans="1:5" x14ac:dyDescent="0.25">
      <c r="A19" s="10" t="s">
        <v>76</v>
      </c>
      <c r="B19" s="10" t="s">
        <v>77</v>
      </c>
      <c r="C19" s="10" t="s">
        <v>196</v>
      </c>
      <c r="D19" s="10"/>
      <c r="E19" s="10"/>
    </row>
    <row r="20" spans="1:5" x14ac:dyDescent="0.25">
      <c r="A20" s="10" t="s">
        <v>62</v>
      </c>
      <c r="B20" s="10" t="s">
        <v>63</v>
      </c>
      <c r="C20" s="10" t="s">
        <v>196</v>
      </c>
      <c r="D20" s="10"/>
      <c r="E20" s="10"/>
    </row>
    <row r="21" spans="1:5" x14ac:dyDescent="0.25">
      <c r="A21" s="10" t="s">
        <v>78</v>
      </c>
      <c r="B21" s="10" t="s">
        <v>79</v>
      </c>
      <c r="C21" s="10" t="s">
        <v>197</v>
      </c>
      <c r="D21" s="10" t="s">
        <v>65</v>
      </c>
      <c r="E21" s="11">
        <v>20231</v>
      </c>
    </row>
    <row r="22" spans="1:5" x14ac:dyDescent="0.25">
      <c r="A22" s="10" t="s">
        <v>80</v>
      </c>
      <c r="B22" s="10" t="s">
        <v>81</v>
      </c>
      <c r="C22" s="10" t="s">
        <v>196</v>
      </c>
      <c r="D22" s="10"/>
      <c r="E22" s="10"/>
    </row>
    <row r="23" spans="1:5" x14ac:dyDescent="0.25">
      <c r="A23" s="10" t="s">
        <v>82</v>
      </c>
      <c r="B23" s="10" t="s">
        <v>83</v>
      </c>
      <c r="C23" s="10" t="s">
        <v>196</v>
      </c>
      <c r="D23" s="10"/>
      <c r="E23" s="10"/>
    </row>
    <row r="24" spans="1:5" x14ac:dyDescent="0.25">
      <c r="A24" s="10" t="s">
        <v>84</v>
      </c>
      <c r="B24" s="10" t="s">
        <v>85</v>
      </c>
      <c r="C24" s="10" t="s">
        <v>196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196</v>
      </c>
      <c r="D25" s="10"/>
      <c r="E25" s="10"/>
    </row>
    <row r="26" spans="1:5" x14ac:dyDescent="0.25">
      <c r="A26" s="10" t="s">
        <v>88</v>
      </c>
      <c r="B26" s="10" t="s">
        <v>8</v>
      </c>
      <c r="C26" s="10" t="s">
        <v>196</v>
      </c>
      <c r="D26" s="10"/>
      <c r="E26" s="10"/>
    </row>
    <row r="27" spans="1:5" x14ac:dyDescent="0.25">
      <c r="A27" s="10" t="s">
        <v>89</v>
      </c>
      <c r="B27" s="10" t="s">
        <v>8</v>
      </c>
      <c r="C27" s="10" t="s">
        <v>196</v>
      </c>
      <c r="D27" s="10"/>
      <c r="E27" s="10"/>
    </row>
    <row r="28" spans="1:5" x14ac:dyDescent="0.25">
      <c r="A28" s="10" t="s">
        <v>90</v>
      </c>
      <c r="B28" s="10" t="s">
        <v>91</v>
      </c>
      <c r="C28" s="10" t="s">
        <v>196</v>
      </c>
      <c r="D28" s="10"/>
      <c r="E28" s="10"/>
    </row>
    <row r="29" spans="1:5" x14ac:dyDescent="0.25">
      <c r="A29" s="10" t="s">
        <v>92</v>
      </c>
      <c r="B29" s="10" t="s">
        <v>93</v>
      </c>
      <c r="C29" s="10" t="s">
        <v>196</v>
      </c>
      <c r="D29" s="10"/>
      <c r="E29" s="10"/>
    </row>
    <row r="30" spans="1:5" x14ac:dyDescent="0.25">
      <c r="A30" s="10" t="s">
        <v>94</v>
      </c>
      <c r="B30" s="10" t="s">
        <v>95</v>
      </c>
      <c r="C30" s="10" t="s">
        <v>196</v>
      </c>
      <c r="D30" s="10"/>
      <c r="E30" s="10"/>
    </row>
    <row r="31" spans="1:5" x14ac:dyDescent="0.25">
      <c r="A31" s="10" t="s">
        <v>96</v>
      </c>
      <c r="B31" s="10" t="s">
        <v>8</v>
      </c>
      <c r="C31" s="10" t="s">
        <v>196</v>
      </c>
      <c r="D31" s="10"/>
      <c r="E31" s="10"/>
    </row>
    <row r="32" spans="1:5" x14ac:dyDescent="0.25">
      <c r="A32" s="10" t="s">
        <v>97</v>
      </c>
      <c r="B32" s="10" t="s">
        <v>8</v>
      </c>
      <c r="C32" s="10" t="s">
        <v>196</v>
      </c>
      <c r="D32" s="10"/>
      <c r="E32" s="10"/>
    </row>
    <row r="33" spans="1:5" x14ac:dyDescent="0.25">
      <c r="A33" s="10" t="s">
        <v>98</v>
      </c>
      <c r="B33" s="10" t="s">
        <v>8</v>
      </c>
      <c r="C33" s="10" t="s">
        <v>196</v>
      </c>
      <c r="D33" s="10"/>
      <c r="E33" s="10"/>
    </row>
    <row r="34" spans="1:5" x14ac:dyDescent="0.25">
      <c r="A34" s="10" t="s">
        <v>99</v>
      </c>
      <c r="B34" s="10" t="s">
        <v>99</v>
      </c>
      <c r="C34" s="10" t="s">
        <v>196</v>
      </c>
      <c r="D34" s="10" t="s">
        <v>99</v>
      </c>
      <c r="E34" s="11">
        <v>20223</v>
      </c>
    </row>
    <row r="35" spans="1:5" x14ac:dyDescent="0.25">
      <c r="A35" s="10" t="s">
        <v>100</v>
      </c>
      <c r="B35" s="10" t="s">
        <v>101</v>
      </c>
      <c r="C35" s="10" t="s">
        <v>196</v>
      </c>
      <c r="D35" s="10"/>
      <c r="E35" s="10"/>
    </row>
    <row r="36" spans="1:5" x14ac:dyDescent="0.25">
      <c r="A36" s="10" t="s">
        <v>102</v>
      </c>
      <c r="B36" s="10" t="s">
        <v>103</v>
      </c>
      <c r="C36" s="10" t="s">
        <v>196</v>
      </c>
      <c r="D36" s="10"/>
      <c r="E36" s="10"/>
    </row>
    <row r="37" spans="1:5" x14ac:dyDescent="0.25">
      <c r="A37" s="10" t="s">
        <v>104</v>
      </c>
      <c r="B37" s="10" t="s">
        <v>105</v>
      </c>
      <c r="C37" s="10" t="s">
        <v>196</v>
      </c>
      <c r="D37" s="10"/>
      <c r="E37" s="10"/>
    </row>
    <row r="38" spans="1:5" x14ac:dyDescent="0.25">
      <c r="A38" s="10" t="s">
        <v>106</v>
      </c>
      <c r="B38" s="10" t="s">
        <v>107</v>
      </c>
      <c r="C38" s="10" t="s">
        <v>196</v>
      </c>
      <c r="D38" s="10"/>
      <c r="E38" s="10"/>
    </row>
    <row r="39" spans="1:5" x14ac:dyDescent="0.25">
      <c r="A39" s="10" t="s">
        <v>108</v>
      </c>
      <c r="B39" s="10" t="s">
        <v>8</v>
      </c>
      <c r="C39" s="10" t="s">
        <v>196</v>
      </c>
      <c r="D39" s="10"/>
      <c r="E39" s="10"/>
    </row>
    <row r="40" spans="1:5" x14ac:dyDescent="0.25">
      <c r="A40" s="10" t="s">
        <v>109</v>
      </c>
      <c r="B40" s="10" t="s">
        <v>8</v>
      </c>
      <c r="C40" s="10" t="s">
        <v>196</v>
      </c>
      <c r="D40" s="10"/>
      <c r="E40" s="10"/>
    </row>
    <row r="41" spans="1:5" x14ac:dyDescent="0.25">
      <c r="A41" s="10" t="s">
        <v>99</v>
      </c>
      <c r="B41" s="10" t="s">
        <v>99</v>
      </c>
      <c r="C41" s="10" t="s">
        <v>196</v>
      </c>
      <c r="D41" s="10" t="s">
        <v>99</v>
      </c>
      <c r="E41" s="11">
        <v>20209</v>
      </c>
    </row>
    <row r="42" spans="1:5" x14ac:dyDescent="0.25">
      <c r="A42" s="10" t="s">
        <v>110</v>
      </c>
      <c r="B42" s="10" t="s">
        <v>111</v>
      </c>
      <c r="C42" s="10" t="s">
        <v>196</v>
      </c>
      <c r="D42" s="10" t="s">
        <v>111</v>
      </c>
      <c r="E42" s="11">
        <v>13779</v>
      </c>
    </row>
    <row r="43" spans="1:5" x14ac:dyDescent="0.25">
      <c r="A43" s="10" t="s">
        <v>112</v>
      </c>
      <c r="B43" s="10" t="s">
        <v>113</v>
      </c>
      <c r="C43" s="10" t="s">
        <v>196</v>
      </c>
      <c r="D43" s="10"/>
      <c r="E43" s="10"/>
    </row>
    <row r="44" spans="1:5" x14ac:dyDescent="0.25">
      <c r="A44" s="10" t="s">
        <v>102</v>
      </c>
      <c r="B44" s="10" t="s">
        <v>103</v>
      </c>
      <c r="C44" s="10" t="s">
        <v>197</v>
      </c>
      <c r="D44" s="10" t="s">
        <v>205</v>
      </c>
      <c r="E44" s="11">
        <v>13767</v>
      </c>
    </row>
    <row r="45" spans="1:5" x14ac:dyDescent="0.25">
      <c r="A45" s="10" t="s">
        <v>114</v>
      </c>
      <c r="B45" s="10" t="s">
        <v>115</v>
      </c>
      <c r="C45" s="10" t="s">
        <v>196</v>
      </c>
      <c r="D45" s="10"/>
      <c r="E45" s="10"/>
    </row>
    <row r="46" spans="1:5" x14ac:dyDescent="0.25">
      <c r="A46" s="10" t="s">
        <v>116</v>
      </c>
      <c r="B46" s="10" t="s">
        <v>117</v>
      </c>
      <c r="C46" s="10" t="s">
        <v>196</v>
      </c>
      <c r="D46" s="10"/>
      <c r="E46" s="10"/>
    </row>
    <row r="47" spans="1:5" x14ac:dyDescent="0.25">
      <c r="A47" s="10" t="s">
        <v>118</v>
      </c>
      <c r="B47" s="10" t="s">
        <v>119</v>
      </c>
      <c r="C47" s="10" t="s">
        <v>196</v>
      </c>
      <c r="D47" s="10"/>
      <c r="E47" s="10"/>
    </row>
    <row r="48" spans="1:5" x14ac:dyDescent="0.25">
      <c r="A48" s="10" t="s">
        <v>120</v>
      </c>
      <c r="B48" s="10" t="s">
        <v>35</v>
      </c>
      <c r="C48" s="10"/>
      <c r="D48" s="10" t="s">
        <v>206</v>
      </c>
      <c r="E48" s="10"/>
    </row>
    <row r="49" spans="1:5" x14ac:dyDescent="0.25">
      <c r="A49" s="10" t="s">
        <v>121</v>
      </c>
      <c r="B49" s="10" t="s">
        <v>122</v>
      </c>
      <c r="C49" s="10" t="s">
        <v>196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>
      <selection activeCell="A34" sqref="A34"/>
    </sheetView>
  </sheetViews>
  <sheetFormatPr defaultRowHeight="15" x14ac:dyDescent="0.25"/>
  <cols>
    <col min="1" max="1" width="55.28515625" customWidth="1"/>
    <col min="2" max="2" width="54.85546875" customWidth="1"/>
    <col min="3" max="3" width="11.28515625" customWidth="1"/>
    <col min="4" max="4" width="45.42578125" customWidth="1"/>
    <col min="5" max="5" width="11.140625" customWidth="1"/>
  </cols>
  <sheetData>
    <row r="1" spans="1:8" x14ac:dyDescent="0.25">
      <c r="A1" s="1" t="s">
        <v>0</v>
      </c>
      <c r="B1" s="1" t="s">
        <v>1</v>
      </c>
      <c r="C1" s="2" t="s">
        <v>193</v>
      </c>
      <c r="D1" s="2" t="s">
        <v>194</v>
      </c>
      <c r="E1" s="3" t="s">
        <v>195</v>
      </c>
      <c r="G1" s="4" t="s">
        <v>196</v>
      </c>
      <c r="H1" s="5">
        <f>COUNTIF(C:C,G1)</f>
        <v>42</v>
      </c>
    </row>
    <row r="2" spans="1:8" x14ac:dyDescent="0.25">
      <c r="A2" s="10" t="s">
        <v>49</v>
      </c>
      <c r="B2" s="10" t="s">
        <v>8</v>
      </c>
      <c r="C2" s="10" t="s">
        <v>196</v>
      </c>
      <c r="D2" s="10"/>
      <c r="E2" s="10"/>
      <c r="G2" s="6" t="s">
        <v>197</v>
      </c>
      <c r="H2" s="7">
        <f>COUNTIF(C:C,G2)</f>
        <v>5</v>
      </c>
    </row>
    <row r="3" spans="1:8" ht="15.75" thickBot="1" x14ac:dyDescent="0.3">
      <c r="A3" s="10" t="s">
        <v>50</v>
      </c>
      <c r="B3" s="10" t="s">
        <v>51</v>
      </c>
      <c r="C3" s="10" t="s">
        <v>196</v>
      </c>
      <c r="D3" s="10"/>
      <c r="E3" s="10"/>
      <c r="G3" s="8" t="s">
        <v>198</v>
      </c>
      <c r="H3" s="9">
        <f>H1/SUM(H1:H2)</f>
        <v>0.8936170212765957</v>
      </c>
    </row>
    <row r="4" spans="1:8" x14ac:dyDescent="0.25">
      <c r="A4" s="10" t="s">
        <v>187</v>
      </c>
      <c r="B4" s="10" t="s">
        <v>53</v>
      </c>
      <c r="C4" s="10" t="s">
        <v>196</v>
      </c>
      <c r="D4" s="10"/>
      <c r="E4" s="10"/>
    </row>
    <row r="5" spans="1:8" x14ac:dyDescent="0.25">
      <c r="A5" s="10" t="s">
        <v>54</v>
      </c>
      <c r="B5" s="10" t="s">
        <v>55</v>
      </c>
      <c r="C5" s="10" t="s">
        <v>196</v>
      </c>
      <c r="D5" s="10"/>
      <c r="E5" s="10"/>
    </row>
    <row r="6" spans="1:8" x14ac:dyDescent="0.25">
      <c r="A6" s="10" t="s">
        <v>56</v>
      </c>
      <c r="B6" s="10" t="s">
        <v>57</v>
      </c>
      <c r="C6" s="10" t="s">
        <v>196</v>
      </c>
      <c r="D6" s="10" t="s">
        <v>202</v>
      </c>
      <c r="E6" s="10"/>
    </row>
    <row r="7" spans="1:8" x14ac:dyDescent="0.25">
      <c r="A7" s="10" t="s">
        <v>58</v>
      </c>
      <c r="B7" s="10" t="s">
        <v>58</v>
      </c>
      <c r="C7" s="10" t="s">
        <v>196</v>
      </c>
      <c r="D7" s="10"/>
      <c r="E7" s="10"/>
    </row>
    <row r="8" spans="1:8" x14ac:dyDescent="0.25">
      <c r="A8" s="10" t="s">
        <v>59</v>
      </c>
      <c r="B8" s="10" t="s">
        <v>8</v>
      </c>
      <c r="C8" s="10" t="s">
        <v>196</v>
      </c>
      <c r="D8" s="10"/>
      <c r="E8" s="10"/>
    </row>
    <row r="9" spans="1:8" x14ac:dyDescent="0.25">
      <c r="A9" s="10" t="s">
        <v>60</v>
      </c>
      <c r="B9" s="10" t="s">
        <v>61</v>
      </c>
      <c r="C9" s="10" t="s">
        <v>196</v>
      </c>
      <c r="D9" s="10"/>
      <c r="E9" s="10"/>
    </row>
    <row r="10" spans="1:8" x14ac:dyDescent="0.25">
      <c r="A10" s="10" t="s">
        <v>62</v>
      </c>
      <c r="B10" s="10" t="s">
        <v>63</v>
      </c>
      <c r="C10" s="10" t="s">
        <v>197</v>
      </c>
      <c r="D10" s="10" t="s">
        <v>203</v>
      </c>
      <c r="E10" s="11">
        <v>20217</v>
      </c>
    </row>
    <row r="11" spans="1:8" x14ac:dyDescent="0.25">
      <c r="A11" s="10" t="s">
        <v>64</v>
      </c>
      <c r="B11" s="10" t="s">
        <v>65</v>
      </c>
      <c r="C11" s="10" t="s">
        <v>197</v>
      </c>
      <c r="D11" s="10" t="s">
        <v>79</v>
      </c>
      <c r="E11" s="11">
        <v>20216</v>
      </c>
    </row>
    <row r="12" spans="1:8" x14ac:dyDescent="0.25">
      <c r="A12" s="10" t="s">
        <v>66</v>
      </c>
      <c r="B12" s="10" t="s">
        <v>67</v>
      </c>
      <c r="C12" s="10" t="s">
        <v>196</v>
      </c>
      <c r="D12" s="10"/>
      <c r="E12" s="10"/>
    </row>
    <row r="13" spans="1:8" x14ac:dyDescent="0.25">
      <c r="A13" s="10" t="s">
        <v>68</v>
      </c>
      <c r="B13" s="10" t="s">
        <v>69</v>
      </c>
      <c r="C13" s="10" t="s">
        <v>196</v>
      </c>
      <c r="D13" s="10"/>
      <c r="E13" s="10"/>
    </row>
    <row r="14" spans="1:8" x14ac:dyDescent="0.25">
      <c r="A14" s="10" t="s">
        <v>70</v>
      </c>
      <c r="B14" s="10" t="s">
        <v>8</v>
      </c>
      <c r="C14" s="10" t="s">
        <v>196</v>
      </c>
      <c r="D14" s="10"/>
      <c r="E14" s="10"/>
    </row>
    <row r="15" spans="1:8" x14ac:dyDescent="0.25">
      <c r="A15" s="10" t="s">
        <v>71</v>
      </c>
      <c r="B15" s="10" t="s">
        <v>71</v>
      </c>
      <c r="C15" s="10" t="s">
        <v>196</v>
      </c>
      <c r="D15" s="10"/>
      <c r="E15" s="10"/>
    </row>
    <row r="16" spans="1:8" x14ac:dyDescent="0.25">
      <c r="A16" s="10" t="s">
        <v>72</v>
      </c>
      <c r="B16" s="10" t="s">
        <v>8</v>
      </c>
      <c r="C16" s="10" t="s">
        <v>196</v>
      </c>
      <c r="D16" s="10"/>
      <c r="E16" s="10"/>
    </row>
    <row r="17" spans="1:5" x14ac:dyDescent="0.25">
      <c r="A17" s="10" t="s">
        <v>73</v>
      </c>
      <c r="B17" s="10" t="s">
        <v>61</v>
      </c>
      <c r="C17" s="10" t="s">
        <v>197</v>
      </c>
      <c r="D17" s="10" t="s">
        <v>204</v>
      </c>
      <c r="E17" s="11">
        <v>13724</v>
      </c>
    </row>
    <row r="18" spans="1:5" x14ac:dyDescent="0.25">
      <c r="A18" s="10" t="s">
        <v>74</v>
      </c>
      <c r="B18" s="10" t="s">
        <v>75</v>
      </c>
      <c r="C18" s="10" t="s">
        <v>196</v>
      </c>
      <c r="D18" s="10" t="s">
        <v>75</v>
      </c>
      <c r="E18" s="11">
        <v>13780</v>
      </c>
    </row>
    <row r="19" spans="1:5" x14ac:dyDescent="0.25">
      <c r="A19" s="10" t="s">
        <v>76</v>
      </c>
      <c r="B19" s="10" t="s">
        <v>77</v>
      </c>
      <c r="C19" s="10" t="s">
        <v>196</v>
      </c>
      <c r="D19" s="10"/>
      <c r="E19" s="10"/>
    </row>
    <row r="20" spans="1:5" x14ac:dyDescent="0.25">
      <c r="A20" s="10" t="s">
        <v>62</v>
      </c>
      <c r="B20" s="10" t="s">
        <v>63</v>
      </c>
      <c r="C20" s="10" t="s">
        <v>196</v>
      </c>
      <c r="D20" s="10"/>
      <c r="E20" s="10"/>
    </row>
    <row r="21" spans="1:5" x14ac:dyDescent="0.25">
      <c r="A21" s="10" t="s">
        <v>78</v>
      </c>
      <c r="B21" s="10" t="s">
        <v>79</v>
      </c>
      <c r="C21" s="10" t="s">
        <v>197</v>
      </c>
      <c r="D21" s="10" t="s">
        <v>65</v>
      </c>
      <c r="E21" s="11">
        <v>20231</v>
      </c>
    </row>
    <row r="22" spans="1:5" x14ac:dyDescent="0.25">
      <c r="A22" s="10" t="s">
        <v>80</v>
      </c>
      <c r="B22" s="10" t="s">
        <v>81</v>
      </c>
      <c r="C22" s="10" t="s">
        <v>196</v>
      </c>
      <c r="D22" s="10"/>
      <c r="E22" s="10"/>
    </row>
    <row r="23" spans="1:5" x14ac:dyDescent="0.25">
      <c r="A23" s="10" t="s">
        <v>188</v>
      </c>
      <c r="B23" s="10" t="s">
        <v>83</v>
      </c>
      <c r="C23" s="10" t="s">
        <v>196</v>
      </c>
      <c r="D23" s="10"/>
      <c r="E23" s="10"/>
    </row>
    <row r="24" spans="1:5" x14ac:dyDescent="0.25">
      <c r="A24" s="10" t="s">
        <v>84</v>
      </c>
      <c r="B24" s="10" t="s">
        <v>85</v>
      </c>
      <c r="C24" s="10" t="s">
        <v>196</v>
      </c>
      <c r="D24" s="10"/>
      <c r="E24" s="10"/>
    </row>
    <row r="25" spans="1:5" x14ac:dyDescent="0.25">
      <c r="A25" s="10" t="s">
        <v>86</v>
      </c>
      <c r="B25" s="10" t="s">
        <v>87</v>
      </c>
      <c r="C25" s="10" t="s">
        <v>196</v>
      </c>
      <c r="D25" s="10"/>
      <c r="E25" s="10"/>
    </row>
    <row r="26" spans="1:5" x14ac:dyDescent="0.25">
      <c r="A26" s="10" t="s">
        <v>88</v>
      </c>
      <c r="B26" s="10" t="s">
        <v>8</v>
      </c>
      <c r="C26" s="10" t="s">
        <v>196</v>
      </c>
      <c r="D26" s="10"/>
      <c r="E26" s="10"/>
    </row>
    <row r="27" spans="1:5" x14ac:dyDescent="0.25">
      <c r="A27" s="10" t="s">
        <v>89</v>
      </c>
      <c r="B27" s="10" t="s">
        <v>8</v>
      </c>
      <c r="C27" s="10" t="s">
        <v>196</v>
      </c>
      <c r="D27" s="10"/>
      <c r="E27" s="10"/>
    </row>
    <row r="28" spans="1:5" x14ac:dyDescent="0.25">
      <c r="A28" s="10" t="s">
        <v>90</v>
      </c>
      <c r="B28" s="10" t="s">
        <v>91</v>
      </c>
      <c r="C28" s="10" t="s">
        <v>196</v>
      </c>
      <c r="D28" s="10"/>
      <c r="E28" s="10"/>
    </row>
    <row r="29" spans="1:5" x14ac:dyDescent="0.25">
      <c r="A29" s="10" t="s">
        <v>92</v>
      </c>
      <c r="B29" s="10" t="s">
        <v>93</v>
      </c>
      <c r="C29" s="10" t="s">
        <v>196</v>
      </c>
      <c r="D29" s="10"/>
      <c r="E29" s="10"/>
    </row>
    <row r="30" spans="1:5" x14ac:dyDescent="0.25">
      <c r="A30" s="10" t="s">
        <v>94</v>
      </c>
      <c r="B30" s="10" t="s">
        <v>95</v>
      </c>
      <c r="C30" s="10" t="s">
        <v>196</v>
      </c>
      <c r="D30" s="10"/>
      <c r="E30" s="10"/>
    </row>
    <row r="31" spans="1:5" x14ac:dyDescent="0.25">
      <c r="A31" s="10" t="s">
        <v>96</v>
      </c>
      <c r="B31" s="10" t="s">
        <v>8</v>
      </c>
      <c r="C31" s="10" t="s">
        <v>196</v>
      </c>
      <c r="D31" s="10"/>
      <c r="E31" s="10"/>
    </row>
    <row r="32" spans="1:5" x14ac:dyDescent="0.25">
      <c r="A32" s="10" t="s">
        <v>97</v>
      </c>
      <c r="B32" s="10" t="s">
        <v>8</v>
      </c>
      <c r="C32" s="10" t="s">
        <v>196</v>
      </c>
      <c r="D32" s="10"/>
      <c r="E32" s="10"/>
    </row>
    <row r="33" spans="1:5" x14ac:dyDescent="0.25">
      <c r="A33" s="10" t="s">
        <v>98</v>
      </c>
      <c r="B33" s="10" t="s">
        <v>8</v>
      </c>
      <c r="C33" s="10" t="s">
        <v>196</v>
      </c>
      <c r="D33" s="10"/>
      <c r="E33" s="10"/>
    </row>
    <row r="34" spans="1:5" x14ac:dyDescent="0.25">
      <c r="A34" s="10" t="s">
        <v>99</v>
      </c>
      <c r="B34" s="10" t="s">
        <v>99</v>
      </c>
      <c r="C34" s="10" t="s">
        <v>196</v>
      </c>
      <c r="D34" s="10" t="s">
        <v>99</v>
      </c>
      <c r="E34" s="11">
        <v>20223</v>
      </c>
    </row>
    <row r="35" spans="1:5" x14ac:dyDescent="0.25">
      <c r="A35" s="10" t="s">
        <v>100</v>
      </c>
      <c r="B35" s="10" t="s">
        <v>101</v>
      </c>
      <c r="C35" s="10" t="s">
        <v>196</v>
      </c>
      <c r="D35" s="10"/>
      <c r="E35" s="10"/>
    </row>
    <row r="36" spans="1:5" x14ac:dyDescent="0.25">
      <c r="A36" s="10" t="s">
        <v>102</v>
      </c>
      <c r="B36" s="10" t="s">
        <v>103</v>
      </c>
      <c r="C36" s="10" t="s">
        <v>196</v>
      </c>
      <c r="D36" s="10"/>
      <c r="E36" s="10"/>
    </row>
    <row r="37" spans="1:5" x14ac:dyDescent="0.25">
      <c r="A37" s="10" t="s">
        <v>104</v>
      </c>
      <c r="B37" s="10" t="s">
        <v>105</v>
      </c>
      <c r="C37" s="10" t="s">
        <v>196</v>
      </c>
      <c r="D37" s="10"/>
      <c r="E37" s="10"/>
    </row>
    <row r="38" spans="1:5" x14ac:dyDescent="0.25">
      <c r="A38" s="10" t="s">
        <v>106</v>
      </c>
      <c r="B38" s="10" t="s">
        <v>107</v>
      </c>
      <c r="C38" s="10" t="s">
        <v>196</v>
      </c>
      <c r="D38" s="10"/>
      <c r="E38" s="10"/>
    </row>
    <row r="39" spans="1:5" x14ac:dyDescent="0.25">
      <c r="A39" s="10" t="s">
        <v>108</v>
      </c>
      <c r="B39" s="10" t="s">
        <v>8</v>
      </c>
      <c r="C39" s="10" t="s">
        <v>196</v>
      </c>
      <c r="D39" s="10"/>
      <c r="E39" s="10"/>
    </row>
    <row r="40" spans="1:5" x14ac:dyDescent="0.25">
      <c r="A40" s="10" t="s">
        <v>109</v>
      </c>
      <c r="B40" s="10" t="s">
        <v>8</v>
      </c>
      <c r="C40" s="10" t="s">
        <v>196</v>
      </c>
      <c r="D40" s="10"/>
      <c r="E40" s="10"/>
    </row>
    <row r="41" spans="1:5" x14ac:dyDescent="0.25">
      <c r="A41" s="10" t="s">
        <v>99</v>
      </c>
      <c r="B41" s="10" t="s">
        <v>99</v>
      </c>
      <c r="C41" s="10" t="s">
        <v>196</v>
      </c>
      <c r="D41" s="10" t="s">
        <v>99</v>
      </c>
      <c r="E41" s="11">
        <v>20209</v>
      </c>
    </row>
    <row r="42" spans="1:5" x14ac:dyDescent="0.25">
      <c r="A42" s="10" t="s">
        <v>110</v>
      </c>
      <c r="B42" s="10" t="s">
        <v>111</v>
      </c>
      <c r="C42" s="10" t="s">
        <v>196</v>
      </c>
      <c r="D42" s="10" t="s">
        <v>111</v>
      </c>
      <c r="E42" s="11">
        <v>13779</v>
      </c>
    </row>
    <row r="43" spans="1:5" x14ac:dyDescent="0.25">
      <c r="A43" s="10" t="s">
        <v>112</v>
      </c>
      <c r="B43" s="10" t="s">
        <v>113</v>
      </c>
      <c r="C43" s="10" t="s">
        <v>196</v>
      </c>
      <c r="D43" s="10"/>
      <c r="E43" s="10"/>
    </row>
    <row r="44" spans="1:5" x14ac:dyDescent="0.25">
      <c r="A44" s="10" t="s">
        <v>102</v>
      </c>
      <c r="B44" s="10" t="s">
        <v>103</v>
      </c>
      <c r="C44" s="10" t="s">
        <v>197</v>
      </c>
      <c r="D44" s="10" t="s">
        <v>205</v>
      </c>
      <c r="E44" s="11">
        <v>13767</v>
      </c>
    </row>
    <row r="45" spans="1:5" x14ac:dyDescent="0.25">
      <c r="A45" s="10" t="s">
        <v>114</v>
      </c>
      <c r="B45" s="10" t="s">
        <v>115</v>
      </c>
      <c r="C45" s="10" t="s">
        <v>196</v>
      </c>
      <c r="D45" s="10"/>
      <c r="E45" s="10"/>
    </row>
    <row r="46" spans="1:5" x14ac:dyDescent="0.25">
      <c r="A46" s="10" t="s">
        <v>116</v>
      </c>
      <c r="B46" s="10" t="s">
        <v>117</v>
      </c>
      <c r="C46" s="10" t="s">
        <v>196</v>
      </c>
      <c r="D46" s="10"/>
      <c r="E46" s="10"/>
    </row>
    <row r="47" spans="1:5" x14ac:dyDescent="0.25">
      <c r="A47" s="10" t="s">
        <v>118</v>
      </c>
      <c r="B47" s="10" t="s">
        <v>119</v>
      </c>
      <c r="C47" s="10" t="s">
        <v>196</v>
      </c>
      <c r="D47" s="10"/>
      <c r="E47" s="10"/>
    </row>
    <row r="48" spans="1:5" x14ac:dyDescent="0.25">
      <c r="A48" s="10" t="s">
        <v>120</v>
      </c>
      <c r="B48" s="10" t="s">
        <v>35</v>
      </c>
      <c r="C48" s="10"/>
      <c r="D48" s="10" t="s">
        <v>206</v>
      </c>
      <c r="E48" s="10"/>
    </row>
    <row r="49" spans="1:5" x14ac:dyDescent="0.25">
      <c r="A49" s="10" t="s">
        <v>121</v>
      </c>
      <c r="B49" s="10" t="s">
        <v>122</v>
      </c>
      <c r="C49" s="10" t="s">
        <v>196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5" x14ac:dyDescent="0.25"/>
  <cols>
    <col min="1" max="1" width="45.85546875" customWidth="1"/>
    <col min="2" max="2" width="53.5703125" customWidth="1"/>
    <col min="3" max="3" width="11.5703125" customWidth="1"/>
    <col min="4" max="4" width="43.85546875" customWidth="1"/>
    <col min="5" max="5" width="10.42578125" customWidth="1"/>
  </cols>
  <sheetData>
    <row r="1" spans="1:8" x14ac:dyDescent="0.25">
      <c r="A1" s="1" t="s">
        <v>0</v>
      </c>
      <c r="B1" s="1" t="s">
        <v>1</v>
      </c>
      <c r="C1" s="2" t="s">
        <v>193</v>
      </c>
      <c r="D1" s="2" t="s">
        <v>194</v>
      </c>
      <c r="E1" s="3" t="s">
        <v>195</v>
      </c>
      <c r="G1" s="4" t="s">
        <v>196</v>
      </c>
      <c r="H1" s="5">
        <f>COUNTIF(C:C,G1)</f>
        <v>31</v>
      </c>
    </row>
    <row r="2" spans="1:8" x14ac:dyDescent="0.25">
      <c r="A2" s="10" t="s">
        <v>123</v>
      </c>
      <c r="B2" s="10" t="s">
        <v>124</v>
      </c>
      <c r="C2" s="10" t="s">
        <v>196</v>
      </c>
      <c r="D2" s="10"/>
      <c r="E2" s="10"/>
      <c r="G2" s="6" t="s">
        <v>197</v>
      </c>
      <c r="H2" s="7">
        <f>COUNTIF(C:C,G2)</f>
        <v>8</v>
      </c>
    </row>
    <row r="3" spans="1:8" ht="15.75" thickBot="1" x14ac:dyDescent="0.3">
      <c r="A3" s="10" t="s">
        <v>125</v>
      </c>
      <c r="B3" s="10" t="s">
        <v>8</v>
      </c>
      <c r="C3" s="10" t="s">
        <v>196</v>
      </c>
      <c r="D3" s="10"/>
      <c r="E3" s="10"/>
      <c r="G3" s="8" t="s">
        <v>198</v>
      </c>
      <c r="H3" s="9">
        <f>H1/SUM(H1:H2)</f>
        <v>0.79487179487179482</v>
      </c>
    </row>
    <row r="4" spans="1:8" x14ac:dyDescent="0.25">
      <c r="A4" s="10" t="s">
        <v>126</v>
      </c>
      <c r="B4" s="10" t="s">
        <v>127</v>
      </c>
      <c r="C4" s="10" t="s">
        <v>196</v>
      </c>
      <c r="D4" s="10"/>
      <c r="E4" s="10"/>
    </row>
    <row r="5" spans="1:8" x14ac:dyDescent="0.25">
      <c r="A5" s="10" t="s">
        <v>128</v>
      </c>
      <c r="B5" s="10" t="s">
        <v>129</v>
      </c>
      <c r="C5" s="10" t="s">
        <v>197</v>
      </c>
      <c r="D5" s="10" t="s">
        <v>214</v>
      </c>
      <c r="E5" s="11">
        <v>30576</v>
      </c>
    </row>
    <row r="6" spans="1:8" x14ac:dyDescent="0.25">
      <c r="A6" s="10" t="s">
        <v>130</v>
      </c>
      <c r="B6" s="10" t="s">
        <v>131</v>
      </c>
      <c r="C6" s="10" t="s">
        <v>196</v>
      </c>
      <c r="D6" s="10"/>
      <c r="E6" s="10"/>
    </row>
    <row r="7" spans="1:8" x14ac:dyDescent="0.25">
      <c r="A7" s="10" t="s">
        <v>132</v>
      </c>
      <c r="B7" s="10" t="s">
        <v>133</v>
      </c>
      <c r="C7" s="10" t="s">
        <v>197</v>
      </c>
      <c r="D7" s="10" t="s">
        <v>208</v>
      </c>
      <c r="E7" s="11">
        <v>30414</v>
      </c>
    </row>
    <row r="8" spans="1:8" x14ac:dyDescent="0.25">
      <c r="A8" s="10" t="s">
        <v>134</v>
      </c>
      <c r="B8" s="10" t="s">
        <v>134</v>
      </c>
      <c r="C8" s="10" t="s">
        <v>197</v>
      </c>
      <c r="D8" s="10" t="s">
        <v>207</v>
      </c>
      <c r="E8" s="11">
        <v>30479</v>
      </c>
    </row>
    <row r="9" spans="1:8" x14ac:dyDescent="0.25">
      <c r="A9" s="10" t="s">
        <v>135</v>
      </c>
      <c r="B9" s="10" t="s">
        <v>136</v>
      </c>
      <c r="C9" s="10" t="s">
        <v>197</v>
      </c>
      <c r="D9" s="10" t="s">
        <v>136</v>
      </c>
      <c r="E9" s="11">
        <v>30481</v>
      </c>
    </row>
    <row r="10" spans="1:8" x14ac:dyDescent="0.25">
      <c r="A10" s="10" t="s">
        <v>137</v>
      </c>
      <c r="B10" s="10" t="s">
        <v>138</v>
      </c>
      <c r="C10" s="10" t="s">
        <v>196</v>
      </c>
      <c r="D10" s="10"/>
      <c r="E10" s="10"/>
    </row>
    <row r="11" spans="1:8" x14ac:dyDescent="0.25">
      <c r="A11" s="10" t="s">
        <v>139</v>
      </c>
      <c r="B11" s="10" t="s">
        <v>140</v>
      </c>
      <c r="C11" s="10" t="s">
        <v>196</v>
      </c>
      <c r="D11" s="10"/>
      <c r="E11" s="10"/>
    </row>
    <row r="12" spans="1:8" x14ac:dyDescent="0.25">
      <c r="A12" s="10" t="s">
        <v>141</v>
      </c>
      <c r="B12" s="10" t="s">
        <v>141</v>
      </c>
      <c r="C12" s="10" t="s">
        <v>196</v>
      </c>
      <c r="D12" s="10"/>
      <c r="E12" s="10"/>
    </row>
    <row r="13" spans="1:8" x14ac:dyDescent="0.25">
      <c r="A13" s="10" t="s">
        <v>142</v>
      </c>
      <c r="B13" s="10" t="s">
        <v>8</v>
      </c>
      <c r="C13" s="10" t="s">
        <v>196</v>
      </c>
      <c r="D13" s="10"/>
      <c r="E13" s="10"/>
    </row>
    <row r="14" spans="1:8" x14ac:dyDescent="0.25">
      <c r="A14" s="10" t="s">
        <v>143</v>
      </c>
      <c r="B14" s="10" t="s">
        <v>133</v>
      </c>
      <c r="C14" s="10" t="s">
        <v>196</v>
      </c>
      <c r="D14" s="10"/>
      <c r="E14" s="10"/>
    </row>
    <row r="15" spans="1:8" x14ac:dyDescent="0.25">
      <c r="A15" s="10" t="s">
        <v>144</v>
      </c>
      <c r="B15" s="10" t="s">
        <v>102</v>
      </c>
      <c r="C15" s="10" t="s">
        <v>196</v>
      </c>
      <c r="D15" s="10"/>
      <c r="E15" s="10"/>
    </row>
    <row r="16" spans="1:8" x14ac:dyDescent="0.25">
      <c r="A16" s="10" t="s">
        <v>145</v>
      </c>
      <c r="B16" s="10" t="s">
        <v>102</v>
      </c>
      <c r="C16" s="10" t="s">
        <v>196</v>
      </c>
      <c r="D16" s="10"/>
      <c r="E16" s="10"/>
    </row>
    <row r="17" spans="1:5" x14ac:dyDescent="0.25">
      <c r="A17" s="10" t="s">
        <v>146</v>
      </c>
      <c r="B17" s="10" t="s">
        <v>147</v>
      </c>
      <c r="C17" s="10" t="s">
        <v>196</v>
      </c>
      <c r="D17" s="10"/>
      <c r="E17" s="10"/>
    </row>
    <row r="18" spans="1:5" x14ac:dyDescent="0.25">
      <c r="A18" s="10" t="s">
        <v>148</v>
      </c>
      <c r="B18" s="10" t="s">
        <v>149</v>
      </c>
      <c r="C18" s="10" t="s">
        <v>196</v>
      </c>
      <c r="D18" s="10"/>
      <c r="E18" s="10"/>
    </row>
    <row r="19" spans="1:5" x14ac:dyDescent="0.25">
      <c r="A19" s="10" t="s">
        <v>83</v>
      </c>
      <c r="B19" s="10" t="s">
        <v>150</v>
      </c>
      <c r="C19" s="10" t="s">
        <v>196</v>
      </c>
      <c r="D19" s="10"/>
      <c r="E19" s="10"/>
    </row>
    <row r="20" spans="1:5" x14ac:dyDescent="0.25">
      <c r="A20" s="10" t="s">
        <v>151</v>
      </c>
      <c r="B20" s="10" t="s">
        <v>152</v>
      </c>
      <c r="C20" s="10" t="s">
        <v>196</v>
      </c>
      <c r="D20" s="10"/>
      <c r="E20" s="10"/>
    </row>
    <row r="21" spans="1:5" x14ac:dyDescent="0.25">
      <c r="A21" s="10" t="s">
        <v>71</v>
      </c>
      <c r="B21" s="10" t="s">
        <v>71</v>
      </c>
      <c r="C21" s="10" t="s">
        <v>196</v>
      </c>
      <c r="D21" s="10"/>
      <c r="E21" s="10"/>
    </row>
    <row r="22" spans="1:5" x14ac:dyDescent="0.25">
      <c r="A22" s="10" t="s">
        <v>153</v>
      </c>
      <c r="B22" s="10" t="s">
        <v>154</v>
      </c>
      <c r="C22" s="10" t="s">
        <v>196</v>
      </c>
      <c r="D22" s="10"/>
      <c r="E22" s="10"/>
    </row>
    <row r="23" spans="1:5" x14ac:dyDescent="0.25">
      <c r="A23" s="10" t="s">
        <v>155</v>
      </c>
      <c r="B23" s="10" t="s">
        <v>156</v>
      </c>
      <c r="C23" s="10" t="s">
        <v>196</v>
      </c>
      <c r="D23" s="10"/>
      <c r="E23" s="10"/>
    </row>
    <row r="24" spans="1:5" x14ac:dyDescent="0.25">
      <c r="A24" s="10" t="s">
        <v>157</v>
      </c>
      <c r="B24" s="10" t="s">
        <v>158</v>
      </c>
      <c r="C24" s="10" t="s">
        <v>196</v>
      </c>
      <c r="D24" s="10"/>
      <c r="E24" s="10"/>
    </row>
    <row r="25" spans="1:5" x14ac:dyDescent="0.25">
      <c r="A25" s="10" t="s">
        <v>159</v>
      </c>
      <c r="B25" s="10" t="s">
        <v>160</v>
      </c>
      <c r="C25" s="10" t="s">
        <v>196</v>
      </c>
      <c r="D25" s="10"/>
      <c r="E25" s="10"/>
    </row>
    <row r="26" spans="1:5" x14ac:dyDescent="0.25">
      <c r="A26" s="10" t="s">
        <v>161</v>
      </c>
      <c r="B26" s="10" t="s">
        <v>162</v>
      </c>
      <c r="C26" s="10" t="s">
        <v>197</v>
      </c>
      <c r="D26" s="10" t="s">
        <v>209</v>
      </c>
      <c r="E26" s="10"/>
    </row>
    <row r="27" spans="1:5" x14ac:dyDescent="0.25">
      <c r="A27" s="10" t="s">
        <v>163</v>
      </c>
      <c r="B27" s="10" t="s">
        <v>164</v>
      </c>
      <c r="C27" s="10" t="s">
        <v>196</v>
      </c>
      <c r="D27" s="10"/>
      <c r="E27" s="10"/>
    </row>
    <row r="28" spans="1:5" x14ac:dyDescent="0.25">
      <c r="A28" s="10" t="s">
        <v>165</v>
      </c>
      <c r="B28" s="10" t="s">
        <v>166</v>
      </c>
      <c r="C28" s="10" t="s">
        <v>196</v>
      </c>
      <c r="D28" s="10"/>
      <c r="E28" s="10"/>
    </row>
    <row r="29" spans="1:5" x14ac:dyDescent="0.25">
      <c r="A29" s="10" t="s">
        <v>167</v>
      </c>
      <c r="B29" s="10" t="s">
        <v>168</v>
      </c>
      <c r="C29" s="10" t="s">
        <v>196</v>
      </c>
      <c r="D29" s="10"/>
      <c r="E29" s="10"/>
    </row>
    <row r="30" spans="1:5" x14ac:dyDescent="0.25">
      <c r="A30" s="10" t="s">
        <v>169</v>
      </c>
      <c r="B30" s="10" t="s">
        <v>131</v>
      </c>
      <c r="C30" s="12" t="s">
        <v>197</v>
      </c>
      <c r="D30" s="10" t="s">
        <v>210</v>
      </c>
      <c r="E30" s="11">
        <v>17563</v>
      </c>
    </row>
    <row r="31" spans="1:5" x14ac:dyDescent="0.25">
      <c r="A31" s="10" t="s">
        <v>170</v>
      </c>
      <c r="B31" s="10" t="s">
        <v>138</v>
      </c>
      <c r="C31" s="10" t="s">
        <v>196</v>
      </c>
      <c r="D31" s="10"/>
      <c r="E31" s="10"/>
    </row>
    <row r="32" spans="1:5" x14ac:dyDescent="0.25">
      <c r="A32" s="10" t="s">
        <v>135</v>
      </c>
      <c r="B32" s="10" t="s">
        <v>136</v>
      </c>
      <c r="C32" s="10" t="s">
        <v>197</v>
      </c>
      <c r="D32" s="10" t="s">
        <v>135</v>
      </c>
      <c r="E32" s="11">
        <v>30485</v>
      </c>
    </row>
    <row r="33" spans="1:5" x14ac:dyDescent="0.25">
      <c r="A33" s="10" t="s">
        <v>171</v>
      </c>
      <c r="B33" s="10" t="s">
        <v>162</v>
      </c>
      <c r="C33" s="10" t="s">
        <v>196</v>
      </c>
      <c r="D33" s="10"/>
      <c r="E33" s="10"/>
    </row>
    <row r="34" spans="1:5" x14ac:dyDescent="0.25">
      <c r="A34" s="10" t="s">
        <v>172</v>
      </c>
      <c r="B34" s="10" t="s">
        <v>8</v>
      </c>
      <c r="C34" s="10" t="s">
        <v>196</v>
      </c>
      <c r="D34" s="10" t="s">
        <v>202</v>
      </c>
      <c r="E34" s="10"/>
    </row>
    <row r="35" spans="1:5" x14ac:dyDescent="0.25">
      <c r="A35" s="10" t="s">
        <v>134</v>
      </c>
      <c r="B35" s="10" t="s">
        <v>134</v>
      </c>
      <c r="C35" s="10" t="s">
        <v>196</v>
      </c>
      <c r="D35" s="10"/>
      <c r="E35" s="10"/>
    </row>
    <row r="36" spans="1:5" x14ac:dyDescent="0.25">
      <c r="A36" s="10" t="s">
        <v>173</v>
      </c>
      <c r="B36" s="10" t="s">
        <v>174</v>
      </c>
      <c r="C36" s="10" t="s">
        <v>196</v>
      </c>
      <c r="D36" s="10" t="s">
        <v>202</v>
      </c>
      <c r="E36" s="10"/>
    </row>
    <row r="37" spans="1:5" x14ac:dyDescent="0.25">
      <c r="A37" s="10" t="s">
        <v>175</v>
      </c>
      <c r="B37" s="10" t="s">
        <v>176</v>
      </c>
      <c r="C37" s="10" t="s">
        <v>196</v>
      </c>
      <c r="E37" s="10"/>
    </row>
    <row r="38" spans="1:5" x14ac:dyDescent="0.25">
      <c r="A38" s="10" t="s">
        <v>177</v>
      </c>
      <c r="B38" s="10" t="s">
        <v>178</v>
      </c>
      <c r="C38" s="10" t="s">
        <v>196</v>
      </c>
      <c r="D38" s="10"/>
      <c r="E38" s="10"/>
    </row>
    <row r="39" spans="1:5" x14ac:dyDescent="0.25">
      <c r="A39" s="10" t="s">
        <v>179</v>
      </c>
      <c r="B39" s="10" t="s">
        <v>180</v>
      </c>
      <c r="C39" s="10" t="s">
        <v>196</v>
      </c>
      <c r="D39" s="10"/>
      <c r="E39" s="10"/>
    </row>
    <row r="40" spans="1:5" x14ac:dyDescent="0.25">
      <c r="A40" s="10" t="s">
        <v>181</v>
      </c>
      <c r="B40" s="10" t="s">
        <v>182</v>
      </c>
      <c r="C40" s="10" t="s">
        <v>197</v>
      </c>
      <c r="D40" s="10" t="s">
        <v>211</v>
      </c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"/>
  <sheetViews>
    <sheetView workbookViewId="0"/>
  </sheetViews>
  <sheetFormatPr defaultRowHeight="15" x14ac:dyDescent="0.25"/>
  <cols>
    <col min="1" max="1" width="49" customWidth="1"/>
    <col min="2" max="2" width="55.85546875" customWidth="1"/>
    <col min="3" max="3" width="11" customWidth="1"/>
    <col min="4" max="4" width="44.7109375" customWidth="1"/>
    <col min="5" max="5" width="11.42578125" customWidth="1"/>
  </cols>
  <sheetData>
    <row r="1" spans="1:8" x14ac:dyDescent="0.25">
      <c r="A1" s="1" t="s">
        <v>0</v>
      </c>
      <c r="B1" s="1" t="s">
        <v>1</v>
      </c>
      <c r="C1" s="2" t="s">
        <v>193</v>
      </c>
      <c r="D1" s="2" t="s">
        <v>194</v>
      </c>
      <c r="E1" s="3" t="s">
        <v>195</v>
      </c>
      <c r="G1" s="4" t="s">
        <v>196</v>
      </c>
      <c r="H1" s="5">
        <f>COUNTIF(C:C,G1)</f>
        <v>31</v>
      </c>
    </row>
    <row r="2" spans="1:8" x14ac:dyDescent="0.25">
      <c r="A2" s="10" t="s">
        <v>123</v>
      </c>
      <c r="B2" s="10" t="s">
        <v>124</v>
      </c>
      <c r="C2" s="10" t="str">
        <f>VLOOKUP(A2,'Standalone Cash Flow'!A:C,3,0)</f>
        <v>Correct</v>
      </c>
      <c r="D2" s="10"/>
      <c r="E2" s="10"/>
      <c r="G2" s="6" t="s">
        <v>197</v>
      </c>
      <c r="H2" s="7">
        <f>COUNTIF(C:C,G2)</f>
        <v>8</v>
      </c>
    </row>
    <row r="3" spans="1:8" ht="15.75" thickBot="1" x14ac:dyDescent="0.3">
      <c r="A3" s="10" t="s">
        <v>125</v>
      </c>
      <c r="B3" s="10" t="s">
        <v>8</v>
      </c>
      <c r="C3" s="10" t="str">
        <f>VLOOKUP(A3,'Standalone Cash Flow'!A:C,3,0)</f>
        <v>Correct</v>
      </c>
      <c r="D3" s="10"/>
      <c r="E3" s="10"/>
      <c r="G3" s="8" t="s">
        <v>198</v>
      </c>
      <c r="H3" s="9">
        <f>H1/SUM(H1:H2)</f>
        <v>0.79487179487179482</v>
      </c>
    </row>
    <row r="4" spans="1:8" x14ac:dyDescent="0.25">
      <c r="A4" s="10" t="s">
        <v>126</v>
      </c>
      <c r="B4" s="10" t="s">
        <v>127</v>
      </c>
      <c r="C4" s="10" t="str">
        <f>VLOOKUP(A4,'Standalone Cash Flow'!A:C,3,0)</f>
        <v>Correct</v>
      </c>
      <c r="D4" s="10"/>
      <c r="E4" s="10"/>
    </row>
    <row r="5" spans="1:8" x14ac:dyDescent="0.25">
      <c r="A5" s="10" t="s">
        <v>128</v>
      </c>
      <c r="B5" s="10" t="s">
        <v>129</v>
      </c>
      <c r="C5" s="10" t="s">
        <v>197</v>
      </c>
      <c r="D5" s="10" t="s">
        <v>214</v>
      </c>
      <c r="E5" s="11">
        <v>30576</v>
      </c>
    </row>
    <row r="6" spans="1:8" x14ac:dyDescent="0.25">
      <c r="A6" s="10" t="s">
        <v>189</v>
      </c>
      <c r="B6" s="10" t="s">
        <v>131</v>
      </c>
      <c r="C6" s="10" t="s">
        <v>196</v>
      </c>
      <c r="D6" s="10"/>
      <c r="E6" s="10"/>
    </row>
    <row r="7" spans="1:8" x14ac:dyDescent="0.25">
      <c r="A7" s="10" t="s">
        <v>132</v>
      </c>
      <c r="B7" s="10" t="s">
        <v>133</v>
      </c>
      <c r="C7" s="10" t="str">
        <f>VLOOKUP(A7,'Standalone Cash Flow'!A:C,3,0)</f>
        <v>Incorrect</v>
      </c>
      <c r="D7" s="10" t="s">
        <v>208</v>
      </c>
      <c r="E7" s="11">
        <v>30414</v>
      </c>
    </row>
    <row r="8" spans="1:8" x14ac:dyDescent="0.25">
      <c r="A8" s="10" t="s">
        <v>134</v>
      </c>
      <c r="B8" s="10" t="s">
        <v>134</v>
      </c>
      <c r="C8" s="10" t="str">
        <f>VLOOKUP(A8,'Standalone Cash Flow'!A:C,3,0)</f>
        <v>Incorrect</v>
      </c>
      <c r="D8" s="10" t="s">
        <v>207</v>
      </c>
      <c r="E8" s="11">
        <v>30479</v>
      </c>
    </row>
    <row r="9" spans="1:8" x14ac:dyDescent="0.25">
      <c r="A9" s="10" t="s">
        <v>135</v>
      </c>
      <c r="B9" s="10" t="s">
        <v>136</v>
      </c>
      <c r="C9" s="10" t="str">
        <f>VLOOKUP(A9,'Standalone Cash Flow'!A:C,3,0)</f>
        <v>Incorrect</v>
      </c>
      <c r="D9" s="10" t="s">
        <v>136</v>
      </c>
      <c r="E9" s="11">
        <v>30481</v>
      </c>
    </row>
    <row r="10" spans="1:8" x14ac:dyDescent="0.25">
      <c r="A10" s="10" t="s">
        <v>137</v>
      </c>
      <c r="B10" s="10" t="s">
        <v>138</v>
      </c>
      <c r="C10" s="10" t="str">
        <f>VLOOKUP(A10,'Standalone Cash Flow'!A:C,3,0)</f>
        <v>Correct</v>
      </c>
      <c r="D10" s="10"/>
      <c r="E10" s="10"/>
    </row>
    <row r="11" spans="1:8" x14ac:dyDescent="0.25">
      <c r="A11" s="10" t="s">
        <v>139</v>
      </c>
      <c r="B11" s="10" t="s">
        <v>140</v>
      </c>
      <c r="C11" s="10" t="str">
        <f>VLOOKUP(A11,'Standalone Cash Flow'!A:C,3,0)</f>
        <v>Correct</v>
      </c>
      <c r="D11" s="10"/>
      <c r="E11" s="10"/>
    </row>
    <row r="12" spans="1:8" x14ac:dyDescent="0.25">
      <c r="A12" s="10" t="s">
        <v>141</v>
      </c>
      <c r="B12" s="10" t="s">
        <v>141</v>
      </c>
      <c r="C12" s="10" t="str">
        <f>VLOOKUP(A12,'Standalone Cash Flow'!A:C,3,0)</f>
        <v>Correct</v>
      </c>
      <c r="D12" s="10"/>
      <c r="E12" s="10"/>
    </row>
    <row r="13" spans="1:8" x14ac:dyDescent="0.25">
      <c r="A13" s="10" t="s">
        <v>142</v>
      </c>
      <c r="B13" s="10" t="s">
        <v>8</v>
      </c>
      <c r="C13" s="10" t="str">
        <f>VLOOKUP(A13,'Standalone Cash Flow'!A:C,3,0)</f>
        <v>Correct</v>
      </c>
      <c r="D13" s="10"/>
      <c r="E13" s="10"/>
    </row>
    <row r="14" spans="1:8" x14ac:dyDescent="0.25">
      <c r="A14" s="10" t="s">
        <v>143</v>
      </c>
      <c r="B14" s="10" t="s">
        <v>133</v>
      </c>
      <c r="C14" s="10" t="str">
        <f>VLOOKUP(A14,'Standalone Cash Flow'!A:C,3,0)</f>
        <v>Correct</v>
      </c>
      <c r="D14" s="10" t="s">
        <v>202</v>
      </c>
      <c r="E14" s="10"/>
    </row>
    <row r="15" spans="1:8" x14ac:dyDescent="0.25">
      <c r="A15" s="10" t="s">
        <v>144</v>
      </c>
      <c r="B15" s="10" t="s">
        <v>102</v>
      </c>
      <c r="C15" s="10" t="str">
        <f>VLOOKUP(A15,'Standalone Cash Flow'!A:C,3,0)</f>
        <v>Correct</v>
      </c>
      <c r="D15" s="10"/>
      <c r="E15" s="10"/>
    </row>
    <row r="16" spans="1:8" x14ac:dyDescent="0.25">
      <c r="A16" s="10" t="s">
        <v>145</v>
      </c>
      <c r="B16" s="10" t="s">
        <v>102</v>
      </c>
      <c r="C16" s="10" t="str">
        <f>VLOOKUP(A16,'Standalone Cash Flow'!A:C,3,0)</f>
        <v>Correct</v>
      </c>
      <c r="D16" s="10"/>
      <c r="E16" s="10"/>
    </row>
    <row r="17" spans="1:5" x14ac:dyDescent="0.25">
      <c r="A17" s="10" t="s">
        <v>146</v>
      </c>
      <c r="B17" s="10" t="s">
        <v>147</v>
      </c>
      <c r="C17" s="10" t="str">
        <f>VLOOKUP(A17,'Standalone Cash Flow'!A:C,3,0)</f>
        <v>Correct</v>
      </c>
      <c r="D17" s="10"/>
      <c r="E17" s="10"/>
    </row>
    <row r="18" spans="1:5" x14ac:dyDescent="0.25">
      <c r="A18" s="10" t="s">
        <v>148</v>
      </c>
      <c r="B18" s="10" t="s">
        <v>149</v>
      </c>
      <c r="C18" s="10" t="str">
        <f>VLOOKUP(A18,'Standalone Cash Flow'!A:C,3,0)</f>
        <v>Correct</v>
      </c>
      <c r="D18" s="10"/>
      <c r="E18" s="10"/>
    </row>
    <row r="19" spans="1:5" x14ac:dyDescent="0.25">
      <c r="A19" s="10" t="s">
        <v>83</v>
      </c>
      <c r="B19" s="10" t="s">
        <v>150</v>
      </c>
      <c r="C19" s="10" t="str">
        <f>VLOOKUP(A19,'Standalone Cash Flow'!A:C,3,0)</f>
        <v>Correct</v>
      </c>
      <c r="D19" s="10"/>
      <c r="E19" s="10"/>
    </row>
    <row r="20" spans="1:5" x14ac:dyDescent="0.25">
      <c r="A20" s="10" t="s">
        <v>151</v>
      </c>
      <c r="B20" s="10" t="s">
        <v>152</v>
      </c>
      <c r="C20" s="10" t="str">
        <f>VLOOKUP(A20,'Standalone Cash Flow'!A:C,3,0)</f>
        <v>Correct</v>
      </c>
      <c r="D20" s="10"/>
      <c r="E20" s="10"/>
    </row>
    <row r="21" spans="1:5" x14ac:dyDescent="0.25">
      <c r="A21" s="10" t="s">
        <v>71</v>
      </c>
      <c r="B21" s="10" t="s">
        <v>71</v>
      </c>
      <c r="C21" s="10" t="str">
        <f>VLOOKUP(A21,'Standalone Cash Flow'!A:C,3,0)</f>
        <v>Correct</v>
      </c>
      <c r="D21" s="10"/>
      <c r="E21" s="10"/>
    </row>
    <row r="22" spans="1:5" x14ac:dyDescent="0.25">
      <c r="A22" s="10" t="s">
        <v>153</v>
      </c>
      <c r="B22" s="10" t="s">
        <v>154</v>
      </c>
      <c r="C22" s="10" t="str">
        <f>VLOOKUP(A22,'Standalone Cash Flow'!A:C,3,0)</f>
        <v>Correct</v>
      </c>
      <c r="D22" s="10"/>
      <c r="E22" s="10"/>
    </row>
    <row r="23" spans="1:5" x14ac:dyDescent="0.25">
      <c r="A23" s="10" t="s">
        <v>155</v>
      </c>
      <c r="B23" s="10" t="s">
        <v>156</v>
      </c>
      <c r="C23" s="10" t="str">
        <f>VLOOKUP(A23,'Standalone Cash Flow'!A:C,3,0)</f>
        <v>Correct</v>
      </c>
      <c r="D23" s="10"/>
      <c r="E23" s="10"/>
    </row>
    <row r="24" spans="1:5" x14ac:dyDescent="0.25">
      <c r="A24" s="10" t="s">
        <v>157</v>
      </c>
      <c r="B24" s="10" t="s">
        <v>158</v>
      </c>
      <c r="C24" s="10" t="str">
        <f>VLOOKUP(A24,'Standalone Cash Flow'!A:C,3,0)</f>
        <v>Correct</v>
      </c>
      <c r="D24" s="10"/>
      <c r="E24" s="10"/>
    </row>
    <row r="25" spans="1:5" x14ac:dyDescent="0.25">
      <c r="A25" s="10" t="s">
        <v>159</v>
      </c>
      <c r="B25" s="10" t="s">
        <v>160</v>
      </c>
      <c r="C25" s="10" t="str">
        <f>VLOOKUP(A25,'Standalone Cash Flow'!A:C,3,0)</f>
        <v>Correct</v>
      </c>
      <c r="D25" s="10"/>
      <c r="E25" s="10"/>
    </row>
    <row r="26" spans="1:5" x14ac:dyDescent="0.25">
      <c r="A26" s="10" t="s">
        <v>161</v>
      </c>
      <c r="B26" s="10" t="s">
        <v>162</v>
      </c>
      <c r="C26" s="10" t="str">
        <f>VLOOKUP(A26,'Standalone Cash Flow'!A:C,3,0)</f>
        <v>Incorrect</v>
      </c>
      <c r="D26" s="10" t="s">
        <v>209</v>
      </c>
      <c r="E26" s="10"/>
    </row>
    <row r="27" spans="1:5" x14ac:dyDescent="0.25">
      <c r="A27" s="10" t="s">
        <v>190</v>
      </c>
      <c r="B27" s="10" t="s">
        <v>164</v>
      </c>
      <c r="C27" s="10" t="str">
        <f>VLOOKUP(A27,'Standalone Cash Flow'!A:C,3,0)</f>
        <v>Correct</v>
      </c>
      <c r="D27" s="10"/>
      <c r="E27" s="10"/>
    </row>
    <row r="28" spans="1:5" x14ac:dyDescent="0.25">
      <c r="A28" s="10" t="s">
        <v>165</v>
      </c>
      <c r="B28" s="10" t="s">
        <v>166</v>
      </c>
      <c r="C28" s="10" t="str">
        <f>VLOOKUP(A28,'Standalone Cash Flow'!A:C,3,0)</f>
        <v>Correct</v>
      </c>
      <c r="D28" s="10"/>
      <c r="E28" s="10"/>
    </row>
    <row r="29" spans="1:5" x14ac:dyDescent="0.25">
      <c r="A29" s="10" t="s">
        <v>167</v>
      </c>
      <c r="B29" s="10" t="s">
        <v>168</v>
      </c>
      <c r="C29" s="10" t="str">
        <f>VLOOKUP(A29,'Standalone Cash Flow'!A:C,3,0)</f>
        <v>Correct</v>
      </c>
      <c r="D29" s="10"/>
      <c r="E29" s="10"/>
    </row>
    <row r="30" spans="1:5" x14ac:dyDescent="0.25">
      <c r="A30" s="10" t="s">
        <v>169</v>
      </c>
      <c r="B30" s="10" t="s">
        <v>131</v>
      </c>
      <c r="C30" s="10" t="str">
        <f>VLOOKUP(A30,'Standalone Cash Flow'!A:C,3,0)</f>
        <v>Incorrect</v>
      </c>
      <c r="D30" s="10" t="s">
        <v>210</v>
      </c>
      <c r="E30" s="11">
        <v>17563</v>
      </c>
    </row>
    <row r="31" spans="1:5" x14ac:dyDescent="0.25">
      <c r="A31" s="10" t="s">
        <v>170</v>
      </c>
      <c r="B31" s="10" t="s">
        <v>138</v>
      </c>
      <c r="C31" s="10" t="str">
        <f>VLOOKUP(A31,'Standalone Cash Flow'!A:C,3,0)</f>
        <v>Correct</v>
      </c>
      <c r="D31" s="10"/>
      <c r="E31" s="10"/>
    </row>
    <row r="32" spans="1:5" x14ac:dyDescent="0.25">
      <c r="A32" s="10" t="s">
        <v>135</v>
      </c>
      <c r="B32" s="10" t="s">
        <v>136</v>
      </c>
      <c r="C32" s="10" t="str">
        <f>VLOOKUP(A32,'Standalone Cash Flow'!A:C,3,0)</f>
        <v>Incorrect</v>
      </c>
      <c r="D32" s="10" t="s">
        <v>135</v>
      </c>
      <c r="E32" s="11">
        <v>30485</v>
      </c>
    </row>
    <row r="33" spans="1:5" x14ac:dyDescent="0.25">
      <c r="A33" s="10" t="s">
        <v>171</v>
      </c>
      <c r="B33" s="10" t="s">
        <v>162</v>
      </c>
      <c r="C33" s="10" t="str">
        <f>VLOOKUP(A33,'Standalone Cash Flow'!A:C,3,0)</f>
        <v>Correct</v>
      </c>
      <c r="D33" s="10"/>
      <c r="E33" s="10"/>
    </row>
    <row r="34" spans="1:5" x14ac:dyDescent="0.25">
      <c r="A34" s="10" t="s">
        <v>172</v>
      </c>
      <c r="B34" s="10" t="s">
        <v>8</v>
      </c>
      <c r="C34" s="10" t="str">
        <f>VLOOKUP(A34,'Standalone Cash Flow'!A:C,3,0)</f>
        <v>Correct</v>
      </c>
      <c r="D34" s="10"/>
      <c r="E34" s="10"/>
    </row>
    <row r="35" spans="1:5" x14ac:dyDescent="0.25">
      <c r="A35" s="10" t="s">
        <v>134</v>
      </c>
      <c r="B35" s="10" t="s">
        <v>134</v>
      </c>
      <c r="C35" s="10" t="s">
        <v>196</v>
      </c>
      <c r="D35" s="10"/>
      <c r="E35" s="10"/>
    </row>
    <row r="36" spans="1:5" x14ac:dyDescent="0.25">
      <c r="A36" s="10" t="s">
        <v>173</v>
      </c>
      <c r="B36" s="10" t="s">
        <v>174</v>
      </c>
      <c r="C36" s="10" t="str">
        <f>VLOOKUP(A36,'Standalone Cash Flow'!A:C,3,0)</f>
        <v>Correct</v>
      </c>
      <c r="D36" s="10"/>
      <c r="E36" s="10"/>
    </row>
    <row r="37" spans="1:5" x14ac:dyDescent="0.25">
      <c r="A37" s="10" t="s">
        <v>191</v>
      </c>
      <c r="B37" s="10" t="s">
        <v>176</v>
      </c>
      <c r="C37" s="10" t="s">
        <v>196</v>
      </c>
      <c r="D37" s="10"/>
      <c r="E37" s="10"/>
    </row>
    <row r="38" spans="1:5" x14ac:dyDescent="0.25">
      <c r="A38" s="10" t="s">
        <v>177</v>
      </c>
      <c r="B38" s="10" t="s">
        <v>178</v>
      </c>
      <c r="C38" s="10" t="str">
        <f>VLOOKUP(A38,'Standalone Cash Flow'!A:C,3,0)</f>
        <v>Correct</v>
      </c>
      <c r="D38" s="10"/>
      <c r="E38" s="10"/>
    </row>
    <row r="39" spans="1:5" x14ac:dyDescent="0.25">
      <c r="A39" s="10" t="s">
        <v>179</v>
      </c>
      <c r="B39" s="10" t="s">
        <v>180</v>
      </c>
      <c r="C39" s="10" t="str">
        <f>VLOOKUP(A39,'Standalone Cash Flow'!A:C,3,0)</f>
        <v>Correct</v>
      </c>
      <c r="D39" s="10"/>
      <c r="E39" s="10"/>
    </row>
    <row r="40" spans="1:5" x14ac:dyDescent="0.25">
      <c r="A40" s="10" t="s">
        <v>192</v>
      </c>
      <c r="B40" s="10" t="s">
        <v>182</v>
      </c>
      <c r="C40" s="10" t="str">
        <f>VLOOKUP(A40,'Standalone Cash Flow'!A:C,3,0)</f>
        <v>Incorrect</v>
      </c>
      <c r="D40" s="10" t="s">
        <v>211</v>
      </c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2026-03-27T16:43:47Z</dcterms:created>
  <dcterms:modified xsi:type="dcterms:W3CDTF">2026-04-06T10:47:22Z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2026-04-01T10:46:25Z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523c2392-e3e0-492e-ac34-190b4b322adf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