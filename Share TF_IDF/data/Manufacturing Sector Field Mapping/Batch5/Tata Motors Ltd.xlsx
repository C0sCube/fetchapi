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A203E6DA-37B1-463E-971D-8CBB49D6BCB6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egment Reporting Consolid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4"/>
  <c r="H1" i="4"/>
  <c r="H2" i="5"/>
  <c r="H1" i="5"/>
  <c r="H2" i="6"/>
  <c r="H1" i="6"/>
  <c r="H3" i="7"/>
  <c r="H2" i="7"/>
  <c r="H1" i="7"/>
  <c r="H2" i="1"/>
  <c r="H1" i="1"/>
  <c r="H3" i="6" l="1"/>
  <c r="H3" i="3"/>
  <c r="H3" i="5"/>
  <c r="H3" i="2"/>
  <c r="H3" i="4"/>
  <c r="H3" i="1"/>
</calcChain>
</file>

<file path=xl/sharedStrings.xml><?xml version="1.0" encoding="utf-8"?>
<sst xmlns="http://schemas.openxmlformats.org/spreadsheetml/2006/main" count="1183" uniqueCount="339">
  <si>
    <t>Particulars</t>
  </si>
  <si>
    <t>Cogencis Field</t>
  </si>
  <si>
    <t>Revenue</t>
  </si>
  <si>
    <t>Lable</t>
  </si>
  <si>
    <t>Other operating revenue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</si>
  <si>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</si>
  <si>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</si>
  <si>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</si>
  <si>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</si>
  <si>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</si>
  <si>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</si>
  <si>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</si>
  <si>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</si>
  <si>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</si>
  <si>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products for sale</t>
  </si>
  <si>
    <t>Purchase of Stock-in-Trade</t>
  </si>
  <si>
    <t>Changes in inventories of finished goods, work-in-progress and products for sale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</si>
  <si>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</si>
  <si>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</si>
  <si>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</si>
  <si>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</si>
  <si>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</si>
  <si>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Foreign exchange loss/(gain) (net)</t>
  </si>
  <si>
    <t>Net Profit/(Loss) for the Period</t>
  </si>
  <si>
    <t>Depreciation and amortisation expense</t>
  </si>
  <si>
    <t>Depreciation, Depletion and Amortisation Expense</t>
  </si>
  <si>
    <t>Product development/engineering expenses</t>
  </si>
  <si>
    <t>Advertising &amp; Promotions</t>
  </si>
  <si>
    <t>Other expenses</t>
  </si>
  <si>
    <t>Other Expenses</t>
  </si>
  <si>
    <t>Amount transferred to capital and other accounts</t>
  </si>
  <si>
    <t>Paid-Up Equity Share Capital</t>
  </si>
  <si>
    <t>Total expenses</t>
  </si>
  <si>
    <t>Total Expenses</t>
  </si>
  <si>
    <t>Profit before exceptional items and tax ( ₹ )</t>
  </si>
  <si>
    <t>Profit/(Loss) from Ordinary Activities after Finance Costs but before Exceptional Items</t>
  </si>
  <si>
    <t>Exceptional items - loss ( net )</t>
  </si>
  <si>
    <t>Other Exceptional Items</t>
  </si>
  <si>
    <t>Profit/(loss ) before tax</t>
  </si>
  <si>
    <t>Tax expense/(credit ) ( net)</t>
  </si>
  <si>
    <t>Tax Expense</t>
  </si>
  <si>
    <t>Current tax</t>
  </si>
  <si>
    <t>Deferred tax</t>
  </si>
  <si>
    <t>Deferred Tax</t>
  </si>
  <si>
    <t>Total tax expense ( net )</t>
  </si>
  <si>
    <t>Total Field</t>
  </si>
  <si>
    <t>Profit/(loss ) for the period</t>
  </si>
  <si>
    <t>Other comprehensive income/(loss)</t>
  </si>
  <si>
    <t>Other Comprehensive Income</t>
  </si>
  <si>
    <t>Items that will not be reclassified to profit or loss -gain/jloss)</t>
  </si>
  <si>
    <t>Income tax (expense)/credit relating to items that will not be reclass ified to profit or loss</t>
  </si>
  <si>
    <t>Income Tax related to items that will not be reclassified to Profit or Loss</t>
  </si>
  <si>
    <t>Items that will be reclassified to profit or loss - gain/(loss ) in cash flow hedges</t>
  </si>
  <si>
    <t>Income tax ( expense)/credit relating to items that will be reclassified to profit or loss</t>
  </si>
  <si>
    <t>Income Tax related to items that will be reclassified to Profit or Loss</t>
  </si>
  <si>
    <t>Total other comprehensive income/(loss ) ( net of tax )</t>
  </si>
  <si>
    <t>Total comprehensive income/(loss ) for the period</t>
  </si>
  <si>
    <t>Total Comprehensive Gain (Loss) For the Year</t>
  </si>
  <si>
    <t>Equity share capital</t>
  </si>
  <si>
    <t>Reserves excluding revaluation reserve</t>
  </si>
  <si>
    <t>Reserve excluding Revaluation Reserves (as per Balance Sheet of Previous Accounting Year)</t>
  </si>
  <si>
    <t>Earnings/(loss ) per share ( EPS )</t>
  </si>
  <si>
    <t>Ordinary shares ( face value of ₹ 2 each)</t>
  </si>
  <si>
    <t>Basic EPS</t>
  </si>
  <si>
    <t>Diluted EP5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</si>
  <si>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</si>
  <si>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</si>
  <si>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</si>
  <si>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</si>
  <si>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</si>
  <si>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</si>
  <si>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</si>
  <si>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</si>
  <si>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Other intangible assets</t>
  </si>
  <si>
    <t>Other Intangible Assets</t>
  </si>
  <si>
    <t>Intangible assets under development</t>
  </si>
  <si>
    <t>Financial assets</t>
  </si>
  <si>
    <t>Investments in subsidiaries, joint ventures and associates</t>
  </si>
  <si>
    <t>Non-Current Investments</t>
  </si>
  <si>
    <t>Other 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</si>
  <si>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</si>
  <si>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</si>
  <si>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</si>
  <si>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</si>
  <si>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</si>
  <si>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</si>
  <si>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</si>
  <si>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</si>
  <si>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</si>
  <si>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</si>
  <si>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</si>
  <si>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</si>
  <si>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</si>
  <si>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</si>
  <si>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</si>
  <si>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thanabove</t>
  </si>
  <si>
    <t>Bank balance other than cash and cash equivalents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</si>
  <si>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</si>
  <si>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</si>
  <si>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</si>
  <si>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</si>
  <si>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</si>
  <si>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</si>
  <si>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Share Capital</t>
  </si>
  <si>
    <t>Equity share capital to be issued pursuant to the Scheme</t>
  </si>
  <si>
    <t>Reserves And Surplus/Other Equity</t>
  </si>
  <si>
    <t>Other equity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</si>
  <si>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</si>
  <si>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</si>
  <si>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</si>
  <si>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</si>
  <si>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</si>
  <si>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</si>
  <si>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</si>
  <si>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</si>
  <si>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</si>
  <si>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</si>
  <si>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</si>
  <si>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</si>
  <si>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</si>
  <si>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</si>
  <si>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</si>
  <si>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</si>
  <si>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</si>
  <si>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</si>
  <si>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Acceptances</t>
  </si>
  <si>
    <t>Goodwill</t>
  </si>
  <si>
    <t>Other current liabilities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</si>
  <si>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</si>
  <si>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</si>
  <si>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</si>
  <si>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</si>
  <si>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</si>
  <si>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Profit for the period</t>
  </si>
  <si>
    <t>Net Profit Before Tax And Exceptional Item</t>
  </si>
  <si>
    <t>Adjustments for :</t>
  </si>
  <si>
    <t>Depreciation and Amortisation Expense</t>
  </si>
  <si>
    <t>Allowance for trade receivables, loans and other receivables</t>
  </si>
  <si>
    <t>Provision For Doubtful Debts</t>
  </si>
  <si>
    <t>Discounting of warranty and other provisions</t>
  </si>
  <si>
    <t>Cash Advances and Loans Made to Other Parties</t>
  </si>
  <si>
    <t>Inventory write ( back)/down ( net )</t>
  </si>
  <si>
    <t>Fixed Deposits</t>
  </si>
  <si>
    <t>Non cash exceptional items - loss/(gain )</t>
  </si>
  <si>
    <t>Others-Before Working Capital Changes</t>
  </si>
  <si>
    <t>Lease charges ( Amortisation considered as employee cost )</t>
  </si>
  <si>
    <t>Payments of lease liabilities</t>
  </si>
  <si>
    <t>(Profit)/loss on sale of assets ( net ) ( including assets scrapped / written off )</t>
  </si>
  <si>
    <t>Loss On Sale Of Fixed Assets</t>
  </si>
  <si>
    <t>Profit on sale of investments at FVTPL ( net )</t>
  </si>
  <si>
    <t>Profit On Sale Of Investments</t>
  </si>
  <si>
    <t>Marked - to - market gain on investments measured at FVTPL</t>
  </si>
  <si>
    <t>Tax expense ( net )</t>
  </si>
  <si>
    <t>Interest Expense</t>
  </si>
  <si>
    <t>Interest income</t>
  </si>
  <si>
    <t>Interest Received</t>
  </si>
  <si>
    <t>Dividend income</t>
  </si>
  <si>
    <t>Dividend Received</t>
  </si>
  <si>
    <t>Unrealized foreign exchange loss/(gain ) ( net )</t>
  </si>
  <si>
    <t>Foreign Exchange Gain / Loss</t>
  </si>
  <si>
    <t>Cash flows from operating activities before changes in following assets and liabilities</t>
  </si>
  <si>
    <t>Trade And Other Receivables</t>
  </si>
  <si>
    <t>Loans and other financial assets</t>
  </si>
  <si>
    <t>Loans And Advances</t>
  </si>
  <si>
    <t>Other current and non - current assets</t>
  </si>
  <si>
    <t>Other Current and Non Current Assets</t>
  </si>
  <si>
    <t>Trade Payables And Others</t>
  </si>
  <si>
    <t>Other current and non - current liabilities</t>
  </si>
  <si>
    <t>Other Current and Non Current Liabilities</t>
  </si>
  <si>
    <t>Adjustments for other financial assets, non-current</t>
  </si>
  <si>
    <t>Cash generated from operations</t>
  </si>
  <si>
    <t>Cash Generated From Operations</t>
  </si>
  <si>
    <t>Income tax paid ( net )</t>
  </si>
  <si>
    <t>Income Tax Paid</t>
  </si>
  <si>
    <t>Net cash generated from operating activities</t>
  </si>
  <si>
    <t>Net Cash Flow From Operating Activities</t>
  </si>
  <si>
    <t>Cash flows used in investing activities :</t>
  </si>
  <si>
    <t>Payments for property, plant and equipments</t>
  </si>
  <si>
    <t>Purchase Of Fixed Assets (Tangible / Intangible)</t>
  </si>
  <si>
    <t>Payments for other intangible assets</t>
  </si>
  <si>
    <t>Acquisition/Merger Expenses</t>
  </si>
  <si>
    <t>Proceeds from sale of property, plant and equipments</t>
  </si>
  <si>
    <t>Sale Of Fixed Assets (Tangible / Intangible)</t>
  </si>
  <si>
    <t>Investments in Mutual Fund ( purchase)/sold ( net )</t>
  </si>
  <si>
    <t>Sale Of Investments</t>
  </si>
  <si>
    <t>Investments in subsidiary companies</t>
  </si>
  <si>
    <t>Investment In Subsidiaries</t>
  </si>
  <si>
    <t>Investments in joint venture</t>
  </si>
  <si>
    <t>Investments in Subsidiaries and/or Joint Ventures</t>
  </si>
  <si>
    <t>Investments in an associate company</t>
  </si>
  <si>
    <t>Share Of Profit &amp; Loss from Partnership Firm or Association of Persons Etc</t>
  </si>
  <si>
    <t>Redemption of investments in joint venture</t>
  </si>
  <si>
    <t>Loan given to subsidiary companies</t>
  </si>
  <si>
    <t>Loans To Subsidiaries</t>
  </si>
  <si>
    <t>Repayment of loan by subsidiary companies</t>
  </si>
  <si>
    <t>Cash Receipts from Repayment of Advances and Loans Made to Other Parties</t>
  </si>
  <si>
    <t>Increase in short term inter corporate deposit</t>
  </si>
  <si>
    <t>Deposits / restricted deposits with banks</t>
  </si>
  <si>
    <t>Realisation of deposits / restricted deposits with banks</t>
  </si>
  <si>
    <t>Others-Investing Activities</t>
  </si>
  <si>
    <t>Interest received</t>
  </si>
  <si>
    <t>Interest Income</t>
  </si>
  <si>
    <t>Dividend received</t>
  </si>
  <si>
    <t>Net cash used in investing activities</t>
  </si>
  <si>
    <t>Net Cash Flow From Investing Activities</t>
  </si>
  <si>
    <t>Cash flows ( used in)/from financing activities :</t>
  </si>
  <si>
    <t>Repayment of long - term borrowings</t>
  </si>
  <si>
    <t>Repayment Of Long Term Borrowings</t>
  </si>
  <si>
    <t>Net change in other short - term borrowings ( with maturity up to three months )</t>
  </si>
  <si>
    <t>Repayment of lease liabilities ( including interest )</t>
  </si>
  <si>
    <t>Interest paid ( including discounting charges paid , 85 crores (September 30, 2024 57 crores)]</t>
  </si>
  <si>
    <t>Net cash ( used in)/from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</si>
  <si>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</si>
  <si>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</si>
  <si>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</si>
  <si>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- opening balance</t>
  </si>
  <si>
    <t>Cash and Cash Equivalents at the Beginning of the Year</t>
  </si>
  <si>
    <t>Net Assets changes Recognized pursuant to the Scheme</t>
  </si>
  <si>
    <t>Effect of foreign exchange on cash and cash equivalents</t>
  </si>
  <si>
    <t>Effect of Exchange Fluctuation Translation Reserve</t>
  </si>
  <si>
    <t>Cash and cash equivalents as at September 30, (closing balance)</t>
  </si>
  <si>
    <t>Cash and Cash Equivalents at the End of the Year</t>
  </si>
  <si>
    <t>Non - cash transactions :</t>
  </si>
  <si>
    <t>Liability towards property plant and equipment and other intangible assets purchased on credit/deferred</t>
  </si>
  <si>
    <t>Profit On Sale Of Fixed Assets</t>
  </si>
  <si>
    <t>Increase/(decrease ) in liabilities arising from financing activities on account of non - cash transactions :</t>
  </si>
  <si>
    <t>Exchange differences</t>
  </si>
  <si>
    <t>Amortisation / effective interest rate adjustment of borrowings</t>
  </si>
  <si>
    <t>Fair value loss on equity investments measured at FVTPL</t>
  </si>
  <si>
    <t>Items that will not be reclassified to Profit or Loss</t>
  </si>
  <si>
    <t>Profit/(loss) before share of profit/(loss) in equity accounted investees, exceptional items and tax</t>
  </si>
  <si>
    <t>Profit/(Loss) from ordinary activities before finance costs and exceptional items</t>
  </si>
  <si>
    <t>Share of profit/(loss) in equity accounted investees (net)</t>
  </si>
  <si>
    <t>Share of Profit/(loss) of associates and Joint Ventures before ebt</t>
  </si>
  <si>
    <t>Profit/(loss) before exceptional items and tax</t>
  </si>
  <si>
    <t>Exceptional items</t>
  </si>
  <si>
    <t>Tax expense (net)</t>
  </si>
  <si>
    <t>Income tax (expense)/credit relating to items that will not be reclass ified to profit or  loss</t>
  </si>
  <si>
    <t xml:space="preserve">Items that will be reclassified to profit or loss </t>
  </si>
  <si>
    <t>Items that will be reclassified to Profit or Loss</t>
  </si>
  <si>
    <t>Total comprehensive income/(loss) for the period (net of tax)</t>
  </si>
  <si>
    <t>Paid-up equity share capital (face value of U each)</t>
  </si>
  <si>
    <t>Investment in equity accounted investees</t>
  </si>
  <si>
    <t>Investment accounted for using equity method</t>
  </si>
  <si>
    <t>Financial assets :</t>
  </si>
  <si>
    <t>Current tax assets ( net )</t>
  </si>
  <si>
    <t>Current Tax Assets (Net)</t>
  </si>
  <si>
    <t>Assets classified as held - for - sale</t>
  </si>
  <si>
    <t>Assets classified as held for sale</t>
  </si>
  <si>
    <t>Financial liabilities :</t>
  </si>
  <si>
    <t>Allowances for trade and other receivables</t>
  </si>
  <si>
    <t>Inventory write-(back)/down ( net )</t>
  </si>
  <si>
    <t>Non cash exceptional items loss/(gain )</t>
  </si>
  <si>
    <t>Marked - to - market gain on investments measured at fair value through profit or loss ( income)/loss on sale of assets ( including assets scrapped / written off ) ( net )</t>
  </si>
  <si>
    <t>Profit on sale of investments ( net )</t>
  </si>
  <si>
    <t>Share of profit in equity accounted investees ( net )</t>
  </si>
  <si>
    <t>Unrealised Foreign exchange loss/(gain ) ( net )</t>
  </si>
  <si>
    <t>Finance receivables</t>
  </si>
  <si>
    <t>Net cash from operating activities</t>
  </si>
  <si>
    <t>Cash flows from/(used in ) Investing activities :</t>
  </si>
  <si>
    <t>Investments in mutual fund sold/(purchased)(net )</t>
  </si>
  <si>
    <t>Investment in other companies</t>
  </si>
  <si>
    <t>Purchase Of Investments</t>
  </si>
  <si>
    <t>Dividend received from equity accounted investees</t>
  </si>
  <si>
    <t>Realisation of Inter corporate deposits</t>
  </si>
  <si>
    <t>Inter Corporate Deposits</t>
  </si>
  <si>
    <t>Deposit / restricted deposits with financial institution</t>
  </si>
  <si>
    <t>Realisation of deposit with financial institution</t>
  </si>
  <si>
    <t>Net cash from/(used in ) investing activities</t>
  </si>
  <si>
    <t>Cash flows from financing activities :</t>
  </si>
  <si>
    <t>Proceeds from long - term borrowings</t>
  </si>
  <si>
    <t>Proceeds From Long Term Borrowings</t>
  </si>
  <si>
    <t>Repayment of lease liability ( including interest )</t>
  </si>
  <si>
    <t>Interest paid ( including discounting charges paid ~85 crores (From June 23, to September 30, 2024 ~59 crores)]</t>
  </si>
  <si>
    <t>Net cash used in financing activities</t>
  </si>
  <si>
    <t>Cash and cash equivalents as at April 1 / June 23</t>
  </si>
  <si>
    <t>Additions pursuant to the Scheme</t>
  </si>
  <si>
    <t>Effect of demerger of CV undertaking</t>
  </si>
  <si>
    <t>Cash and cash equivalents as at September 30</t>
  </si>
  <si>
    <t>Liability towards property</t>
  </si>
  <si>
    <t>Increase in liabilities arising from financing activities on account of non - cash transactions :</t>
  </si>
  <si>
    <t>Other Adjustments</t>
  </si>
  <si>
    <t>Amortisation of prepaid discounting charges</t>
  </si>
  <si>
    <t>Revenue from operations</t>
  </si>
  <si>
    <t>Automotive and related activity</t>
  </si>
  <si>
    <t>Tata and other brands vehicles</t>
  </si>
  <si>
    <t>Proceeds From Short Term Borrowings</t>
  </si>
  <si>
    <t>Commercial Vehicle</t>
  </si>
  <si>
    <t>Corporate / Unallocable</t>
  </si>
  <si>
    <t>Total</t>
  </si>
  <si>
    <t>Others</t>
  </si>
  <si>
    <t>Total Segment Revenue</t>
  </si>
  <si>
    <t>Less : Inter segment revenue</t>
  </si>
  <si>
    <t>Revenue from Operations</t>
  </si>
  <si>
    <t>Segment results before other income ( excluding government incentives ) finance costs foreign exchange gain/(loss) (net), exceptional items and tax</t>
  </si>
  <si>
    <t>Net Cash Flow From Financing Activities Before EOI</t>
  </si>
  <si>
    <t>Total Segment results</t>
  </si>
  <si>
    <t>Less : Inter segment eliminations</t>
  </si>
  <si>
    <t>Net Segment results</t>
  </si>
  <si>
    <t>Add/(Less ): Other income ( excluding Government Incentives )</t>
  </si>
  <si>
    <t>Add/(Less ): Finance costs</t>
  </si>
  <si>
    <t>Interest Paid</t>
  </si>
  <si>
    <t>Add/(Less ): Net loss on fair value change of investment at FVTPL</t>
  </si>
  <si>
    <t>Add/(Less ): Foreign exchange gain/(loss ) ( net )</t>
  </si>
  <si>
    <t>Add/(Less ): Share of profit in equity accounted investees</t>
  </si>
  <si>
    <t>Add/(Less ): Exceptional items - gain/(loss )</t>
  </si>
  <si>
    <t>Total Profit/(loss ) before tax</t>
  </si>
  <si>
    <t>Segment Assets (Including assets classified as held-for-sale)</t>
  </si>
  <si>
    <t>Total Segment Assets</t>
  </si>
  <si>
    <t>Net Segment Assets</t>
  </si>
  <si>
    <t>Tata and other brands vehicles - Corporate / Unallocable</t>
  </si>
  <si>
    <t>Add : Unallocable assets</t>
  </si>
  <si>
    <t>Segment Liabilities</t>
  </si>
  <si>
    <t>Total Segment Liabilities</t>
  </si>
  <si>
    <t>Net Segment Liabilities</t>
  </si>
  <si>
    <t>Add : Unallocable liabilities</t>
  </si>
  <si>
    <t>Total Liabilities</t>
  </si>
  <si>
    <t>Status</t>
  </si>
  <si>
    <t>Correct Field Mapping</t>
  </si>
  <si>
    <t>Field id</t>
  </si>
  <si>
    <t>Correct</t>
  </si>
  <si>
    <t>Incorrect</t>
  </si>
  <si>
    <t>Accuracy %</t>
  </si>
  <si>
    <t>Gross Sales/Income from Operations</t>
  </si>
  <si>
    <t>Foreign Exchange (Gain)/Loss (Finance Cost)</t>
  </si>
  <si>
    <t>Operating Expenses</t>
  </si>
  <si>
    <t>Label</t>
  </si>
  <si>
    <t>Profit/(Loss) From Ordinary Activities before Tax</t>
  </si>
  <si>
    <t>(Gain) Loss on Sale of Investments</t>
  </si>
  <si>
    <t>Items that will not be reclassified to profit or loss -gain/loss)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</si>
  <si>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</si>
  <si>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</si>
  <si>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</si>
  <si>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</si>
  <si>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</si>
  <si>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Ignore this field</t>
  </si>
  <si>
    <t>Miscellaneous Expenditure Written Off</t>
  </si>
  <si>
    <t>ignore this field</t>
  </si>
  <si>
    <t>Adjustments for other financial liabilities,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</si>
</sst>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/>
  </sheetViews>
  <sheetFormatPr defaultRowHeight="15" x14ac:dyDescent="0.25"/>
  <cols>
    <col min="1" max="1" width="69.7109375" customWidth="1"/>
    <col min="2" max="2" width="51.28515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317</v>
      </c>
      <c r="D1" s="2" t="s">
        <v>318</v>
      </c>
      <c r="E1" s="3" t="s">
        <v>319</v>
      </c>
      <c r="G1" s="4" t="s">
        <v>320</v>
      </c>
      <c r="H1" s="5">
        <f>COUNTIF(C:C,G1)</f>
        <v>28</v>
      </c>
    </row>
    <row r="2" spans="1:8" x14ac:dyDescent="0.25">
      <c r="A2" s="10" t="s">
        <v>2</v>
      </c>
      <c r="B2" s="10" t="s">
        <v>3</v>
      </c>
      <c r="C2" s="10" t="s">
        <v>321</v>
      </c>
      <c r="D2" s="10" t="s">
        <v>323</v>
      </c>
      <c r="E2" s="10">
        <v>256</v>
      </c>
      <c r="G2" s="6" t="s">
        <v>321</v>
      </c>
      <c r="H2" s="7">
        <f>COUNTIF(C:C,G2)</f>
        <v>9</v>
      </c>
    </row>
    <row r="3" spans="1:8" ht="15.75" thickBot="1" x14ac:dyDescent="0.3">
      <c r="A3" s="10" t="s">
        <v>4</v>
      </c>
      <c r="B3" s="10" t="s">
        <v>5</v>
      </c>
      <c r="C3" s="10" t="s">
        <v>320</v>
      </c>
      <c r="D3" s="10"/>
      <c r="E3" s="10"/>
      <c r="G3" s="8" t="s">
        <v>322</v>
      </c>
      <c r="H3" s="9">
        <f>H1/SUM(H1:H2)</f>
        <v>0.7567567567567568</v>
      </c>
    </row>
    <row r="4" spans="1:8" x14ac:dyDescent="0.25">
      <c r="A4" s="10" t="s">
        <v>6</v>
      </c>
      <c r="B4" s="10" t="s">
        <v>7</v>
      </c>
      <c r="C4" s="10" t="s">
        <v>320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320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320</v>
      </c>
      <c r="D6" s="10"/>
      <c r="E6" s="10"/>
    </row>
    <row r="7" spans="1:8" x14ac:dyDescent="0.25">
      <c r="A7" s="10" t="s">
        <v>11</v>
      </c>
      <c r="B7" s="10" t="s">
        <v>3</v>
      </c>
      <c r="C7" s="10" t="s">
        <v>320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320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320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320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320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320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321</v>
      </c>
      <c r="D13" s="10" t="s">
        <v>324</v>
      </c>
      <c r="E13" s="10">
        <v>247</v>
      </c>
    </row>
    <row r="14" spans="1:8" x14ac:dyDescent="0.25">
      <c r="A14" s="10" t="s">
        <v>24</v>
      </c>
      <c r="B14" s="10" t="s">
        <v>25</v>
      </c>
      <c r="C14" s="10" t="s">
        <v>320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321</v>
      </c>
      <c r="D15" s="10" t="s">
        <v>325</v>
      </c>
      <c r="E15" s="10">
        <v>276</v>
      </c>
    </row>
    <row r="16" spans="1:8" x14ac:dyDescent="0.25">
      <c r="A16" s="10" t="s">
        <v>28</v>
      </c>
      <c r="B16" s="10" t="s">
        <v>29</v>
      </c>
      <c r="C16" s="10" t="s">
        <v>320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321</v>
      </c>
      <c r="D17" s="10" t="s">
        <v>29</v>
      </c>
      <c r="E17" s="10">
        <v>279</v>
      </c>
    </row>
    <row r="18" spans="1:5" x14ac:dyDescent="0.25">
      <c r="A18" s="10" t="s">
        <v>32</v>
      </c>
      <c r="B18" s="10" t="s">
        <v>33</v>
      </c>
      <c r="C18" s="10" t="s">
        <v>320</v>
      </c>
      <c r="D18" s="10"/>
      <c r="E18" s="10"/>
    </row>
    <row r="19" spans="1:5" x14ac:dyDescent="0.25">
      <c r="A19" s="10" t="s">
        <v>34</v>
      </c>
      <c r="B19" s="10" t="s">
        <v>35</v>
      </c>
      <c r="C19" s="10" t="s">
        <v>320</v>
      </c>
      <c r="D19" s="10"/>
      <c r="E19" s="10"/>
    </row>
    <row r="20" spans="1:5" x14ac:dyDescent="0.25">
      <c r="A20" s="10" t="s">
        <v>36</v>
      </c>
      <c r="B20" s="10" t="s">
        <v>37</v>
      </c>
      <c r="C20" s="10" t="s">
        <v>320</v>
      </c>
      <c r="D20" s="10"/>
      <c r="E20" s="10"/>
    </row>
    <row r="21" spans="1:5" x14ac:dyDescent="0.25">
      <c r="A21" s="10" t="s">
        <v>38</v>
      </c>
      <c r="B21" s="10" t="s">
        <v>3</v>
      </c>
      <c r="C21" s="10" t="s">
        <v>321</v>
      </c>
      <c r="D21" s="10" t="s">
        <v>327</v>
      </c>
      <c r="E21" s="10">
        <v>296</v>
      </c>
    </row>
    <row r="22" spans="1:5" x14ac:dyDescent="0.25">
      <c r="A22" s="10" t="s">
        <v>39</v>
      </c>
      <c r="B22" s="10" t="s">
        <v>40</v>
      </c>
      <c r="C22" s="10" t="s">
        <v>321</v>
      </c>
      <c r="D22" s="10" t="s">
        <v>326</v>
      </c>
      <c r="E22" s="10"/>
    </row>
    <row r="23" spans="1:5" x14ac:dyDescent="0.25">
      <c r="A23" s="10" t="s">
        <v>41</v>
      </c>
      <c r="B23" s="10" t="s">
        <v>40</v>
      </c>
      <c r="C23" s="10" t="s">
        <v>320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320</v>
      </c>
      <c r="D24" s="10"/>
      <c r="E24" s="10"/>
    </row>
    <row r="25" spans="1:5" x14ac:dyDescent="0.25">
      <c r="A25" s="10" t="s">
        <v>44</v>
      </c>
      <c r="B25" s="10" t="s">
        <v>45</v>
      </c>
      <c r="C25" s="10"/>
      <c r="D25" s="10" t="s">
        <v>337</v>
      </c>
      <c r="E25" s="10"/>
    </row>
    <row r="26" spans="1:5" x14ac:dyDescent="0.25">
      <c r="A26" s="10" t="s">
        <v>46</v>
      </c>
      <c r="B26" s="10" t="s">
        <v>23</v>
      </c>
      <c r="C26" s="10" t="s">
        <v>320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321</v>
      </c>
      <c r="D27" s="10" t="s">
        <v>326</v>
      </c>
      <c r="E27" s="10"/>
    </row>
    <row r="28" spans="1:5" x14ac:dyDescent="0.25">
      <c r="A28" s="10" t="s">
        <v>49</v>
      </c>
      <c r="B28" s="10" t="s">
        <v>3</v>
      </c>
      <c r="C28" s="10" t="s">
        <v>321</v>
      </c>
      <c r="D28" s="10" t="s">
        <v>229</v>
      </c>
      <c r="E28" s="10">
        <v>22293</v>
      </c>
    </row>
    <row r="29" spans="1:5" x14ac:dyDescent="0.25">
      <c r="A29" s="10" t="s">
        <v>50</v>
      </c>
      <c r="B29" s="10" t="s">
        <v>51</v>
      </c>
      <c r="C29" s="10" t="s">
        <v>320</v>
      </c>
      <c r="D29" s="10"/>
      <c r="E29" s="10"/>
    </row>
    <row r="30" spans="1:5" x14ac:dyDescent="0.25">
      <c r="A30" s="10" t="s">
        <v>52</v>
      </c>
      <c r="B30" s="10" t="s">
        <v>3</v>
      </c>
      <c r="C30" s="10" t="s">
        <v>321</v>
      </c>
      <c r="D30" s="10" t="s">
        <v>239</v>
      </c>
      <c r="E30" s="10">
        <v>22294</v>
      </c>
    </row>
    <row r="31" spans="1:5" x14ac:dyDescent="0.25">
      <c r="A31" s="10" t="s">
        <v>53</v>
      </c>
      <c r="B31" s="10" t="s">
        <v>54</v>
      </c>
      <c r="C31" s="10" t="s">
        <v>320</v>
      </c>
      <c r="D31" s="10"/>
      <c r="E31" s="10"/>
    </row>
    <row r="32" spans="1:5" x14ac:dyDescent="0.25">
      <c r="A32" s="10" t="s">
        <v>55</v>
      </c>
      <c r="B32" s="10" t="s">
        <v>48</v>
      </c>
      <c r="C32" s="10" t="s">
        <v>320</v>
      </c>
      <c r="D32" s="10"/>
      <c r="E32" s="10"/>
    </row>
    <row r="33" spans="1:5" x14ac:dyDescent="0.25">
      <c r="A33" s="10" t="s">
        <v>56</v>
      </c>
      <c r="B33" s="10" t="s">
        <v>57</v>
      </c>
      <c r="C33" s="10" t="s">
        <v>320</v>
      </c>
      <c r="D33" s="10"/>
      <c r="E33" s="10"/>
    </row>
    <row r="34" spans="1:5" x14ac:dyDescent="0.25">
      <c r="A34" s="10" t="s">
        <v>58</v>
      </c>
      <c r="B34" s="10" t="s">
        <v>31</v>
      </c>
      <c r="C34" s="10" t="s">
        <v>320</v>
      </c>
      <c r="D34" s="10"/>
      <c r="E34" s="10"/>
    </row>
    <row r="35" spans="1:5" x14ac:dyDescent="0.25">
      <c r="A35" s="10" t="s">
        <v>59</v>
      </c>
      <c r="B35" s="10" t="s">
        <v>60</v>
      </c>
      <c r="C35" s="10" t="s">
        <v>320</v>
      </c>
      <c r="D35" s="10"/>
      <c r="E35" s="10"/>
    </row>
    <row r="36" spans="1:5" x14ac:dyDescent="0.25">
      <c r="A36" s="10" t="s">
        <v>61</v>
      </c>
      <c r="B36" s="10" t="s">
        <v>3</v>
      </c>
      <c r="C36" s="10" t="s">
        <v>320</v>
      </c>
      <c r="D36" s="10"/>
      <c r="E36" s="10"/>
    </row>
    <row r="37" spans="1:5" x14ac:dyDescent="0.25">
      <c r="A37" s="10" t="s">
        <v>62</v>
      </c>
      <c r="B37" s="10" t="s">
        <v>3</v>
      </c>
      <c r="C37" s="10" t="s">
        <v>320</v>
      </c>
      <c r="D37" s="10"/>
      <c r="E37" s="10"/>
    </row>
    <row r="38" spans="1:5" x14ac:dyDescent="0.25">
      <c r="A38" s="10" t="s">
        <v>63</v>
      </c>
      <c r="B38" s="10" t="s">
        <v>63</v>
      </c>
      <c r="C38" s="10" t="s">
        <v>320</v>
      </c>
      <c r="D38" s="10"/>
      <c r="E38" s="10"/>
    </row>
    <row r="39" spans="1:5" x14ac:dyDescent="0.25">
      <c r="A39" s="10" t="s">
        <v>64</v>
      </c>
      <c r="B39" s="10" t="s">
        <v>65</v>
      </c>
      <c r="C39" s="10" t="s">
        <v>320</v>
      </c>
      <c r="D39" s="10"/>
      <c r="E3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/>
  </sheetViews>
  <sheetFormatPr defaultRowHeight="15" x14ac:dyDescent="0.25"/>
  <cols>
    <col min="1" max="1" width="64.28515625" customWidth="1"/>
    <col min="2" max="2" width="84.140625" bestFit="1" customWidth="1"/>
    <col min="4" max="4" width="31.85546875" customWidth="1"/>
  </cols>
  <sheetData>
    <row r="1" spans="1:8" x14ac:dyDescent="0.25">
      <c r="A1" s="1" t="s">
        <v>0</v>
      </c>
      <c r="B1" s="1" t="s">
        <v>1</v>
      </c>
      <c r="C1" s="2" t="s">
        <v>317</v>
      </c>
      <c r="D1" s="2" t="s">
        <v>318</v>
      </c>
      <c r="E1" s="3" t="s">
        <v>319</v>
      </c>
      <c r="G1" s="4" t="s">
        <v>320</v>
      </c>
      <c r="H1" s="5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321</v>
      </c>
      <c r="D2" s="10" t="s">
        <v>323</v>
      </c>
      <c r="E2" s="10">
        <v>256</v>
      </c>
      <c r="G2" s="6" t="s">
        <v>321</v>
      </c>
      <c r="H2" s="7">
        <f>COUNTIF(C:C,G2)</f>
        <v>10</v>
      </c>
    </row>
    <row r="3" spans="1:8" ht="15.75" thickBot="1" x14ac:dyDescent="0.3">
      <c r="A3" s="10" t="s">
        <v>4</v>
      </c>
      <c r="B3" s="10" t="s">
        <v>5</v>
      </c>
      <c r="C3" s="10" t="s">
        <v>320</v>
      </c>
      <c r="D3" s="10"/>
      <c r="E3" s="10"/>
      <c r="G3" s="8" t="s">
        <v>322</v>
      </c>
      <c r="H3" s="9">
        <f>H1/SUM(H1:H2)</f>
        <v>0.75</v>
      </c>
    </row>
    <row r="4" spans="1:8" x14ac:dyDescent="0.25">
      <c r="A4" s="10" t="s">
        <v>6</v>
      </c>
      <c r="B4" s="10" t="s">
        <v>7</v>
      </c>
      <c r="C4" s="10" t="s">
        <v>320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320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320</v>
      </c>
      <c r="D6" s="10"/>
      <c r="E6" s="10"/>
    </row>
    <row r="7" spans="1:8" x14ac:dyDescent="0.25">
      <c r="A7" s="10" t="s">
        <v>11</v>
      </c>
      <c r="B7" s="10" t="s">
        <v>3</v>
      </c>
      <c r="C7" s="10" t="s">
        <v>320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320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320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320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320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320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321</v>
      </c>
      <c r="D13" s="10" t="s">
        <v>324</v>
      </c>
      <c r="E13" s="10">
        <v>247</v>
      </c>
    </row>
    <row r="14" spans="1:8" x14ac:dyDescent="0.25">
      <c r="A14" s="10" t="s">
        <v>24</v>
      </c>
      <c r="B14" s="10" t="s">
        <v>25</v>
      </c>
      <c r="C14" s="10" t="s">
        <v>320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321</v>
      </c>
      <c r="D15" s="10" t="s">
        <v>325</v>
      </c>
      <c r="E15" s="10">
        <v>276</v>
      </c>
    </row>
    <row r="16" spans="1:8" x14ac:dyDescent="0.25">
      <c r="A16" s="10" t="s">
        <v>28</v>
      </c>
      <c r="B16" s="10" t="s">
        <v>29</v>
      </c>
      <c r="C16" s="10" t="s">
        <v>320</v>
      </c>
      <c r="D16" s="10"/>
      <c r="E16" s="10"/>
    </row>
    <row r="17" spans="1:5" x14ac:dyDescent="0.25">
      <c r="A17" s="10" t="s">
        <v>228</v>
      </c>
      <c r="B17" s="10" t="s">
        <v>229</v>
      </c>
      <c r="C17" s="10" t="s">
        <v>321</v>
      </c>
      <c r="D17" s="10" t="s">
        <v>328</v>
      </c>
      <c r="E17" s="10">
        <v>253</v>
      </c>
    </row>
    <row r="18" spans="1:5" x14ac:dyDescent="0.25">
      <c r="A18" s="10" t="s">
        <v>30</v>
      </c>
      <c r="B18" s="10" t="s">
        <v>31</v>
      </c>
      <c r="C18" s="10" t="s">
        <v>321</v>
      </c>
      <c r="D18" s="10" t="s">
        <v>29</v>
      </c>
      <c r="E18" s="10">
        <v>279</v>
      </c>
    </row>
    <row r="19" spans="1:5" x14ac:dyDescent="0.25">
      <c r="A19" s="10" t="s">
        <v>32</v>
      </c>
      <c r="B19" s="10" t="s">
        <v>33</v>
      </c>
      <c r="C19" s="10" t="s">
        <v>320</v>
      </c>
      <c r="D19" s="10"/>
      <c r="E19" s="10"/>
    </row>
    <row r="20" spans="1:5" x14ac:dyDescent="0.25">
      <c r="A20" s="10" t="s">
        <v>230</v>
      </c>
      <c r="B20" s="10" t="s">
        <v>231</v>
      </c>
      <c r="C20" s="10" t="s">
        <v>321</v>
      </c>
      <c r="D20" s="10" t="s">
        <v>335</v>
      </c>
      <c r="E20" s="10"/>
    </row>
    <row r="21" spans="1:5" x14ac:dyDescent="0.25">
      <c r="A21" s="10" t="s">
        <v>232</v>
      </c>
      <c r="B21" s="10" t="s">
        <v>233</v>
      </c>
      <c r="C21" s="10" t="s">
        <v>320</v>
      </c>
      <c r="D21" s="10"/>
      <c r="E21" s="10"/>
    </row>
    <row r="22" spans="1:5" x14ac:dyDescent="0.25">
      <c r="A22" s="10" t="s">
        <v>234</v>
      </c>
      <c r="B22" s="10" t="s">
        <v>35</v>
      </c>
      <c r="C22" s="10" t="s">
        <v>320</v>
      </c>
      <c r="D22" s="10"/>
      <c r="E22" s="10"/>
    </row>
    <row r="23" spans="1:5" x14ac:dyDescent="0.25">
      <c r="A23" s="10" t="s">
        <v>235</v>
      </c>
      <c r="B23" s="10" t="s">
        <v>37</v>
      </c>
      <c r="C23" s="10" t="s">
        <v>320</v>
      </c>
      <c r="D23" s="10"/>
      <c r="E23" s="10"/>
    </row>
    <row r="24" spans="1:5" x14ac:dyDescent="0.25">
      <c r="A24" s="10" t="s">
        <v>38</v>
      </c>
      <c r="B24" s="10" t="s">
        <v>3</v>
      </c>
      <c r="C24" s="10" t="s">
        <v>321</v>
      </c>
      <c r="D24" s="10" t="s">
        <v>327</v>
      </c>
      <c r="E24" s="10">
        <v>296</v>
      </c>
    </row>
    <row r="25" spans="1:5" x14ac:dyDescent="0.25">
      <c r="A25" s="10" t="s">
        <v>236</v>
      </c>
      <c r="B25" s="10" t="s">
        <v>3</v>
      </c>
      <c r="C25" s="10" t="s">
        <v>320</v>
      </c>
      <c r="D25" s="10"/>
      <c r="E25" s="10"/>
    </row>
    <row r="26" spans="1:5" x14ac:dyDescent="0.25">
      <c r="A26" s="10" t="s">
        <v>41</v>
      </c>
      <c r="B26" s="10" t="s">
        <v>40</v>
      </c>
      <c r="C26" s="10" t="s">
        <v>320</v>
      </c>
      <c r="D26" s="10"/>
      <c r="E26" s="10"/>
    </row>
    <row r="27" spans="1:5" x14ac:dyDescent="0.25">
      <c r="A27" s="10" t="s">
        <v>42</v>
      </c>
      <c r="B27" s="10" t="s">
        <v>43</v>
      </c>
      <c r="C27" s="10" t="s">
        <v>320</v>
      </c>
      <c r="D27" s="10"/>
      <c r="E27" s="10"/>
    </row>
    <row r="28" spans="1:5" x14ac:dyDescent="0.25">
      <c r="A28" s="10" t="s">
        <v>44</v>
      </c>
      <c r="B28" s="10" t="s">
        <v>45</v>
      </c>
      <c r="C28" s="10"/>
      <c r="D28" s="10" t="s">
        <v>335</v>
      </c>
      <c r="E28" s="10"/>
    </row>
    <row r="29" spans="1:5" x14ac:dyDescent="0.25">
      <c r="A29" s="10" t="s">
        <v>46</v>
      </c>
      <c r="B29" s="10" t="s">
        <v>23</v>
      </c>
      <c r="C29" s="10" t="s">
        <v>320</v>
      </c>
      <c r="D29" s="10"/>
      <c r="E29" s="10"/>
    </row>
    <row r="30" spans="1:5" x14ac:dyDescent="0.25">
      <c r="A30" s="10" t="s">
        <v>47</v>
      </c>
      <c r="B30" s="10" t="s">
        <v>48</v>
      </c>
      <c r="C30" s="10" t="s">
        <v>321</v>
      </c>
      <c r="D30" s="10" t="s">
        <v>326</v>
      </c>
      <c r="E30" s="10"/>
    </row>
    <row r="31" spans="1:5" x14ac:dyDescent="0.25">
      <c r="A31" s="10" t="s">
        <v>329</v>
      </c>
      <c r="B31" s="10" t="s">
        <v>3</v>
      </c>
      <c r="C31" s="10" t="s">
        <v>321</v>
      </c>
      <c r="D31" s="10" t="s">
        <v>229</v>
      </c>
      <c r="E31" s="10">
        <v>22293</v>
      </c>
    </row>
    <row r="32" spans="1:5" x14ac:dyDescent="0.25">
      <c r="A32" s="10" t="s">
        <v>237</v>
      </c>
      <c r="B32" s="10" t="s">
        <v>51</v>
      </c>
      <c r="C32" s="10" t="s">
        <v>320</v>
      </c>
      <c r="D32" s="10"/>
      <c r="E32" s="10"/>
    </row>
    <row r="33" spans="1:5" x14ac:dyDescent="0.25">
      <c r="A33" s="10" t="s">
        <v>238</v>
      </c>
      <c r="B33" s="10" t="s">
        <v>239</v>
      </c>
      <c r="C33" s="10" t="s">
        <v>320</v>
      </c>
      <c r="D33" s="10"/>
      <c r="E33" s="10"/>
    </row>
    <row r="34" spans="1:5" x14ac:dyDescent="0.25">
      <c r="A34" s="10" t="s">
        <v>53</v>
      </c>
      <c r="B34" s="10" t="s">
        <v>54</v>
      </c>
      <c r="C34" s="10" t="s">
        <v>320</v>
      </c>
      <c r="D34" s="10"/>
      <c r="E34" s="10"/>
    </row>
    <row r="35" spans="1:5" x14ac:dyDescent="0.25">
      <c r="A35" s="10" t="s">
        <v>55</v>
      </c>
      <c r="B35" s="10" t="s">
        <v>48</v>
      </c>
      <c r="C35" s="10" t="s">
        <v>320</v>
      </c>
      <c r="D35" s="10"/>
      <c r="E35" s="10"/>
    </row>
    <row r="36" spans="1:5" x14ac:dyDescent="0.25">
      <c r="A36" s="10" t="s">
        <v>240</v>
      </c>
      <c r="B36" s="10" t="s">
        <v>48</v>
      </c>
      <c r="C36" s="10" t="s">
        <v>321</v>
      </c>
      <c r="D36" s="10" t="s">
        <v>57</v>
      </c>
      <c r="E36" s="10">
        <v>20019</v>
      </c>
    </row>
    <row r="37" spans="1:5" x14ac:dyDescent="0.25">
      <c r="A37" s="10" t="s">
        <v>241</v>
      </c>
      <c r="B37" s="10" t="s">
        <v>31</v>
      </c>
      <c r="C37" s="10" t="s">
        <v>320</v>
      </c>
      <c r="D37" s="10"/>
      <c r="E37" s="10"/>
    </row>
    <row r="38" spans="1:5" x14ac:dyDescent="0.25">
      <c r="A38" s="10" t="s">
        <v>59</v>
      </c>
      <c r="B38" s="10" t="s">
        <v>60</v>
      </c>
      <c r="C38" s="10" t="s">
        <v>320</v>
      </c>
      <c r="D38" s="10"/>
      <c r="E38" s="10"/>
    </row>
    <row r="39" spans="1:5" x14ac:dyDescent="0.25">
      <c r="A39" s="10" t="s">
        <v>61</v>
      </c>
      <c r="B39" s="10" t="s">
        <v>3</v>
      </c>
      <c r="C39" s="10" t="s">
        <v>320</v>
      </c>
      <c r="D39" s="10"/>
      <c r="E39" s="10"/>
    </row>
    <row r="40" spans="1:5" x14ac:dyDescent="0.25">
      <c r="A40" s="10" t="s">
        <v>62</v>
      </c>
      <c r="B40" s="10" t="s">
        <v>3</v>
      </c>
      <c r="C40" s="10" t="s">
        <v>320</v>
      </c>
      <c r="D40" s="10"/>
      <c r="E40" s="10"/>
    </row>
    <row r="41" spans="1:5" x14ac:dyDescent="0.25">
      <c r="A41" s="10" t="s">
        <v>63</v>
      </c>
      <c r="B41" s="10" t="s">
        <v>63</v>
      </c>
      <c r="C41" s="10" t="s">
        <v>320</v>
      </c>
      <c r="D41" s="10"/>
      <c r="E41" s="10"/>
    </row>
    <row r="42" spans="1:5" x14ac:dyDescent="0.25">
      <c r="A42" s="10" t="s">
        <v>64</v>
      </c>
      <c r="B42" s="10" t="s">
        <v>65</v>
      </c>
      <c r="C42" s="10" t="s">
        <v>320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55.28515625" customWidth="1"/>
    <col min="2" max="2" width="51.28515625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317</v>
      </c>
      <c r="D1" s="2" t="s">
        <v>318</v>
      </c>
      <c r="E1" s="3" t="s">
        <v>319</v>
      </c>
      <c r="G1" s="4" t="s">
        <v>320</v>
      </c>
      <c r="H1" s="5">
        <f>COUNTIF(C:C,G1)</f>
        <v>43</v>
      </c>
    </row>
    <row r="2" spans="1:8" x14ac:dyDescent="0.25">
      <c r="A2" s="10" t="s">
        <v>66</v>
      </c>
      <c r="B2" s="10" t="s">
        <v>3</v>
      </c>
      <c r="C2" s="10" t="s">
        <v>320</v>
      </c>
      <c r="D2" s="10"/>
      <c r="E2" s="10"/>
      <c r="G2" s="6" t="s">
        <v>321</v>
      </c>
      <c r="H2" s="7">
        <f>COUNTIF(C:C,G2)</f>
        <v>8</v>
      </c>
    </row>
    <row r="3" spans="1:8" ht="15.75" thickBot="1" x14ac:dyDescent="0.3">
      <c r="A3" s="10" t="s">
        <v>67</v>
      </c>
      <c r="B3" s="10" t="s">
        <v>68</v>
      </c>
      <c r="C3" s="10" t="s">
        <v>320</v>
      </c>
      <c r="D3" s="10"/>
      <c r="E3" s="10"/>
      <c r="G3" s="8" t="s">
        <v>322</v>
      </c>
      <c r="H3" s="9">
        <f>H1/SUM(H1:H2)</f>
        <v>0.84313725490196079</v>
      </c>
    </row>
    <row r="4" spans="1:8" x14ac:dyDescent="0.25">
      <c r="A4" s="10" t="s">
        <v>69</v>
      </c>
      <c r="B4" s="10" t="s">
        <v>70</v>
      </c>
      <c r="C4" s="10" t="s">
        <v>320</v>
      </c>
      <c r="D4" s="10"/>
      <c r="E4" s="10"/>
    </row>
    <row r="5" spans="1:8" x14ac:dyDescent="0.25">
      <c r="A5" s="10" t="s">
        <v>71</v>
      </c>
      <c r="B5" s="10" t="s">
        <v>72</v>
      </c>
      <c r="C5" s="10" t="s">
        <v>320</v>
      </c>
      <c r="D5" s="10"/>
      <c r="E5" s="10"/>
    </row>
    <row r="6" spans="1:8" x14ac:dyDescent="0.25">
      <c r="A6" s="10" t="s">
        <v>73</v>
      </c>
      <c r="B6" s="10" t="s">
        <v>74</v>
      </c>
      <c r="C6" s="10" t="s">
        <v>320</v>
      </c>
      <c r="D6" s="10"/>
      <c r="E6" s="10"/>
    </row>
    <row r="7" spans="1:8" x14ac:dyDescent="0.25">
      <c r="A7" s="10" t="s">
        <v>75</v>
      </c>
      <c r="B7" s="10" t="s">
        <v>75</v>
      </c>
      <c r="C7" s="10" t="s">
        <v>320</v>
      </c>
      <c r="D7" s="10"/>
      <c r="E7" s="10"/>
    </row>
    <row r="8" spans="1:8" x14ac:dyDescent="0.25">
      <c r="A8" s="10" t="s">
        <v>76</v>
      </c>
      <c r="B8" s="10" t="s">
        <v>3</v>
      </c>
      <c r="C8" s="10" t="s">
        <v>320</v>
      </c>
      <c r="D8" s="10"/>
      <c r="E8" s="10"/>
    </row>
    <row r="9" spans="1:8" x14ac:dyDescent="0.25">
      <c r="A9" s="10" t="s">
        <v>77</v>
      </c>
      <c r="B9" s="10" t="s">
        <v>78</v>
      </c>
      <c r="C9" s="10" t="s">
        <v>320</v>
      </c>
      <c r="D9" s="10"/>
      <c r="E9" s="10"/>
    </row>
    <row r="10" spans="1:8" x14ac:dyDescent="0.25">
      <c r="A10" s="10" t="s">
        <v>79</v>
      </c>
      <c r="B10" s="10" t="s">
        <v>78</v>
      </c>
      <c r="C10" s="10" t="s">
        <v>320</v>
      </c>
      <c r="D10" s="10"/>
      <c r="E10" s="10"/>
    </row>
    <row r="11" spans="1:8" x14ac:dyDescent="0.25">
      <c r="A11" s="10" t="s">
        <v>80</v>
      </c>
      <c r="B11" s="10" t="s">
        <v>81</v>
      </c>
      <c r="C11" s="10" t="s">
        <v>321</v>
      </c>
      <c r="D11" s="10" t="s">
        <v>330</v>
      </c>
      <c r="E11" s="10">
        <v>20217</v>
      </c>
    </row>
    <row r="12" spans="1:8" x14ac:dyDescent="0.25">
      <c r="A12" s="10" t="s">
        <v>82</v>
      </c>
      <c r="B12" s="10" t="s">
        <v>83</v>
      </c>
      <c r="C12" s="10" t="s">
        <v>320</v>
      </c>
      <c r="D12" s="10"/>
      <c r="E12" s="10"/>
    </row>
    <row r="13" spans="1:8" x14ac:dyDescent="0.25">
      <c r="A13" s="10" t="s">
        <v>84</v>
      </c>
      <c r="B13" s="10" t="s">
        <v>85</v>
      </c>
      <c r="C13" s="10" t="s">
        <v>320</v>
      </c>
      <c r="D13" s="10"/>
      <c r="E13" s="10"/>
    </row>
    <row r="14" spans="1:8" x14ac:dyDescent="0.25">
      <c r="A14" s="10" t="s">
        <v>86</v>
      </c>
      <c r="B14" s="10" t="s">
        <v>87</v>
      </c>
      <c r="C14" s="10" t="s">
        <v>320</v>
      </c>
      <c r="D14" s="10"/>
      <c r="E14" s="10"/>
    </row>
    <row r="15" spans="1:8" x14ac:dyDescent="0.25">
      <c r="A15" s="10" t="s">
        <v>88</v>
      </c>
      <c r="B15" s="10" t="s">
        <v>3</v>
      </c>
      <c r="C15" s="10" t="s">
        <v>320</v>
      </c>
      <c r="D15" s="10"/>
      <c r="E15" s="10"/>
    </row>
    <row r="16" spans="1:8" x14ac:dyDescent="0.25">
      <c r="A16" s="10" t="s">
        <v>89</v>
      </c>
      <c r="B16" s="10" t="s">
        <v>89</v>
      </c>
      <c r="C16" s="10" t="s">
        <v>320</v>
      </c>
      <c r="D16" s="10"/>
      <c r="E16" s="10"/>
    </row>
    <row r="17" spans="1:5" x14ac:dyDescent="0.25">
      <c r="A17" s="10" t="s">
        <v>76</v>
      </c>
      <c r="B17" s="10" t="s">
        <v>3</v>
      </c>
      <c r="C17" s="10" t="s">
        <v>320</v>
      </c>
      <c r="D17" s="10"/>
      <c r="E17" s="10"/>
    </row>
    <row r="18" spans="1:5" x14ac:dyDescent="0.25">
      <c r="A18" s="10" t="s">
        <v>90</v>
      </c>
      <c r="B18" s="10" t="s">
        <v>78</v>
      </c>
      <c r="C18" s="10" t="s">
        <v>321</v>
      </c>
      <c r="D18" s="10" t="s">
        <v>331</v>
      </c>
      <c r="E18" s="10">
        <v>13724</v>
      </c>
    </row>
    <row r="19" spans="1:5" x14ac:dyDescent="0.25">
      <c r="A19" s="10" t="s">
        <v>91</v>
      </c>
      <c r="B19" s="10" t="s">
        <v>92</v>
      </c>
      <c r="C19" s="10" t="s">
        <v>320</v>
      </c>
      <c r="D19" s="10" t="s">
        <v>92</v>
      </c>
      <c r="E19" s="10">
        <v>13780</v>
      </c>
    </row>
    <row r="20" spans="1:5" x14ac:dyDescent="0.25">
      <c r="A20" s="10" t="s">
        <v>93</v>
      </c>
      <c r="B20" s="10" t="s">
        <v>94</v>
      </c>
      <c r="C20" s="10" t="s">
        <v>320</v>
      </c>
      <c r="D20" s="10"/>
      <c r="E20" s="10"/>
    </row>
    <row r="21" spans="1:5" x14ac:dyDescent="0.25">
      <c r="A21" s="10" t="s">
        <v>95</v>
      </c>
      <c r="B21" s="10" t="s">
        <v>96</v>
      </c>
      <c r="C21" s="10" t="s">
        <v>320</v>
      </c>
      <c r="D21" s="10"/>
      <c r="E21" s="10"/>
    </row>
    <row r="22" spans="1:5" x14ac:dyDescent="0.25">
      <c r="A22" s="10" t="s">
        <v>80</v>
      </c>
      <c r="B22" s="10" t="s">
        <v>81</v>
      </c>
      <c r="C22" s="10" t="s">
        <v>320</v>
      </c>
      <c r="D22" s="10"/>
      <c r="E22" s="10"/>
    </row>
    <row r="23" spans="1:5" x14ac:dyDescent="0.25">
      <c r="A23" s="10" t="s">
        <v>82</v>
      </c>
      <c r="B23" s="10" t="s">
        <v>83</v>
      </c>
      <c r="C23" s="10" t="s">
        <v>321</v>
      </c>
      <c r="D23" s="10" t="s">
        <v>332</v>
      </c>
      <c r="E23" s="10">
        <v>20231</v>
      </c>
    </row>
    <row r="24" spans="1:5" x14ac:dyDescent="0.25">
      <c r="A24" s="10" t="s">
        <v>97</v>
      </c>
      <c r="B24" s="10" t="s">
        <v>98</v>
      </c>
      <c r="C24" s="10" t="s">
        <v>320</v>
      </c>
      <c r="D24" s="10"/>
      <c r="E24" s="10"/>
    </row>
    <row r="25" spans="1:5" x14ac:dyDescent="0.25">
      <c r="A25" s="10" t="s">
        <v>99</v>
      </c>
      <c r="B25" s="10" t="s">
        <v>100</v>
      </c>
      <c r="C25" s="10" t="s">
        <v>320</v>
      </c>
      <c r="D25" s="10"/>
      <c r="E25" s="10"/>
    </row>
    <row r="26" spans="1:5" x14ac:dyDescent="0.25">
      <c r="A26" s="10" t="s">
        <v>101</v>
      </c>
      <c r="B26" s="10" t="s">
        <v>3</v>
      </c>
      <c r="C26" s="10" t="s">
        <v>320</v>
      </c>
      <c r="D26" s="10"/>
      <c r="E26" s="10"/>
    </row>
    <row r="27" spans="1:5" x14ac:dyDescent="0.25">
      <c r="A27" s="10" t="s">
        <v>102</v>
      </c>
      <c r="B27" s="10" t="s">
        <v>3</v>
      </c>
      <c r="C27" s="10" t="s">
        <v>320</v>
      </c>
      <c r="D27" s="10"/>
      <c r="E27" s="10"/>
    </row>
    <row r="28" spans="1:5" x14ac:dyDescent="0.25">
      <c r="A28" s="10" t="s">
        <v>58</v>
      </c>
      <c r="B28" s="10" t="s">
        <v>103</v>
      </c>
      <c r="C28" s="10" t="s">
        <v>320</v>
      </c>
      <c r="D28" s="10"/>
      <c r="E28" s="10"/>
    </row>
    <row r="29" spans="1:5" x14ac:dyDescent="0.25">
      <c r="A29" s="10" t="s">
        <v>104</v>
      </c>
      <c r="B29" s="10" t="s">
        <v>105</v>
      </c>
      <c r="C29" s="10" t="s">
        <v>321</v>
      </c>
      <c r="D29" s="10" t="s">
        <v>103</v>
      </c>
      <c r="E29" s="11">
        <v>13765</v>
      </c>
    </row>
    <row r="30" spans="1:5" x14ac:dyDescent="0.25">
      <c r="A30" s="10" t="s">
        <v>106</v>
      </c>
      <c r="B30" s="10" t="s">
        <v>105</v>
      </c>
      <c r="C30" s="10" t="s">
        <v>320</v>
      </c>
      <c r="D30" s="10"/>
      <c r="E30" s="10"/>
    </row>
    <row r="31" spans="1:5" x14ac:dyDescent="0.25">
      <c r="A31" s="10" t="s">
        <v>107</v>
      </c>
      <c r="B31" s="10" t="s">
        <v>3</v>
      </c>
      <c r="C31" s="10" t="s">
        <v>320</v>
      </c>
      <c r="D31" s="10"/>
      <c r="E31" s="10"/>
    </row>
    <row r="32" spans="1:5" x14ac:dyDescent="0.25">
      <c r="A32" s="10" t="s">
        <v>108</v>
      </c>
      <c r="B32" s="10" t="s">
        <v>3</v>
      </c>
      <c r="C32" s="10" t="s">
        <v>320</v>
      </c>
      <c r="D32" s="10"/>
      <c r="E32" s="10"/>
    </row>
    <row r="33" spans="1:5" x14ac:dyDescent="0.25">
      <c r="A33" s="10" t="s">
        <v>109</v>
      </c>
      <c r="B33" s="10" t="s">
        <v>3</v>
      </c>
      <c r="C33" s="10" t="s">
        <v>320</v>
      </c>
      <c r="D33" s="10"/>
      <c r="E33" s="10"/>
    </row>
    <row r="34" spans="1:5" x14ac:dyDescent="0.25">
      <c r="A34" s="10" t="s">
        <v>110</v>
      </c>
      <c r="B34" s="10" t="s">
        <v>110</v>
      </c>
      <c r="C34" s="10" t="s">
        <v>320</v>
      </c>
      <c r="D34" s="10" t="s">
        <v>110</v>
      </c>
      <c r="E34" s="10">
        <v>20223</v>
      </c>
    </row>
    <row r="35" spans="1:5" x14ac:dyDescent="0.25">
      <c r="A35" s="10" t="s">
        <v>111</v>
      </c>
      <c r="B35" s="10" t="s">
        <v>111</v>
      </c>
      <c r="C35" s="10" t="s">
        <v>320</v>
      </c>
      <c r="D35" s="10" t="s">
        <v>111</v>
      </c>
      <c r="E35" s="10">
        <v>30340</v>
      </c>
    </row>
    <row r="36" spans="1:5" x14ac:dyDescent="0.25">
      <c r="A36" s="10" t="s">
        <v>112</v>
      </c>
      <c r="B36" s="10" t="s">
        <v>113</v>
      </c>
      <c r="C36" s="10" t="s">
        <v>320</v>
      </c>
      <c r="D36" s="10"/>
      <c r="E36" s="10"/>
    </row>
    <row r="37" spans="1:5" x14ac:dyDescent="0.25">
      <c r="A37" s="10" t="s">
        <v>114</v>
      </c>
      <c r="B37" s="10" t="s">
        <v>115</v>
      </c>
      <c r="C37" s="10" t="s">
        <v>320</v>
      </c>
      <c r="D37" s="10"/>
      <c r="E37" s="10"/>
    </row>
    <row r="38" spans="1:5" x14ac:dyDescent="0.25">
      <c r="A38" s="10" t="s">
        <v>116</v>
      </c>
      <c r="B38" s="10" t="s">
        <v>117</v>
      </c>
      <c r="C38" s="10" t="s">
        <v>320</v>
      </c>
      <c r="D38" s="10"/>
      <c r="E38" s="10"/>
    </row>
    <row r="39" spans="1:5" x14ac:dyDescent="0.25">
      <c r="A39" s="10" t="s">
        <v>118</v>
      </c>
      <c r="B39" s="10" t="s">
        <v>119</v>
      </c>
      <c r="C39" s="10" t="s">
        <v>320</v>
      </c>
      <c r="D39" s="10"/>
      <c r="E39" s="10"/>
    </row>
    <row r="40" spans="1:5" x14ac:dyDescent="0.25">
      <c r="A40" s="10" t="s">
        <v>120</v>
      </c>
      <c r="B40" s="10" t="s">
        <v>3</v>
      </c>
      <c r="C40" s="10" t="s">
        <v>320</v>
      </c>
      <c r="D40" s="10"/>
      <c r="E40" s="10"/>
    </row>
    <row r="41" spans="1:5" x14ac:dyDescent="0.25">
      <c r="A41" s="10" t="s">
        <v>109</v>
      </c>
      <c r="B41" s="10" t="s">
        <v>3</v>
      </c>
      <c r="C41" s="10" t="s">
        <v>320</v>
      </c>
      <c r="D41" s="10"/>
      <c r="E41" s="10"/>
    </row>
    <row r="42" spans="1:5" x14ac:dyDescent="0.25">
      <c r="A42" s="10" t="s">
        <v>110</v>
      </c>
      <c r="B42" s="10" t="s">
        <v>110</v>
      </c>
      <c r="C42" s="10" t="s">
        <v>320</v>
      </c>
      <c r="D42" s="10" t="s">
        <v>110</v>
      </c>
      <c r="E42" s="10">
        <v>20209</v>
      </c>
    </row>
    <row r="43" spans="1:5" x14ac:dyDescent="0.25">
      <c r="A43" s="10" t="s">
        <v>111</v>
      </c>
      <c r="B43" s="10" t="s">
        <v>111</v>
      </c>
      <c r="C43" s="10" t="s">
        <v>320</v>
      </c>
      <c r="D43" s="10" t="s">
        <v>111</v>
      </c>
      <c r="E43" s="10">
        <v>25716</v>
      </c>
    </row>
    <row r="44" spans="1:5" x14ac:dyDescent="0.25">
      <c r="A44" s="10" t="s">
        <v>121</v>
      </c>
      <c r="B44" s="10" t="s">
        <v>122</v>
      </c>
      <c r="C44" s="10" t="s">
        <v>321</v>
      </c>
      <c r="D44" s="10" t="s">
        <v>326</v>
      </c>
      <c r="E44" s="10"/>
    </row>
    <row r="45" spans="1:5" x14ac:dyDescent="0.25">
      <c r="A45" s="10" t="s">
        <v>123</v>
      </c>
      <c r="B45" s="10" t="s">
        <v>122</v>
      </c>
      <c r="C45" s="10" t="s">
        <v>320</v>
      </c>
      <c r="D45" s="10" t="s">
        <v>122</v>
      </c>
      <c r="E45" s="10">
        <v>13779</v>
      </c>
    </row>
    <row r="46" spans="1:5" x14ac:dyDescent="0.25">
      <c r="A46" s="10" t="s">
        <v>124</v>
      </c>
      <c r="B46" s="10" t="s">
        <v>122</v>
      </c>
      <c r="C46" s="10" t="s">
        <v>320</v>
      </c>
      <c r="D46" s="10" t="s">
        <v>122</v>
      </c>
      <c r="E46" s="10">
        <v>13779</v>
      </c>
    </row>
    <row r="47" spans="1:5" x14ac:dyDescent="0.25">
      <c r="A47" s="10" t="s">
        <v>125</v>
      </c>
      <c r="B47" s="10" t="s">
        <v>126</v>
      </c>
      <c r="C47" s="10" t="s">
        <v>321</v>
      </c>
      <c r="D47" s="10" t="s">
        <v>122</v>
      </c>
      <c r="E47" s="10">
        <v>13779</v>
      </c>
    </row>
    <row r="48" spans="1:5" x14ac:dyDescent="0.25">
      <c r="A48" s="10" t="s">
        <v>112</v>
      </c>
      <c r="B48" s="10" t="s">
        <v>113</v>
      </c>
      <c r="C48" s="10" t="s">
        <v>321</v>
      </c>
      <c r="D48" s="10" t="s">
        <v>333</v>
      </c>
      <c r="E48" s="10">
        <v>20214</v>
      </c>
    </row>
    <row r="49" spans="1:5" x14ac:dyDescent="0.25">
      <c r="A49" s="10" t="s">
        <v>127</v>
      </c>
      <c r="B49" s="10" t="s">
        <v>128</v>
      </c>
      <c r="C49" s="10" t="s">
        <v>320</v>
      </c>
      <c r="D49" s="10"/>
      <c r="E49" s="10"/>
    </row>
    <row r="50" spans="1:5" x14ac:dyDescent="0.25">
      <c r="A50" s="10" t="s">
        <v>114</v>
      </c>
      <c r="B50" s="10" t="s">
        <v>115</v>
      </c>
      <c r="C50" s="10" t="s">
        <v>321</v>
      </c>
      <c r="D50" s="10" t="s">
        <v>334</v>
      </c>
      <c r="E50" s="10">
        <v>13767</v>
      </c>
    </row>
    <row r="51" spans="1:5" x14ac:dyDescent="0.25">
      <c r="A51" s="10" t="s">
        <v>129</v>
      </c>
      <c r="B51" s="10" t="s">
        <v>130</v>
      </c>
      <c r="C51" s="10" t="s">
        <v>320</v>
      </c>
      <c r="D51" s="10"/>
      <c r="E51" s="10"/>
    </row>
    <row r="52" spans="1:5" x14ac:dyDescent="0.25">
      <c r="A52" s="10" t="s">
        <v>131</v>
      </c>
      <c r="B52" s="10" t="s">
        <v>132</v>
      </c>
      <c r="C52" s="10" t="s">
        <v>320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defaultRowHeight="15" x14ac:dyDescent="0.25"/>
  <cols>
    <col min="1" max="1" width="68.28515625" bestFit="1" customWidth="1"/>
    <col min="2" max="2" width="51.28515625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317</v>
      </c>
      <c r="D1" s="2" t="s">
        <v>318</v>
      </c>
      <c r="E1" s="3" t="s">
        <v>319</v>
      </c>
      <c r="G1" s="4" t="s">
        <v>320</v>
      </c>
      <c r="H1" s="5">
        <f>COUNTIF(C:C,G1)</f>
        <v>45</v>
      </c>
    </row>
    <row r="2" spans="1:8" x14ac:dyDescent="0.25">
      <c r="A2" s="10" t="s">
        <v>66</v>
      </c>
      <c r="B2" s="10" t="s">
        <v>3</v>
      </c>
      <c r="C2" s="10" t="s">
        <v>320</v>
      </c>
      <c r="D2" s="10"/>
      <c r="E2" s="10"/>
      <c r="G2" s="6" t="s">
        <v>321</v>
      </c>
      <c r="H2" s="7">
        <f>COUNTIF(C:C,G2)</f>
        <v>8</v>
      </c>
    </row>
    <row r="3" spans="1:8" ht="15.75" thickBot="1" x14ac:dyDescent="0.3">
      <c r="A3" s="10" t="s">
        <v>67</v>
      </c>
      <c r="B3" s="10" t="s">
        <v>68</v>
      </c>
      <c r="C3" s="10" t="s">
        <v>320</v>
      </c>
      <c r="D3" s="10"/>
      <c r="E3" s="10"/>
      <c r="G3" s="8" t="s">
        <v>322</v>
      </c>
      <c r="H3" s="9">
        <f>H1/SUM(H1:H2)</f>
        <v>0.84905660377358494</v>
      </c>
    </row>
    <row r="4" spans="1:8" x14ac:dyDescent="0.25">
      <c r="A4" s="10" t="s">
        <v>69</v>
      </c>
      <c r="B4" s="10" t="s">
        <v>70</v>
      </c>
      <c r="C4" s="10" t="s">
        <v>320</v>
      </c>
      <c r="D4" s="10"/>
      <c r="E4" s="10"/>
    </row>
    <row r="5" spans="1:8" x14ac:dyDescent="0.25">
      <c r="A5" s="10" t="s">
        <v>71</v>
      </c>
      <c r="B5" s="10" t="s">
        <v>72</v>
      </c>
      <c r="C5" s="10" t="s">
        <v>320</v>
      </c>
      <c r="D5" s="10"/>
      <c r="E5" s="10"/>
    </row>
    <row r="6" spans="1:8" x14ac:dyDescent="0.25">
      <c r="A6" s="10" t="s">
        <v>73</v>
      </c>
      <c r="B6" s="10" t="s">
        <v>74</v>
      </c>
      <c r="C6" s="10" t="s">
        <v>320</v>
      </c>
      <c r="D6" s="10"/>
      <c r="E6" s="10"/>
    </row>
    <row r="7" spans="1:8" x14ac:dyDescent="0.25">
      <c r="A7" s="10" t="s">
        <v>75</v>
      </c>
      <c r="B7" s="10" t="s">
        <v>75</v>
      </c>
      <c r="C7" s="10" t="s">
        <v>320</v>
      </c>
      <c r="D7" s="10"/>
      <c r="E7" s="10"/>
    </row>
    <row r="8" spans="1:8" x14ac:dyDescent="0.25">
      <c r="A8" s="10" t="s">
        <v>242</v>
      </c>
      <c r="B8" s="10" t="s">
        <v>243</v>
      </c>
      <c r="C8" s="10" t="s">
        <v>320</v>
      </c>
      <c r="D8" s="10"/>
      <c r="E8" s="10"/>
    </row>
    <row r="9" spans="1:8" x14ac:dyDescent="0.25">
      <c r="A9" s="10" t="s">
        <v>244</v>
      </c>
      <c r="B9" s="10" t="s">
        <v>3</v>
      </c>
      <c r="C9" s="10" t="s">
        <v>320</v>
      </c>
      <c r="D9" s="10"/>
      <c r="E9" s="10"/>
    </row>
    <row r="10" spans="1:8" x14ac:dyDescent="0.25">
      <c r="A10" s="10" t="s">
        <v>79</v>
      </c>
      <c r="B10" s="10" t="s">
        <v>78</v>
      </c>
      <c r="C10" s="10" t="s">
        <v>320</v>
      </c>
      <c r="D10" s="10"/>
      <c r="E10" s="10"/>
    </row>
    <row r="11" spans="1:8" x14ac:dyDescent="0.25">
      <c r="A11" s="10" t="s">
        <v>80</v>
      </c>
      <c r="B11" s="10" t="s">
        <v>81</v>
      </c>
      <c r="C11" s="10" t="s">
        <v>321</v>
      </c>
      <c r="D11" s="10" t="s">
        <v>330</v>
      </c>
      <c r="E11" s="10">
        <v>20217</v>
      </c>
    </row>
    <row r="12" spans="1:8" x14ac:dyDescent="0.25">
      <c r="A12" s="10" t="s">
        <v>82</v>
      </c>
      <c r="B12" s="10" t="s">
        <v>83</v>
      </c>
      <c r="C12" s="10" t="s">
        <v>320</v>
      </c>
      <c r="D12" s="10"/>
      <c r="E12" s="10"/>
    </row>
    <row r="13" spans="1:8" x14ac:dyDescent="0.25">
      <c r="A13" s="10" t="s">
        <v>84</v>
      </c>
      <c r="B13" s="10" t="s">
        <v>85</v>
      </c>
      <c r="C13" s="10" t="s">
        <v>320</v>
      </c>
      <c r="D13" s="10"/>
      <c r="E13" s="10"/>
    </row>
    <row r="14" spans="1:8" x14ac:dyDescent="0.25">
      <c r="A14" s="10" t="s">
        <v>86</v>
      </c>
      <c r="B14" s="10" t="s">
        <v>87</v>
      </c>
      <c r="C14" s="10" t="s">
        <v>320</v>
      </c>
      <c r="D14" s="10"/>
      <c r="E14" s="10"/>
    </row>
    <row r="15" spans="1:8" x14ac:dyDescent="0.25">
      <c r="A15" s="10" t="s">
        <v>88</v>
      </c>
      <c r="B15" s="10" t="s">
        <v>3</v>
      </c>
      <c r="C15" s="10" t="s">
        <v>320</v>
      </c>
      <c r="D15" s="10"/>
      <c r="E15" s="10"/>
    </row>
    <row r="16" spans="1:8" x14ac:dyDescent="0.25">
      <c r="A16" s="10" t="s">
        <v>89</v>
      </c>
      <c r="B16" s="10" t="s">
        <v>89</v>
      </c>
      <c r="C16" s="10" t="s">
        <v>320</v>
      </c>
      <c r="D16" s="10"/>
      <c r="E16" s="10"/>
    </row>
    <row r="17" spans="1:5" x14ac:dyDescent="0.25">
      <c r="A17" s="10" t="s">
        <v>244</v>
      </c>
      <c r="B17" s="10" t="s">
        <v>3</v>
      </c>
      <c r="C17" s="10" t="s">
        <v>320</v>
      </c>
      <c r="D17" s="10"/>
      <c r="E17" s="10"/>
    </row>
    <row r="18" spans="1:5" x14ac:dyDescent="0.25">
      <c r="A18" s="10" t="s">
        <v>90</v>
      </c>
      <c r="B18" s="10" t="s">
        <v>78</v>
      </c>
      <c r="C18" s="10" t="s">
        <v>321</v>
      </c>
      <c r="D18" s="10" t="s">
        <v>331</v>
      </c>
      <c r="E18" s="10">
        <v>13724</v>
      </c>
    </row>
    <row r="19" spans="1:5" x14ac:dyDescent="0.25">
      <c r="A19" s="10" t="s">
        <v>91</v>
      </c>
      <c r="B19" s="10" t="s">
        <v>92</v>
      </c>
      <c r="C19" s="10" t="s">
        <v>320</v>
      </c>
      <c r="D19" s="10" t="s">
        <v>92</v>
      </c>
      <c r="E19" s="10">
        <v>13780</v>
      </c>
    </row>
    <row r="20" spans="1:5" x14ac:dyDescent="0.25">
      <c r="A20" s="10" t="s">
        <v>93</v>
      </c>
      <c r="B20" s="10" t="s">
        <v>94</v>
      </c>
      <c r="C20" s="10" t="s">
        <v>320</v>
      </c>
      <c r="D20" s="10"/>
      <c r="E20" s="10"/>
    </row>
    <row r="21" spans="1:5" x14ac:dyDescent="0.25">
      <c r="A21" s="10" t="s">
        <v>95</v>
      </c>
      <c r="B21" s="10" t="s">
        <v>96</v>
      </c>
      <c r="C21" s="10" t="s">
        <v>320</v>
      </c>
      <c r="D21" s="10"/>
      <c r="E21" s="10"/>
    </row>
    <row r="22" spans="1:5" x14ac:dyDescent="0.25">
      <c r="A22" s="10" t="s">
        <v>80</v>
      </c>
      <c r="B22" s="10" t="s">
        <v>81</v>
      </c>
      <c r="C22" s="10" t="s">
        <v>320</v>
      </c>
      <c r="D22" s="10"/>
      <c r="E22" s="10"/>
    </row>
    <row r="23" spans="1:5" x14ac:dyDescent="0.25">
      <c r="A23" s="10" t="s">
        <v>82</v>
      </c>
      <c r="B23" s="10" t="s">
        <v>83</v>
      </c>
      <c r="C23" s="10" t="s">
        <v>321</v>
      </c>
      <c r="D23" s="10" t="s">
        <v>332</v>
      </c>
      <c r="E23" s="10">
        <v>20231</v>
      </c>
    </row>
    <row r="24" spans="1:5" x14ac:dyDescent="0.25">
      <c r="A24" s="10" t="s">
        <v>245</v>
      </c>
      <c r="B24" s="10" t="s">
        <v>246</v>
      </c>
      <c r="C24" s="10" t="s">
        <v>320</v>
      </c>
      <c r="D24" s="10"/>
      <c r="E24" s="10"/>
    </row>
    <row r="25" spans="1:5" x14ac:dyDescent="0.25">
      <c r="A25" s="10" t="s">
        <v>97</v>
      </c>
      <c r="B25" s="10" t="s">
        <v>98</v>
      </c>
      <c r="C25" s="10" t="s">
        <v>320</v>
      </c>
      <c r="D25" s="10"/>
      <c r="E25" s="10"/>
    </row>
    <row r="26" spans="1:5" x14ac:dyDescent="0.25">
      <c r="A26" s="10" t="s">
        <v>247</v>
      </c>
      <c r="B26" s="10" t="s">
        <v>248</v>
      </c>
      <c r="C26" s="10" t="s">
        <v>320</v>
      </c>
      <c r="D26" s="10"/>
      <c r="E26" s="10"/>
    </row>
    <row r="27" spans="1:5" x14ac:dyDescent="0.25">
      <c r="A27" s="10" t="s">
        <v>99</v>
      </c>
      <c r="B27" s="10" t="s">
        <v>100</v>
      </c>
      <c r="C27" s="10" t="s">
        <v>320</v>
      </c>
      <c r="D27" s="10"/>
      <c r="E27" s="10"/>
    </row>
    <row r="28" spans="1:5" x14ac:dyDescent="0.25">
      <c r="A28" s="10" t="s">
        <v>101</v>
      </c>
      <c r="B28" s="10" t="s">
        <v>3</v>
      </c>
      <c r="C28" s="10" t="s">
        <v>320</v>
      </c>
      <c r="D28" s="10"/>
      <c r="E28" s="10"/>
    </row>
    <row r="29" spans="1:5" x14ac:dyDescent="0.25">
      <c r="A29" s="10" t="s">
        <v>102</v>
      </c>
      <c r="B29" s="10" t="s">
        <v>3</v>
      </c>
      <c r="C29" s="10" t="s">
        <v>320</v>
      </c>
      <c r="D29" s="10"/>
      <c r="E29" s="10"/>
    </row>
    <row r="30" spans="1:5" x14ac:dyDescent="0.25">
      <c r="A30" s="10" t="s">
        <v>58</v>
      </c>
      <c r="B30" s="10" t="s">
        <v>103</v>
      </c>
      <c r="C30" s="10" t="s">
        <v>320</v>
      </c>
      <c r="D30" s="10"/>
      <c r="E30" s="10"/>
    </row>
    <row r="31" spans="1:5" x14ac:dyDescent="0.25">
      <c r="A31" s="10" t="s">
        <v>104</v>
      </c>
      <c r="B31" s="10" t="s">
        <v>105</v>
      </c>
      <c r="C31" s="10" t="s">
        <v>321</v>
      </c>
      <c r="D31" s="10" t="s">
        <v>103</v>
      </c>
      <c r="E31" s="11">
        <v>13765</v>
      </c>
    </row>
    <row r="32" spans="1:5" x14ac:dyDescent="0.25">
      <c r="A32" s="10" t="s">
        <v>106</v>
      </c>
      <c r="B32" s="10" t="s">
        <v>105</v>
      </c>
      <c r="C32" s="10" t="s">
        <v>320</v>
      </c>
      <c r="D32" s="10"/>
      <c r="E32" s="10"/>
    </row>
    <row r="33" spans="1:5" x14ac:dyDescent="0.25">
      <c r="A33" s="10" t="s">
        <v>107</v>
      </c>
      <c r="B33" s="10" t="s">
        <v>3</v>
      </c>
      <c r="C33" s="10" t="s">
        <v>320</v>
      </c>
      <c r="D33" s="10"/>
      <c r="E33" s="10"/>
    </row>
    <row r="34" spans="1:5" x14ac:dyDescent="0.25">
      <c r="A34" s="10" t="s">
        <v>108</v>
      </c>
      <c r="B34" s="10" t="s">
        <v>3</v>
      </c>
      <c r="C34" s="10" t="s">
        <v>320</v>
      </c>
      <c r="D34" s="10"/>
      <c r="E34" s="10"/>
    </row>
    <row r="35" spans="1:5" x14ac:dyDescent="0.25">
      <c r="A35" s="10" t="s">
        <v>249</v>
      </c>
      <c r="B35" s="10" t="s">
        <v>3</v>
      </c>
      <c r="C35" s="10" t="s">
        <v>320</v>
      </c>
      <c r="D35" s="10"/>
      <c r="E35" s="10"/>
    </row>
    <row r="36" spans="1:5" x14ac:dyDescent="0.25">
      <c r="A36" s="10" t="s">
        <v>110</v>
      </c>
      <c r="B36" s="10" t="s">
        <v>110</v>
      </c>
      <c r="C36" s="10" t="s">
        <v>320</v>
      </c>
      <c r="D36" s="10" t="s">
        <v>110</v>
      </c>
      <c r="E36" s="10">
        <v>20223</v>
      </c>
    </row>
    <row r="37" spans="1:5" x14ac:dyDescent="0.25">
      <c r="A37" s="10" t="s">
        <v>111</v>
      </c>
      <c r="B37" s="10" t="s">
        <v>111</v>
      </c>
      <c r="C37" s="10" t="s">
        <v>320</v>
      </c>
      <c r="D37" s="10" t="s">
        <v>111</v>
      </c>
      <c r="E37" s="10">
        <v>30340</v>
      </c>
    </row>
    <row r="38" spans="1:5" x14ac:dyDescent="0.25">
      <c r="A38" s="10" t="s">
        <v>112</v>
      </c>
      <c r="B38" s="10" t="s">
        <v>113</v>
      </c>
      <c r="C38" s="10" t="s">
        <v>320</v>
      </c>
      <c r="D38" s="10"/>
      <c r="E38" s="10"/>
    </row>
    <row r="39" spans="1:5" x14ac:dyDescent="0.25">
      <c r="A39" s="10" t="s">
        <v>114</v>
      </c>
      <c r="B39" s="10" t="s">
        <v>115</v>
      </c>
      <c r="C39" s="10" t="s">
        <v>320</v>
      </c>
      <c r="D39" s="10"/>
      <c r="E39" s="10"/>
    </row>
    <row r="40" spans="1:5" x14ac:dyDescent="0.25">
      <c r="A40" s="10" t="s">
        <v>116</v>
      </c>
      <c r="B40" s="10" t="s">
        <v>117</v>
      </c>
      <c r="C40" s="10" t="s">
        <v>320</v>
      </c>
      <c r="D40" s="10"/>
      <c r="E40" s="10"/>
    </row>
    <row r="41" spans="1:5" x14ac:dyDescent="0.25">
      <c r="A41" s="10" t="s">
        <v>118</v>
      </c>
      <c r="B41" s="10" t="s">
        <v>119</v>
      </c>
      <c r="C41" s="10" t="s">
        <v>320</v>
      </c>
      <c r="D41" s="10"/>
      <c r="E41" s="10"/>
    </row>
    <row r="42" spans="1:5" x14ac:dyDescent="0.25">
      <c r="A42" s="10" t="s">
        <v>120</v>
      </c>
      <c r="B42" s="10" t="s">
        <v>3</v>
      </c>
      <c r="C42" s="10" t="s">
        <v>320</v>
      </c>
      <c r="D42" s="10"/>
      <c r="E42" s="10"/>
    </row>
    <row r="43" spans="1:5" x14ac:dyDescent="0.25">
      <c r="A43" s="10" t="s">
        <v>249</v>
      </c>
      <c r="B43" s="10" t="s">
        <v>3</v>
      </c>
      <c r="C43" s="10" t="s">
        <v>320</v>
      </c>
      <c r="D43" s="10"/>
      <c r="E43" s="10"/>
    </row>
    <row r="44" spans="1:5" x14ac:dyDescent="0.25">
      <c r="A44" s="10" t="s">
        <v>110</v>
      </c>
      <c r="B44" s="10" t="s">
        <v>110</v>
      </c>
      <c r="C44" s="10" t="s">
        <v>320</v>
      </c>
      <c r="D44" s="10" t="s">
        <v>110</v>
      </c>
      <c r="E44" s="10">
        <v>20209</v>
      </c>
    </row>
    <row r="45" spans="1:5" x14ac:dyDescent="0.25">
      <c r="A45" s="10" t="s">
        <v>111</v>
      </c>
      <c r="B45" s="10" t="s">
        <v>111</v>
      </c>
      <c r="C45" s="10" t="s">
        <v>320</v>
      </c>
      <c r="D45" s="10" t="s">
        <v>111</v>
      </c>
      <c r="E45" s="10">
        <v>25716</v>
      </c>
    </row>
    <row r="46" spans="1:5" x14ac:dyDescent="0.25">
      <c r="A46" s="10" t="s">
        <v>121</v>
      </c>
      <c r="B46" s="10" t="s">
        <v>122</v>
      </c>
      <c r="C46" s="10" t="s">
        <v>321</v>
      </c>
      <c r="D46" s="10" t="s">
        <v>326</v>
      </c>
      <c r="E46" s="10"/>
    </row>
    <row r="47" spans="1:5" x14ac:dyDescent="0.25">
      <c r="A47" s="10" t="s">
        <v>123</v>
      </c>
      <c r="B47" s="10" t="s">
        <v>122</v>
      </c>
      <c r="C47" s="10" t="s">
        <v>320</v>
      </c>
      <c r="D47" s="10" t="s">
        <v>122</v>
      </c>
      <c r="E47" s="10">
        <v>13779</v>
      </c>
    </row>
    <row r="48" spans="1:5" x14ac:dyDescent="0.25">
      <c r="A48" s="10" t="s">
        <v>124</v>
      </c>
      <c r="B48" s="10" t="s">
        <v>122</v>
      </c>
      <c r="C48" s="10" t="s">
        <v>320</v>
      </c>
      <c r="D48" s="10" t="s">
        <v>122</v>
      </c>
      <c r="E48" s="10">
        <v>13779</v>
      </c>
    </row>
    <row r="49" spans="1:5" x14ac:dyDescent="0.25">
      <c r="A49" s="10" t="s">
        <v>125</v>
      </c>
      <c r="B49" s="10" t="s">
        <v>126</v>
      </c>
      <c r="C49" s="10" t="s">
        <v>321</v>
      </c>
      <c r="D49" s="10" t="s">
        <v>122</v>
      </c>
      <c r="E49" s="10">
        <v>13779</v>
      </c>
    </row>
    <row r="50" spans="1:5" x14ac:dyDescent="0.25">
      <c r="A50" s="10" t="s">
        <v>112</v>
      </c>
      <c r="B50" s="10" t="s">
        <v>113</v>
      </c>
      <c r="C50" s="10" t="s">
        <v>321</v>
      </c>
      <c r="D50" s="10" t="s">
        <v>333</v>
      </c>
      <c r="E50" s="10">
        <v>20214</v>
      </c>
    </row>
    <row r="51" spans="1:5" x14ac:dyDescent="0.25">
      <c r="A51" s="10" t="s">
        <v>127</v>
      </c>
      <c r="B51" s="10" t="s">
        <v>128</v>
      </c>
      <c r="C51" s="10" t="s">
        <v>320</v>
      </c>
      <c r="D51" s="10"/>
      <c r="E51" s="10"/>
    </row>
    <row r="52" spans="1:5" x14ac:dyDescent="0.25">
      <c r="A52" s="10" t="s">
        <v>114</v>
      </c>
      <c r="B52" s="10" t="s">
        <v>115</v>
      </c>
      <c r="C52" s="10" t="s">
        <v>321</v>
      </c>
      <c r="D52" s="10" t="s">
        <v>334</v>
      </c>
      <c r="E52" s="10">
        <v>13767</v>
      </c>
    </row>
    <row r="53" spans="1:5" x14ac:dyDescent="0.25">
      <c r="A53" s="10" t="s">
        <v>129</v>
      </c>
      <c r="B53" s="10" t="s">
        <v>130</v>
      </c>
      <c r="C53" s="10" t="s">
        <v>320</v>
      </c>
      <c r="D53" s="10"/>
      <c r="E53" s="10"/>
    </row>
    <row r="54" spans="1:5" x14ac:dyDescent="0.25">
      <c r="A54" s="10" t="s">
        <v>131</v>
      </c>
      <c r="B54" s="10" t="s">
        <v>132</v>
      </c>
      <c r="C54" s="10" t="s">
        <v>320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topLeftCell="A16" workbookViewId="0">
      <selection activeCell="C25" sqref="C25:E25"/>
    </sheetView>
  </sheetViews>
  <sheetFormatPr defaultRowHeight="15" x14ac:dyDescent="0.25"/>
  <cols>
    <col min="1" max="1" width="70.42578125" customWidth="1"/>
    <col min="2" max="2" width="51.28515625" customWidth="1"/>
    <col min="4" max="4" width="36.85546875" bestFit="1" customWidth="1"/>
  </cols>
  <sheetData>
    <row r="1" spans="1:8" x14ac:dyDescent="0.25">
      <c r="A1" s="1" t="s">
        <v>0</v>
      </c>
      <c r="B1" s="1" t="s">
        <v>1</v>
      </c>
      <c r="C1" s="2" t="s">
        <v>317</v>
      </c>
      <c r="D1" s="2" t="s">
        <v>318</v>
      </c>
      <c r="E1" s="3" t="s">
        <v>319</v>
      </c>
      <c r="G1" s="4" t="s">
        <v>320</v>
      </c>
      <c r="H1" s="5">
        <f>COUNTIF(C:C,G1)</f>
        <v>41</v>
      </c>
    </row>
    <row r="2" spans="1:8" x14ac:dyDescent="0.25">
      <c r="A2" s="10" t="s">
        <v>133</v>
      </c>
      <c r="B2" s="10" t="s">
        <v>134</v>
      </c>
      <c r="C2" s="10" t="s">
        <v>320</v>
      </c>
      <c r="D2" s="10"/>
      <c r="E2" s="10"/>
      <c r="G2" s="6" t="s">
        <v>321</v>
      </c>
      <c r="H2" s="7">
        <f>COUNTIF(C:C,G2)</f>
        <v>15</v>
      </c>
    </row>
    <row r="3" spans="1:8" ht="15.75" thickBot="1" x14ac:dyDescent="0.3">
      <c r="A3" s="10" t="s">
        <v>135</v>
      </c>
      <c r="B3" s="10" t="s">
        <v>3</v>
      </c>
      <c r="C3" s="10" t="s">
        <v>320</v>
      </c>
      <c r="D3" s="10"/>
      <c r="E3" s="10"/>
      <c r="G3" s="8" t="s">
        <v>322</v>
      </c>
      <c r="H3" s="9">
        <f>H1/SUM(H1:H2)</f>
        <v>0.7321428571428571</v>
      </c>
    </row>
    <row r="4" spans="1:8" x14ac:dyDescent="0.25">
      <c r="A4" s="10" t="s">
        <v>24</v>
      </c>
      <c r="B4" s="10" t="s">
        <v>136</v>
      </c>
      <c r="C4" s="10" t="s">
        <v>320</v>
      </c>
      <c r="D4" s="10"/>
      <c r="E4" s="10"/>
    </row>
    <row r="5" spans="1:8" x14ac:dyDescent="0.25">
      <c r="A5" s="10" t="s">
        <v>137</v>
      </c>
      <c r="B5" s="10" t="s">
        <v>138</v>
      </c>
      <c r="C5" s="10" t="s">
        <v>320</v>
      </c>
      <c r="D5" s="10"/>
      <c r="E5" s="10"/>
    </row>
    <row r="6" spans="1:8" x14ac:dyDescent="0.25">
      <c r="A6" s="10" t="s">
        <v>139</v>
      </c>
      <c r="B6" s="10" t="s">
        <v>140</v>
      </c>
      <c r="C6" s="10" t="s">
        <v>321</v>
      </c>
      <c r="D6" s="10" t="s">
        <v>144</v>
      </c>
      <c r="E6" s="10">
        <v>17542</v>
      </c>
    </row>
    <row r="7" spans="1:8" x14ac:dyDescent="0.25">
      <c r="A7" s="10" t="s">
        <v>141</v>
      </c>
      <c r="B7" s="10" t="s">
        <v>142</v>
      </c>
      <c r="C7" s="10" t="s">
        <v>321</v>
      </c>
      <c r="D7" s="10" t="s">
        <v>336</v>
      </c>
      <c r="E7" s="10">
        <v>30505</v>
      </c>
    </row>
    <row r="8" spans="1:8" x14ac:dyDescent="0.25">
      <c r="A8" s="10" t="s">
        <v>143</v>
      </c>
      <c r="B8" s="10" t="s">
        <v>144</v>
      </c>
      <c r="C8" s="10" t="s">
        <v>320</v>
      </c>
      <c r="D8" s="10"/>
      <c r="E8" s="10"/>
    </row>
    <row r="9" spans="1:8" x14ac:dyDescent="0.25">
      <c r="A9" s="10" t="s">
        <v>145</v>
      </c>
      <c r="B9" s="10" t="s">
        <v>146</v>
      </c>
      <c r="C9" s="10" t="s">
        <v>321</v>
      </c>
      <c r="D9" s="10" t="s">
        <v>144</v>
      </c>
      <c r="E9" s="10">
        <v>17542</v>
      </c>
    </row>
    <row r="10" spans="1:8" x14ac:dyDescent="0.25">
      <c r="A10" s="10" t="s">
        <v>147</v>
      </c>
      <c r="B10" s="10" t="s">
        <v>148</v>
      </c>
      <c r="C10" s="10" t="s">
        <v>321</v>
      </c>
      <c r="D10" s="10" t="s">
        <v>224</v>
      </c>
      <c r="E10" s="11">
        <v>30576</v>
      </c>
    </row>
    <row r="11" spans="1:8" x14ac:dyDescent="0.25">
      <c r="A11" s="10" t="s">
        <v>149</v>
      </c>
      <c r="B11" s="10" t="s">
        <v>150</v>
      </c>
      <c r="C11" s="10" t="s">
        <v>320</v>
      </c>
      <c r="D11" s="10"/>
      <c r="E11" s="10"/>
    </row>
    <row r="12" spans="1:8" x14ac:dyDescent="0.25">
      <c r="A12" s="10" t="s">
        <v>151</v>
      </c>
      <c r="B12" s="10" t="s">
        <v>150</v>
      </c>
      <c r="C12" s="10" t="s">
        <v>321</v>
      </c>
      <c r="D12" s="10" t="s">
        <v>144</v>
      </c>
      <c r="E12" s="10">
        <v>17542</v>
      </c>
    </row>
    <row r="13" spans="1:8" x14ac:dyDescent="0.25">
      <c r="A13" s="10" t="s">
        <v>152</v>
      </c>
      <c r="B13" s="10" t="s">
        <v>153</v>
      </c>
      <c r="C13" s="10" t="s">
        <v>321</v>
      </c>
      <c r="D13" s="10" t="s">
        <v>144</v>
      </c>
      <c r="E13" s="10">
        <v>17542</v>
      </c>
    </row>
    <row r="14" spans="1:8" x14ac:dyDescent="0.25">
      <c r="A14" s="10" t="s">
        <v>20</v>
      </c>
      <c r="B14" s="10" t="s">
        <v>153</v>
      </c>
      <c r="C14" s="10" t="s">
        <v>320</v>
      </c>
      <c r="D14" s="10"/>
      <c r="E14" s="10"/>
    </row>
    <row r="15" spans="1:8" x14ac:dyDescent="0.25">
      <c r="A15" s="10" t="s">
        <v>154</v>
      </c>
      <c r="B15" s="10" t="s">
        <v>155</v>
      </c>
      <c r="C15" s="10" t="s">
        <v>321</v>
      </c>
      <c r="D15" s="10" t="s">
        <v>201</v>
      </c>
      <c r="E15" s="10">
        <v>30481</v>
      </c>
    </row>
    <row r="16" spans="1:8" x14ac:dyDescent="0.25">
      <c r="A16" s="10" t="s">
        <v>156</v>
      </c>
      <c r="B16" s="10" t="s">
        <v>157</v>
      </c>
      <c r="C16" s="10" t="s">
        <v>320</v>
      </c>
      <c r="D16" s="10"/>
      <c r="E16" s="10"/>
    </row>
    <row r="17" spans="1:5" x14ac:dyDescent="0.25">
      <c r="A17" s="10" t="s">
        <v>158</v>
      </c>
      <c r="B17" s="10" t="s">
        <v>159</v>
      </c>
      <c r="C17" s="10" t="s">
        <v>320</v>
      </c>
      <c r="D17" s="10"/>
      <c r="E17" s="10"/>
    </row>
    <row r="18" spans="1:5" x14ac:dyDescent="0.25">
      <c r="A18" s="10" t="s">
        <v>160</v>
      </c>
      <c r="B18" s="10" t="s">
        <v>3</v>
      </c>
      <c r="C18" s="10" t="s">
        <v>320</v>
      </c>
      <c r="D18" s="10"/>
      <c r="E18" s="10"/>
    </row>
    <row r="19" spans="1:5" x14ac:dyDescent="0.25">
      <c r="A19" s="10" t="s">
        <v>91</v>
      </c>
      <c r="B19" s="10" t="s">
        <v>161</v>
      </c>
      <c r="C19" s="10" t="s">
        <v>320</v>
      </c>
      <c r="D19" s="10"/>
      <c r="E19" s="10"/>
    </row>
    <row r="20" spans="1:5" x14ac:dyDescent="0.25">
      <c r="A20" s="10" t="s">
        <v>162</v>
      </c>
      <c r="B20" s="10" t="s">
        <v>163</v>
      </c>
      <c r="C20" s="10" t="s">
        <v>320</v>
      </c>
      <c r="D20" s="10"/>
      <c r="E20" s="10"/>
    </row>
    <row r="21" spans="1:5" x14ac:dyDescent="0.25">
      <c r="A21" s="10" t="s">
        <v>164</v>
      </c>
      <c r="B21" s="10" t="s">
        <v>165</v>
      </c>
      <c r="C21" s="10" t="s">
        <v>320</v>
      </c>
      <c r="D21" s="10"/>
      <c r="E21" s="10"/>
    </row>
    <row r="22" spans="1:5" x14ac:dyDescent="0.25">
      <c r="A22" s="10" t="s">
        <v>89</v>
      </c>
      <c r="B22" s="10" t="s">
        <v>89</v>
      </c>
      <c r="C22" s="10" t="s">
        <v>320</v>
      </c>
      <c r="D22" s="10"/>
      <c r="E22" s="10"/>
    </row>
    <row r="23" spans="1:5" x14ac:dyDescent="0.25">
      <c r="A23" s="10" t="s">
        <v>121</v>
      </c>
      <c r="B23" s="10" t="s">
        <v>166</v>
      </c>
      <c r="C23" s="10" t="s">
        <v>320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320</v>
      </c>
      <c r="D24" s="10"/>
      <c r="E24" s="10"/>
    </row>
    <row r="25" spans="1:5" x14ac:dyDescent="0.25">
      <c r="A25" s="10" t="s">
        <v>112</v>
      </c>
      <c r="B25" s="10" t="s">
        <v>169</v>
      </c>
      <c r="C25" s="10" t="s">
        <v>321</v>
      </c>
      <c r="D25" s="10" t="s">
        <v>338</v>
      </c>
      <c r="E25" s="11">
        <v>30454</v>
      </c>
    </row>
    <row r="26" spans="1:5" x14ac:dyDescent="0.25">
      <c r="A26" s="10" t="s">
        <v>114</v>
      </c>
      <c r="B26" s="10" t="s">
        <v>114</v>
      </c>
      <c r="C26" s="10" t="s">
        <v>320</v>
      </c>
      <c r="D26" s="10"/>
      <c r="E26" s="10"/>
    </row>
    <row r="27" spans="1:5" x14ac:dyDescent="0.25">
      <c r="A27" s="10" t="s">
        <v>170</v>
      </c>
      <c r="B27" s="10" t="s">
        <v>171</v>
      </c>
      <c r="C27" s="10" t="s">
        <v>320</v>
      </c>
      <c r="D27" s="10"/>
      <c r="E27" s="10"/>
    </row>
    <row r="28" spans="1:5" x14ac:dyDescent="0.25">
      <c r="A28" s="10" t="s">
        <v>172</v>
      </c>
      <c r="B28" s="10" t="s">
        <v>173</v>
      </c>
      <c r="C28" s="10" t="s">
        <v>320</v>
      </c>
      <c r="D28" s="10"/>
      <c r="E28" s="10"/>
    </row>
    <row r="29" spans="1:5" x14ac:dyDescent="0.25">
      <c r="A29" s="10" t="s">
        <v>174</v>
      </c>
      <c r="B29" s="10" t="s">
        <v>175</v>
      </c>
      <c r="C29" s="10" t="s">
        <v>320</v>
      </c>
      <c r="D29" s="10"/>
      <c r="E29" s="10"/>
    </row>
    <row r="30" spans="1:5" x14ac:dyDescent="0.25">
      <c r="A30" s="10" t="s">
        <v>176</v>
      </c>
      <c r="B30" s="10" t="s">
        <v>3</v>
      </c>
      <c r="C30" s="10" t="s">
        <v>320</v>
      </c>
      <c r="D30" s="10"/>
      <c r="E30" s="10"/>
    </row>
    <row r="31" spans="1:5" x14ac:dyDescent="0.25">
      <c r="A31" s="10" t="s">
        <v>177</v>
      </c>
      <c r="B31" s="10" t="s">
        <v>178</v>
      </c>
      <c r="C31" s="10" t="s">
        <v>320</v>
      </c>
      <c r="D31" s="10"/>
      <c r="E31" s="10"/>
    </row>
    <row r="32" spans="1:5" x14ac:dyDescent="0.25">
      <c r="A32" s="10" t="s">
        <v>179</v>
      </c>
      <c r="B32" s="10" t="s">
        <v>180</v>
      </c>
      <c r="C32" s="10" t="s">
        <v>321</v>
      </c>
      <c r="D32" s="10" t="s">
        <v>178</v>
      </c>
      <c r="E32" s="11">
        <v>17556</v>
      </c>
    </row>
    <row r="33" spans="1:5" x14ac:dyDescent="0.25">
      <c r="A33" s="10" t="s">
        <v>181</v>
      </c>
      <c r="B33" s="10" t="s">
        <v>182</v>
      </c>
      <c r="C33" s="10" t="s">
        <v>320</v>
      </c>
      <c r="D33" s="10"/>
      <c r="E33" s="10"/>
    </row>
    <row r="34" spans="1:5" x14ac:dyDescent="0.25">
      <c r="A34" s="10" t="s">
        <v>183</v>
      </c>
      <c r="B34" s="10" t="s">
        <v>184</v>
      </c>
      <c r="C34" s="10" t="s">
        <v>320</v>
      </c>
      <c r="D34" s="10"/>
      <c r="E34" s="10"/>
    </row>
    <row r="35" spans="1:5" x14ac:dyDescent="0.25">
      <c r="A35" s="10" t="s">
        <v>185</v>
      </c>
      <c r="B35" s="10" t="s">
        <v>186</v>
      </c>
      <c r="C35" s="10" t="s">
        <v>320</v>
      </c>
      <c r="D35" s="10"/>
      <c r="E35" s="10"/>
    </row>
    <row r="36" spans="1:5" x14ac:dyDescent="0.25">
      <c r="A36" s="10" t="s">
        <v>187</v>
      </c>
      <c r="B36" s="10" t="s">
        <v>188</v>
      </c>
      <c r="C36" s="10" t="s">
        <v>320</v>
      </c>
      <c r="D36" s="10"/>
      <c r="E36" s="10"/>
    </row>
    <row r="37" spans="1:5" x14ac:dyDescent="0.25">
      <c r="A37" s="10" t="s">
        <v>189</v>
      </c>
      <c r="B37" s="10" t="s">
        <v>190</v>
      </c>
      <c r="C37" s="10" t="s">
        <v>321</v>
      </c>
      <c r="D37" s="10" t="s">
        <v>262</v>
      </c>
      <c r="E37" s="10">
        <v>17557</v>
      </c>
    </row>
    <row r="38" spans="1:5" x14ac:dyDescent="0.25">
      <c r="A38" s="10" t="s">
        <v>191</v>
      </c>
      <c r="B38" s="10" t="s">
        <v>188</v>
      </c>
      <c r="C38" s="10" t="s">
        <v>320</v>
      </c>
      <c r="D38" s="10"/>
      <c r="E38" s="10"/>
    </row>
    <row r="39" spans="1:5" x14ac:dyDescent="0.25">
      <c r="A39" s="10" t="s">
        <v>192</v>
      </c>
      <c r="B39" s="10" t="s">
        <v>193</v>
      </c>
      <c r="C39" s="10" t="s">
        <v>320</v>
      </c>
      <c r="D39" s="10"/>
      <c r="E39" s="10"/>
    </row>
    <row r="40" spans="1:5" x14ac:dyDescent="0.25">
      <c r="A40" s="10" t="s">
        <v>194</v>
      </c>
      <c r="B40" s="10" t="s">
        <v>195</v>
      </c>
      <c r="C40" s="10" t="s">
        <v>320</v>
      </c>
      <c r="D40" s="10"/>
      <c r="E40" s="10"/>
    </row>
    <row r="41" spans="1:5" x14ac:dyDescent="0.25">
      <c r="A41" s="10" t="s">
        <v>196</v>
      </c>
      <c r="B41" s="10" t="s">
        <v>155</v>
      </c>
      <c r="C41" s="10" t="s">
        <v>321</v>
      </c>
      <c r="D41" s="10" t="s">
        <v>265</v>
      </c>
      <c r="E41" s="10">
        <v>30419</v>
      </c>
    </row>
    <row r="42" spans="1:5" x14ac:dyDescent="0.25">
      <c r="A42" s="10" t="s">
        <v>197</v>
      </c>
      <c r="B42" s="10" t="s">
        <v>142</v>
      </c>
      <c r="C42" s="10" t="s">
        <v>320</v>
      </c>
      <c r="D42" s="10"/>
      <c r="E42" s="10"/>
    </row>
    <row r="43" spans="1:5" x14ac:dyDescent="0.25">
      <c r="A43" s="10" t="s">
        <v>198</v>
      </c>
      <c r="B43" s="10" t="s">
        <v>199</v>
      </c>
      <c r="C43" s="10" t="s">
        <v>320</v>
      </c>
      <c r="D43" s="10"/>
      <c r="E43" s="10"/>
    </row>
    <row r="44" spans="1:5" x14ac:dyDescent="0.25">
      <c r="A44" s="10" t="s">
        <v>200</v>
      </c>
      <c r="B44" s="10" t="s">
        <v>201</v>
      </c>
      <c r="C44" s="10" t="s">
        <v>321</v>
      </c>
      <c r="D44" s="10" t="s">
        <v>155</v>
      </c>
      <c r="E44" s="10">
        <v>30485</v>
      </c>
    </row>
    <row r="45" spans="1:5" x14ac:dyDescent="0.25">
      <c r="A45" s="10" t="s">
        <v>202</v>
      </c>
      <c r="B45" s="10" t="s">
        <v>157</v>
      </c>
      <c r="C45" s="10" t="s">
        <v>320</v>
      </c>
      <c r="D45" s="10"/>
      <c r="E45" s="10"/>
    </row>
    <row r="46" spans="1:5" x14ac:dyDescent="0.25">
      <c r="A46" s="10" t="s">
        <v>203</v>
      </c>
      <c r="B46" s="10" t="s">
        <v>204</v>
      </c>
      <c r="C46" s="10" t="s">
        <v>320</v>
      </c>
      <c r="D46" s="10"/>
      <c r="E46" s="10"/>
    </row>
    <row r="47" spans="1:5" x14ac:dyDescent="0.25">
      <c r="A47" s="10" t="s">
        <v>205</v>
      </c>
      <c r="B47" s="10" t="s">
        <v>3</v>
      </c>
      <c r="C47" s="10" t="s">
        <v>320</v>
      </c>
      <c r="D47" s="10"/>
      <c r="E47" s="10"/>
    </row>
    <row r="48" spans="1:5" x14ac:dyDescent="0.25">
      <c r="A48" s="10" t="s">
        <v>206</v>
      </c>
      <c r="B48" s="10" t="s">
        <v>207</v>
      </c>
      <c r="C48" s="10" t="s">
        <v>320</v>
      </c>
      <c r="D48" s="10"/>
      <c r="E48" s="10"/>
    </row>
    <row r="49" spans="1:5" x14ac:dyDescent="0.25">
      <c r="A49" s="10" t="s">
        <v>208</v>
      </c>
      <c r="B49" s="10" t="s">
        <v>169</v>
      </c>
      <c r="C49" s="10" t="s">
        <v>321</v>
      </c>
      <c r="D49" s="10" t="s">
        <v>286</v>
      </c>
      <c r="E49" s="11">
        <v>17555</v>
      </c>
    </row>
    <row r="50" spans="1:5" x14ac:dyDescent="0.25">
      <c r="A50" s="10" t="s">
        <v>209</v>
      </c>
      <c r="B50" s="10" t="s">
        <v>146</v>
      </c>
      <c r="C50" s="10" t="s">
        <v>320</v>
      </c>
      <c r="D50" s="10"/>
      <c r="E50" s="10"/>
    </row>
    <row r="51" spans="1:5" x14ac:dyDescent="0.25">
      <c r="A51" s="10" t="s">
        <v>210</v>
      </c>
      <c r="B51" s="10" t="s">
        <v>144</v>
      </c>
      <c r="C51" s="10" t="s">
        <v>321</v>
      </c>
      <c r="D51" s="10" t="s">
        <v>301</v>
      </c>
      <c r="E51" s="10">
        <v>30484</v>
      </c>
    </row>
    <row r="52" spans="1:5" x14ac:dyDescent="0.25">
      <c r="A52" s="10" t="s">
        <v>211</v>
      </c>
      <c r="B52" s="10" t="s">
        <v>212</v>
      </c>
      <c r="C52" s="10" t="s">
        <v>320</v>
      </c>
      <c r="D52" s="10"/>
      <c r="E52" s="10"/>
    </row>
    <row r="53" spans="1:5" x14ac:dyDescent="0.25">
      <c r="A53" s="10" t="s">
        <v>213</v>
      </c>
      <c r="B53" s="10" t="s">
        <v>214</v>
      </c>
      <c r="C53" s="10" t="s">
        <v>320</v>
      </c>
      <c r="D53" s="10"/>
      <c r="E53" s="10"/>
    </row>
    <row r="54" spans="1:5" x14ac:dyDescent="0.25">
      <c r="A54" s="10" t="s">
        <v>215</v>
      </c>
      <c r="B54" s="10" t="s">
        <v>216</v>
      </c>
      <c r="C54" s="10" t="s">
        <v>320</v>
      </c>
      <c r="D54" s="10"/>
      <c r="E54" s="10"/>
    </row>
    <row r="55" spans="1:5" x14ac:dyDescent="0.25">
      <c r="A55" s="10" t="s">
        <v>217</v>
      </c>
      <c r="B55" s="10" t="s">
        <v>144</v>
      </c>
      <c r="C55" s="10" t="s">
        <v>321</v>
      </c>
      <c r="D55" s="10" t="s">
        <v>281</v>
      </c>
      <c r="E55" s="11">
        <v>30513</v>
      </c>
    </row>
    <row r="56" spans="1:5" x14ac:dyDescent="0.25">
      <c r="A56" s="10" t="s">
        <v>218</v>
      </c>
      <c r="B56" s="10" t="s">
        <v>219</v>
      </c>
      <c r="C56" s="10" t="s">
        <v>320</v>
      </c>
      <c r="D56" s="10"/>
      <c r="E56" s="10"/>
    </row>
    <row r="57" spans="1:5" x14ac:dyDescent="0.25">
      <c r="A57" s="10" t="s">
        <v>220</v>
      </c>
      <c r="B57" s="10" t="s">
        <v>221</v>
      </c>
      <c r="C57" s="10" t="s">
        <v>320</v>
      </c>
      <c r="D57" s="10"/>
      <c r="E57" s="10"/>
    </row>
    <row r="58" spans="1:5" x14ac:dyDescent="0.25">
      <c r="A58" s="10" t="s">
        <v>222</v>
      </c>
      <c r="B58" s="10" t="s">
        <v>3</v>
      </c>
      <c r="C58" s="10"/>
      <c r="D58" s="10" t="s">
        <v>335</v>
      </c>
      <c r="E58" s="10"/>
    </row>
    <row r="59" spans="1:5" x14ac:dyDescent="0.25">
      <c r="A59" s="10" t="s">
        <v>223</v>
      </c>
      <c r="B59" s="10" t="s">
        <v>224</v>
      </c>
      <c r="C59" s="10"/>
      <c r="D59" s="10" t="s">
        <v>335</v>
      </c>
      <c r="E59" s="10"/>
    </row>
    <row r="60" spans="1:5" x14ac:dyDescent="0.25">
      <c r="A60" s="10" t="s">
        <v>225</v>
      </c>
      <c r="B60" s="10" t="s">
        <v>3</v>
      </c>
      <c r="C60" s="10"/>
      <c r="D60" s="10" t="s">
        <v>335</v>
      </c>
      <c r="E60" s="10"/>
    </row>
    <row r="61" spans="1:5" x14ac:dyDescent="0.25">
      <c r="A61" s="10" t="s">
        <v>226</v>
      </c>
      <c r="B61" s="10" t="s">
        <v>159</v>
      </c>
      <c r="C61" s="10"/>
      <c r="D61" s="10" t="s">
        <v>335</v>
      </c>
      <c r="E61" s="10"/>
    </row>
    <row r="62" spans="1:5" x14ac:dyDescent="0.25">
      <c r="A62" s="10" t="s">
        <v>227</v>
      </c>
      <c r="B62" s="10" t="s">
        <v>136</v>
      </c>
      <c r="C62" s="10"/>
      <c r="D62" s="10" t="s">
        <v>335</v>
      </c>
      <c r="E6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5"/>
  <sheetViews>
    <sheetView tabSelected="1" workbookViewId="0"/>
  </sheetViews>
  <sheetFormatPr defaultRowHeight="15" x14ac:dyDescent="0.25"/>
  <cols>
    <col min="1" max="1" width="69.42578125" customWidth="1"/>
    <col min="2" max="2" width="51.28515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317</v>
      </c>
      <c r="D1" s="2" t="s">
        <v>318</v>
      </c>
      <c r="E1" s="3" t="s">
        <v>319</v>
      </c>
      <c r="G1" s="4" t="s">
        <v>320</v>
      </c>
      <c r="H1" s="5">
        <f>COUNTIF(C:C,G1)</f>
        <v>46</v>
      </c>
    </row>
    <row r="2" spans="1:8" x14ac:dyDescent="0.25">
      <c r="A2" s="10" t="s">
        <v>133</v>
      </c>
      <c r="B2" s="10" t="s">
        <v>134</v>
      </c>
      <c r="C2" s="10" t="s">
        <v>320</v>
      </c>
      <c r="D2" s="10"/>
      <c r="E2" s="10"/>
      <c r="G2" s="6" t="s">
        <v>321</v>
      </c>
      <c r="H2" s="7">
        <f>COUNTIF(C:C,G2)</f>
        <v>13</v>
      </c>
    </row>
    <row r="3" spans="1:8" ht="15.75" thickBot="1" x14ac:dyDescent="0.3">
      <c r="A3" s="10" t="s">
        <v>135</v>
      </c>
      <c r="B3" s="10" t="s">
        <v>3</v>
      </c>
      <c r="C3" s="10" t="s">
        <v>320</v>
      </c>
      <c r="D3" s="10"/>
      <c r="E3" s="10"/>
      <c r="G3" s="8" t="s">
        <v>322</v>
      </c>
      <c r="H3" s="9">
        <f>H1/SUM(H1:H2)</f>
        <v>0.77966101694915257</v>
      </c>
    </row>
    <row r="4" spans="1:8" x14ac:dyDescent="0.25">
      <c r="A4" s="10" t="s">
        <v>24</v>
      </c>
      <c r="B4" s="10" t="s">
        <v>136</v>
      </c>
      <c r="C4" s="10" t="s">
        <v>320</v>
      </c>
      <c r="D4" s="10"/>
      <c r="E4" s="10"/>
    </row>
    <row r="5" spans="1:8" x14ac:dyDescent="0.25">
      <c r="A5" s="10" t="s">
        <v>250</v>
      </c>
      <c r="B5" s="10" t="s">
        <v>138</v>
      </c>
      <c r="C5" s="10" t="s">
        <v>320</v>
      </c>
      <c r="D5" s="10"/>
      <c r="E5" s="10"/>
    </row>
    <row r="6" spans="1:8" x14ac:dyDescent="0.25">
      <c r="A6" s="10" t="s">
        <v>251</v>
      </c>
      <c r="B6" s="10" t="s">
        <v>142</v>
      </c>
      <c r="C6" s="10" t="s">
        <v>321</v>
      </c>
      <c r="D6" s="10" t="s">
        <v>336</v>
      </c>
      <c r="E6" s="10">
        <v>30505</v>
      </c>
    </row>
    <row r="7" spans="1:8" x14ac:dyDescent="0.25">
      <c r="A7" s="10" t="s">
        <v>139</v>
      </c>
      <c r="B7" s="10" t="s">
        <v>140</v>
      </c>
      <c r="C7" s="10" t="s">
        <v>321</v>
      </c>
      <c r="D7" s="10" t="s">
        <v>144</v>
      </c>
      <c r="E7" s="10">
        <v>17542</v>
      </c>
    </row>
    <row r="8" spans="1:8" x14ac:dyDescent="0.25">
      <c r="A8" s="10" t="s">
        <v>252</v>
      </c>
      <c r="B8" s="10" t="s">
        <v>144</v>
      </c>
      <c r="C8" s="10" t="s">
        <v>320</v>
      </c>
      <c r="D8" s="10"/>
      <c r="E8" s="10"/>
    </row>
    <row r="9" spans="1:8" x14ac:dyDescent="0.25">
      <c r="A9" s="10" t="s">
        <v>145</v>
      </c>
      <c r="B9" s="10" t="s">
        <v>146</v>
      </c>
      <c r="C9" s="10" t="s">
        <v>321</v>
      </c>
      <c r="D9" s="10" t="s">
        <v>144</v>
      </c>
      <c r="E9" s="10">
        <v>17542</v>
      </c>
    </row>
    <row r="10" spans="1:8" x14ac:dyDescent="0.25">
      <c r="A10" s="10" t="s">
        <v>253</v>
      </c>
      <c r="B10" s="10" t="s">
        <v>150</v>
      </c>
      <c r="C10" s="10" t="s">
        <v>321</v>
      </c>
      <c r="D10" s="10" t="s">
        <v>144</v>
      </c>
      <c r="E10" s="10">
        <v>17542</v>
      </c>
    </row>
    <row r="11" spans="1:8" x14ac:dyDescent="0.25">
      <c r="A11" s="10" t="s">
        <v>254</v>
      </c>
      <c r="B11" s="10" t="s">
        <v>150</v>
      </c>
      <c r="C11" s="10" t="s">
        <v>320</v>
      </c>
      <c r="D11" s="10"/>
      <c r="E11" s="10"/>
    </row>
    <row r="12" spans="1:8" x14ac:dyDescent="0.25">
      <c r="A12" s="10" t="s">
        <v>228</v>
      </c>
      <c r="B12" s="10" t="s">
        <v>224</v>
      </c>
      <c r="C12" s="10" t="s">
        <v>320</v>
      </c>
      <c r="D12" s="10"/>
      <c r="E12" s="10"/>
    </row>
    <row r="13" spans="1:8" x14ac:dyDescent="0.25">
      <c r="A13" s="10" t="s">
        <v>255</v>
      </c>
      <c r="B13" s="10" t="s">
        <v>190</v>
      </c>
      <c r="C13" s="10" t="s">
        <v>320</v>
      </c>
      <c r="D13" s="10"/>
      <c r="E13" s="10"/>
    </row>
    <row r="14" spans="1:8" x14ac:dyDescent="0.25">
      <c r="A14" s="10" t="s">
        <v>152</v>
      </c>
      <c r="B14" s="10" t="s">
        <v>153</v>
      </c>
      <c r="C14" s="10" t="s">
        <v>321</v>
      </c>
      <c r="D14" s="10" t="s">
        <v>144</v>
      </c>
      <c r="E14" s="10">
        <v>17542</v>
      </c>
    </row>
    <row r="15" spans="1:8" x14ac:dyDescent="0.25">
      <c r="A15" s="10" t="s">
        <v>20</v>
      </c>
      <c r="B15" s="10" t="s">
        <v>153</v>
      </c>
      <c r="C15" s="10" t="s">
        <v>320</v>
      </c>
      <c r="D15" s="10"/>
      <c r="E15" s="10"/>
    </row>
    <row r="16" spans="1:8" x14ac:dyDescent="0.25">
      <c r="A16" s="10" t="s">
        <v>154</v>
      </c>
      <c r="B16" s="10" t="s">
        <v>155</v>
      </c>
      <c r="C16" s="10" t="s">
        <v>321</v>
      </c>
      <c r="D16" s="10" t="s">
        <v>201</v>
      </c>
      <c r="E16" s="10">
        <v>30481</v>
      </c>
    </row>
    <row r="17" spans="1:5" x14ac:dyDescent="0.25">
      <c r="A17" s="10" t="s">
        <v>156</v>
      </c>
      <c r="B17" s="10" t="s">
        <v>157</v>
      </c>
      <c r="C17" s="10" t="s">
        <v>320</v>
      </c>
      <c r="D17" s="10"/>
      <c r="E17" s="10"/>
    </row>
    <row r="18" spans="1:5" x14ac:dyDescent="0.25">
      <c r="A18" s="10" t="s">
        <v>256</v>
      </c>
      <c r="B18" s="10" t="s">
        <v>159</v>
      </c>
      <c r="C18" s="10" t="s">
        <v>320</v>
      </c>
      <c r="D18" s="10"/>
      <c r="E18" s="10"/>
    </row>
    <row r="19" spans="1:5" x14ac:dyDescent="0.25">
      <c r="A19" s="10" t="s">
        <v>160</v>
      </c>
      <c r="B19" s="10" t="s">
        <v>3</v>
      </c>
      <c r="C19" s="10" t="s">
        <v>320</v>
      </c>
      <c r="D19" s="10"/>
      <c r="E19" s="10"/>
    </row>
    <row r="20" spans="1:5" x14ac:dyDescent="0.25">
      <c r="A20" s="10" t="s">
        <v>257</v>
      </c>
      <c r="B20" s="10" t="s">
        <v>161</v>
      </c>
      <c r="C20" s="10" t="s">
        <v>320</v>
      </c>
      <c r="D20" s="10"/>
      <c r="E20" s="10"/>
    </row>
    <row r="21" spans="1:5" x14ac:dyDescent="0.25">
      <c r="A21" s="10" t="s">
        <v>91</v>
      </c>
      <c r="B21" s="10" t="s">
        <v>161</v>
      </c>
      <c r="C21" s="10" t="s">
        <v>320</v>
      </c>
      <c r="D21" s="10"/>
      <c r="E21" s="10"/>
    </row>
    <row r="22" spans="1:5" x14ac:dyDescent="0.25">
      <c r="A22" s="10" t="s">
        <v>162</v>
      </c>
      <c r="B22" s="10" t="s">
        <v>163</v>
      </c>
      <c r="C22" s="10" t="s">
        <v>320</v>
      </c>
      <c r="D22" s="10"/>
      <c r="E22" s="10"/>
    </row>
    <row r="23" spans="1:5" x14ac:dyDescent="0.25">
      <c r="A23" s="10" t="s">
        <v>164</v>
      </c>
      <c r="B23" s="10" t="s">
        <v>165</v>
      </c>
      <c r="C23" s="10" t="s">
        <v>320</v>
      </c>
      <c r="D23" s="10"/>
      <c r="E23" s="10"/>
    </row>
    <row r="24" spans="1:5" x14ac:dyDescent="0.25">
      <c r="A24" s="10" t="s">
        <v>89</v>
      </c>
      <c r="B24" s="10" t="s">
        <v>89</v>
      </c>
      <c r="C24" s="10" t="s">
        <v>320</v>
      </c>
      <c r="D24" s="10"/>
      <c r="E24" s="10"/>
    </row>
    <row r="25" spans="1:5" x14ac:dyDescent="0.25">
      <c r="A25" s="10" t="s">
        <v>121</v>
      </c>
      <c r="B25" s="10" t="s">
        <v>166</v>
      </c>
      <c r="C25" s="10" t="s">
        <v>320</v>
      </c>
      <c r="D25" s="10"/>
      <c r="E25" s="10"/>
    </row>
    <row r="26" spans="1:5" x14ac:dyDescent="0.25">
      <c r="A26" s="10" t="s">
        <v>167</v>
      </c>
      <c r="B26" s="10" t="s">
        <v>168</v>
      </c>
      <c r="C26" s="10" t="s">
        <v>320</v>
      </c>
      <c r="D26" s="10"/>
      <c r="E26" s="10"/>
    </row>
    <row r="27" spans="1:5" x14ac:dyDescent="0.25">
      <c r="A27" s="12" t="s">
        <v>112</v>
      </c>
      <c r="B27" s="12" t="s">
        <v>169</v>
      </c>
      <c r="C27" s="10" t="s">
        <v>321</v>
      </c>
      <c r="D27" s="10" t="s">
        <v>338</v>
      </c>
      <c r="E27" s="11">
        <v>30454</v>
      </c>
    </row>
    <row r="28" spans="1:5" x14ac:dyDescent="0.25">
      <c r="A28" s="10" t="s">
        <v>114</v>
      </c>
      <c r="B28" s="10" t="s">
        <v>114</v>
      </c>
      <c r="C28" s="10" t="s">
        <v>320</v>
      </c>
      <c r="D28" s="10"/>
      <c r="E28" s="10"/>
    </row>
    <row r="29" spans="1:5" x14ac:dyDescent="0.25">
      <c r="A29" s="10" t="s">
        <v>170</v>
      </c>
      <c r="B29" s="10" t="s">
        <v>171</v>
      </c>
      <c r="C29" s="10" t="s">
        <v>320</v>
      </c>
      <c r="D29" s="10"/>
      <c r="E29" s="10"/>
    </row>
    <row r="30" spans="1:5" x14ac:dyDescent="0.25">
      <c r="A30" s="10" t="s">
        <v>172</v>
      </c>
      <c r="B30" s="10" t="s">
        <v>173</v>
      </c>
      <c r="C30" s="10" t="s">
        <v>320</v>
      </c>
      <c r="D30" s="10"/>
      <c r="E30" s="10"/>
    </row>
    <row r="31" spans="1:5" x14ac:dyDescent="0.25">
      <c r="A31" s="10" t="s">
        <v>258</v>
      </c>
      <c r="B31" s="10" t="s">
        <v>175</v>
      </c>
      <c r="C31" s="10" t="s">
        <v>320</v>
      </c>
      <c r="D31" s="10"/>
      <c r="E31" s="10"/>
    </row>
    <row r="32" spans="1:5" x14ac:dyDescent="0.25">
      <c r="A32" s="10" t="s">
        <v>259</v>
      </c>
      <c r="B32" s="10" t="s">
        <v>3</v>
      </c>
      <c r="C32" s="10" t="s">
        <v>320</v>
      </c>
      <c r="D32" s="10"/>
      <c r="E32" s="10"/>
    </row>
    <row r="33" spans="1:5" x14ac:dyDescent="0.25">
      <c r="A33" s="10" t="s">
        <v>177</v>
      </c>
      <c r="B33" s="10" t="s">
        <v>178</v>
      </c>
      <c r="C33" s="10" t="s">
        <v>320</v>
      </c>
      <c r="D33" s="10"/>
      <c r="E33" s="10"/>
    </row>
    <row r="34" spans="1:5" x14ac:dyDescent="0.25">
      <c r="A34" s="10" t="s">
        <v>179</v>
      </c>
      <c r="B34" s="10" t="s">
        <v>180</v>
      </c>
      <c r="C34" s="10" t="s">
        <v>321</v>
      </c>
      <c r="D34" s="10" t="s">
        <v>178</v>
      </c>
      <c r="E34" s="10">
        <v>17556</v>
      </c>
    </row>
    <row r="35" spans="1:5" x14ac:dyDescent="0.25">
      <c r="A35" s="10" t="s">
        <v>181</v>
      </c>
      <c r="B35" s="10" t="s">
        <v>182</v>
      </c>
      <c r="C35" s="10" t="s">
        <v>320</v>
      </c>
      <c r="D35" s="10"/>
      <c r="E35" s="10"/>
    </row>
    <row r="36" spans="1:5" x14ac:dyDescent="0.25">
      <c r="A36" s="10" t="s">
        <v>191</v>
      </c>
      <c r="B36" s="10" t="s">
        <v>188</v>
      </c>
      <c r="C36" s="10" t="s">
        <v>320</v>
      </c>
      <c r="D36" s="10"/>
      <c r="E36" s="10"/>
    </row>
    <row r="37" spans="1:5" x14ac:dyDescent="0.25">
      <c r="A37" s="10" t="s">
        <v>260</v>
      </c>
      <c r="B37" s="10" t="s">
        <v>184</v>
      </c>
      <c r="C37" s="10" t="s">
        <v>320</v>
      </c>
      <c r="D37" s="10"/>
      <c r="E37" s="10"/>
    </row>
    <row r="38" spans="1:5" x14ac:dyDescent="0.25">
      <c r="A38" s="10" t="s">
        <v>242</v>
      </c>
      <c r="B38" s="10" t="s">
        <v>186</v>
      </c>
      <c r="C38" s="10" t="s">
        <v>320</v>
      </c>
      <c r="D38" s="10"/>
      <c r="E38" s="10"/>
    </row>
    <row r="39" spans="1:5" x14ac:dyDescent="0.25">
      <c r="A39" s="10" t="s">
        <v>261</v>
      </c>
      <c r="B39" s="10" t="s">
        <v>262</v>
      </c>
      <c r="C39" s="10" t="s">
        <v>320</v>
      </c>
      <c r="D39" s="10"/>
      <c r="E39" s="10"/>
    </row>
    <row r="40" spans="1:5" x14ac:dyDescent="0.25">
      <c r="A40" s="10" t="s">
        <v>200</v>
      </c>
      <c r="B40" s="10" t="s">
        <v>201</v>
      </c>
      <c r="C40" s="10" t="s">
        <v>321</v>
      </c>
      <c r="D40" s="10" t="s">
        <v>155</v>
      </c>
      <c r="E40" s="10">
        <v>30485</v>
      </c>
    </row>
    <row r="41" spans="1:5" x14ac:dyDescent="0.25">
      <c r="A41" s="10" t="s">
        <v>202</v>
      </c>
      <c r="B41" s="10" t="s">
        <v>157</v>
      </c>
      <c r="C41" s="10" t="s">
        <v>320</v>
      </c>
      <c r="D41" s="10"/>
      <c r="E41" s="10"/>
    </row>
    <row r="42" spans="1:5" x14ac:dyDescent="0.25">
      <c r="A42" s="10" t="s">
        <v>263</v>
      </c>
      <c r="B42" s="10" t="s">
        <v>157</v>
      </c>
      <c r="C42" s="10" t="s">
        <v>320</v>
      </c>
      <c r="D42" s="10"/>
      <c r="E42" s="10"/>
    </row>
    <row r="43" spans="1:5" x14ac:dyDescent="0.25">
      <c r="A43" s="10" t="s">
        <v>264</v>
      </c>
      <c r="B43" s="10" t="s">
        <v>265</v>
      </c>
      <c r="C43" s="10" t="s">
        <v>320</v>
      </c>
      <c r="D43" s="10"/>
      <c r="E43" s="10"/>
    </row>
    <row r="44" spans="1:5" x14ac:dyDescent="0.25">
      <c r="A44" s="10" t="s">
        <v>266</v>
      </c>
      <c r="B44" s="10" t="s">
        <v>199</v>
      </c>
      <c r="C44" s="10" t="s">
        <v>320</v>
      </c>
      <c r="D44" s="10"/>
      <c r="E44" s="10"/>
    </row>
    <row r="45" spans="1:5" x14ac:dyDescent="0.25">
      <c r="A45" s="10" t="s">
        <v>267</v>
      </c>
      <c r="B45" s="10" t="s">
        <v>142</v>
      </c>
      <c r="C45" s="10" t="s">
        <v>321</v>
      </c>
      <c r="D45" s="10" t="s">
        <v>199</v>
      </c>
      <c r="E45" s="10">
        <v>17545</v>
      </c>
    </row>
    <row r="46" spans="1:5" x14ac:dyDescent="0.25">
      <c r="A46" s="10" t="s">
        <v>198</v>
      </c>
      <c r="B46" s="10" t="s">
        <v>199</v>
      </c>
      <c r="C46" s="10" t="s">
        <v>320</v>
      </c>
      <c r="D46" s="10"/>
      <c r="E46" s="10"/>
    </row>
    <row r="47" spans="1:5" x14ac:dyDescent="0.25">
      <c r="A47" s="10" t="s">
        <v>268</v>
      </c>
      <c r="B47" s="10" t="s">
        <v>204</v>
      </c>
      <c r="C47" s="10" t="s">
        <v>320</v>
      </c>
      <c r="D47" s="10"/>
      <c r="E47" s="10"/>
    </row>
    <row r="48" spans="1:5" x14ac:dyDescent="0.25">
      <c r="A48" s="10" t="s">
        <v>269</v>
      </c>
      <c r="B48" s="10" t="s">
        <v>3</v>
      </c>
      <c r="C48" s="10" t="s">
        <v>320</v>
      </c>
      <c r="D48" s="10"/>
      <c r="E48" s="10"/>
    </row>
    <row r="49" spans="1:5" x14ac:dyDescent="0.25">
      <c r="A49" s="10" t="s">
        <v>270</v>
      </c>
      <c r="B49" s="10" t="s">
        <v>271</v>
      </c>
      <c r="C49" s="10" t="s">
        <v>320</v>
      </c>
      <c r="D49" s="10"/>
      <c r="E49" s="10"/>
    </row>
    <row r="50" spans="1:5" x14ac:dyDescent="0.25">
      <c r="A50" s="10" t="s">
        <v>206</v>
      </c>
      <c r="B50" s="10" t="s">
        <v>207</v>
      </c>
      <c r="C50" s="10" t="s">
        <v>320</v>
      </c>
      <c r="D50" s="10"/>
      <c r="E50" s="10"/>
    </row>
    <row r="51" spans="1:5" x14ac:dyDescent="0.25">
      <c r="A51" s="10" t="s">
        <v>208</v>
      </c>
      <c r="B51" s="10" t="s">
        <v>169</v>
      </c>
      <c r="C51" s="10" t="s">
        <v>321</v>
      </c>
      <c r="D51" s="10" t="s">
        <v>286</v>
      </c>
      <c r="E51" s="10">
        <v>17555</v>
      </c>
    </row>
    <row r="52" spans="1:5" x14ac:dyDescent="0.25">
      <c r="A52" s="10" t="s">
        <v>272</v>
      </c>
      <c r="B52" s="10" t="s">
        <v>146</v>
      </c>
      <c r="C52" s="10" t="s">
        <v>320</v>
      </c>
      <c r="D52" s="10"/>
      <c r="E52" s="10"/>
    </row>
    <row r="53" spans="1:5" x14ac:dyDescent="0.25">
      <c r="A53" s="10" t="s">
        <v>273</v>
      </c>
      <c r="B53" s="10" t="s">
        <v>161</v>
      </c>
      <c r="C53" s="10" t="s">
        <v>321</v>
      </c>
      <c r="D53" s="10" t="s">
        <v>301</v>
      </c>
      <c r="E53" s="10">
        <v>30484</v>
      </c>
    </row>
    <row r="54" spans="1:5" x14ac:dyDescent="0.25">
      <c r="A54" s="10" t="s">
        <v>274</v>
      </c>
      <c r="B54" s="10" t="s">
        <v>212</v>
      </c>
      <c r="C54" s="10" t="s">
        <v>320</v>
      </c>
      <c r="D54" s="10"/>
      <c r="E54" s="10"/>
    </row>
    <row r="55" spans="1:5" x14ac:dyDescent="0.25">
      <c r="A55" s="10" t="s">
        <v>213</v>
      </c>
      <c r="B55" s="10" t="s">
        <v>214</v>
      </c>
      <c r="C55" s="10" t="s">
        <v>320</v>
      </c>
      <c r="D55" s="10"/>
      <c r="E55" s="10"/>
    </row>
    <row r="56" spans="1:5" x14ac:dyDescent="0.25">
      <c r="A56" s="10" t="s">
        <v>275</v>
      </c>
      <c r="B56" s="10" t="s">
        <v>216</v>
      </c>
      <c r="C56" s="10" t="s">
        <v>320</v>
      </c>
      <c r="D56" s="10"/>
      <c r="E56" s="10"/>
    </row>
    <row r="57" spans="1:5" x14ac:dyDescent="0.25">
      <c r="A57" s="10" t="s">
        <v>276</v>
      </c>
      <c r="B57" s="10" t="s">
        <v>3</v>
      </c>
      <c r="C57" s="10" t="s">
        <v>320</v>
      </c>
      <c r="D57" s="10"/>
      <c r="E57" s="10"/>
    </row>
    <row r="58" spans="1:5" x14ac:dyDescent="0.25">
      <c r="A58" s="10" t="s">
        <v>277</v>
      </c>
      <c r="B58" s="10" t="s">
        <v>144</v>
      </c>
      <c r="C58" s="10" t="s">
        <v>321</v>
      </c>
      <c r="D58" s="10" t="s">
        <v>281</v>
      </c>
      <c r="E58" s="11">
        <v>30513</v>
      </c>
    </row>
    <row r="59" spans="1:5" x14ac:dyDescent="0.25">
      <c r="A59" s="10" t="s">
        <v>218</v>
      </c>
      <c r="B59" s="10" t="s">
        <v>219</v>
      </c>
      <c r="C59" s="10" t="s">
        <v>320</v>
      </c>
      <c r="D59" s="10"/>
      <c r="E59" s="10"/>
    </row>
    <row r="60" spans="1:5" x14ac:dyDescent="0.25">
      <c r="A60" s="10" t="s">
        <v>278</v>
      </c>
      <c r="B60" s="10" t="s">
        <v>221</v>
      </c>
      <c r="C60" s="10" t="s">
        <v>320</v>
      </c>
      <c r="D60" s="10"/>
      <c r="E60" s="10"/>
    </row>
    <row r="61" spans="1:5" x14ac:dyDescent="0.25">
      <c r="A61" s="10" t="s">
        <v>222</v>
      </c>
      <c r="B61" s="10" t="s">
        <v>3</v>
      </c>
      <c r="C61" s="10"/>
      <c r="D61" s="10" t="s">
        <v>335</v>
      </c>
      <c r="E61" s="10"/>
    </row>
    <row r="62" spans="1:5" x14ac:dyDescent="0.25">
      <c r="A62" s="10" t="s">
        <v>279</v>
      </c>
      <c r="B62" s="10" t="s">
        <v>144</v>
      </c>
      <c r="C62" s="10"/>
      <c r="D62" s="10" t="s">
        <v>335</v>
      </c>
      <c r="E62" s="10"/>
    </row>
    <row r="63" spans="1:5" x14ac:dyDescent="0.25">
      <c r="A63" s="10" t="s">
        <v>280</v>
      </c>
      <c r="B63" s="10" t="s">
        <v>281</v>
      </c>
      <c r="C63" s="10"/>
      <c r="D63" s="10" t="s">
        <v>335</v>
      </c>
      <c r="E63" s="10"/>
    </row>
    <row r="64" spans="1:5" x14ac:dyDescent="0.25">
      <c r="A64" s="10" t="s">
        <v>226</v>
      </c>
      <c r="B64" s="10" t="s">
        <v>159</v>
      </c>
      <c r="C64" s="10"/>
      <c r="D64" s="10" t="s">
        <v>335</v>
      </c>
      <c r="E64" s="10"/>
    </row>
    <row r="65" spans="1:5" x14ac:dyDescent="0.25">
      <c r="A65" s="10" t="s">
        <v>282</v>
      </c>
      <c r="B65" s="10" t="s">
        <v>136</v>
      </c>
      <c r="C65" s="10"/>
      <c r="D65" s="10" t="s">
        <v>335</v>
      </c>
      <c r="E6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workbookViewId="0"/>
  </sheetViews>
  <sheetFormatPr defaultRowHeight="15" x14ac:dyDescent="0.25"/>
  <cols>
    <col min="1" max="1" width="59.7109375" bestFit="1" customWidth="1"/>
    <col min="2" max="2" width="51.28515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317</v>
      </c>
      <c r="D1" s="2" t="s">
        <v>318</v>
      </c>
      <c r="E1" s="3" t="s">
        <v>319</v>
      </c>
      <c r="G1" s="4" t="s">
        <v>320</v>
      </c>
      <c r="H1" s="5">
        <f>COUNTIF(C:C,G1)</f>
        <v>0</v>
      </c>
    </row>
    <row r="2" spans="1:8" x14ac:dyDescent="0.25">
      <c r="A2" t="s">
        <v>283</v>
      </c>
      <c r="B2" t="s">
        <v>171</v>
      </c>
      <c r="G2" s="6" t="s">
        <v>321</v>
      </c>
      <c r="H2" s="7">
        <f>COUNTIF(C:C,G2)</f>
        <v>0</v>
      </c>
    </row>
    <row r="3" spans="1:8" ht="15.75" thickBot="1" x14ac:dyDescent="0.3">
      <c r="A3" t="s">
        <v>284</v>
      </c>
      <c r="B3" t="s">
        <v>3</v>
      </c>
      <c r="G3" s="8" t="s">
        <v>322</v>
      </c>
      <c r="H3" s="9" t="e">
        <f>H1/SUM(H1:H2)</f>
        <v>#DIV/0!</v>
      </c>
    </row>
    <row r="4" spans="1:8" x14ac:dyDescent="0.25">
      <c r="A4" t="s">
        <v>285</v>
      </c>
      <c r="B4" t="s">
        <v>286</v>
      </c>
    </row>
    <row r="5" spans="1:8" x14ac:dyDescent="0.25">
      <c r="A5" t="s">
        <v>287</v>
      </c>
      <c r="B5" t="s">
        <v>199</v>
      </c>
    </row>
    <row r="6" spans="1:8" x14ac:dyDescent="0.25">
      <c r="A6" t="s">
        <v>288</v>
      </c>
      <c r="B6" t="s">
        <v>144</v>
      </c>
    </row>
    <row r="7" spans="1:8" x14ac:dyDescent="0.25">
      <c r="A7" t="s">
        <v>289</v>
      </c>
      <c r="B7" t="s">
        <v>45</v>
      </c>
    </row>
    <row r="8" spans="1:8" x14ac:dyDescent="0.25">
      <c r="A8" t="s">
        <v>290</v>
      </c>
      <c r="B8" t="s">
        <v>144</v>
      </c>
    </row>
    <row r="9" spans="1:8" x14ac:dyDescent="0.25">
      <c r="A9" t="s">
        <v>291</v>
      </c>
      <c r="B9" t="s">
        <v>171</v>
      </c>
    </row>
    <row r="10" spans="1:8" x14ac:dyDescent="0.25">
      <c r="A10" t="s">
        <v>292</v>
      </c>
      <c r="B10" t="s">
        <v>134</v>
      </c>
    </row>
    <row r="11" spans="1:8" x14ac:dyDescent="0.25">
      <c r="A11" t="s">
        <v>293</v>
      </c>
      <c r="B11" t="s">
        <v>171</v>
      </c>
    </row>
    <row r="12" spans="1:8" x14ac:dyDescent="0.25">
      <c r="A12" t="s">
        <v>294</v>
      </c>
      <c r="B12" t="s">
        <v>295</v>
      </c>
    </row>
    <row r="13" spans="1:8" x14ac:dyDescent="0.25">
      <c r="A13" t="s">
        <v>284</v>
      </c>
      <c r="B13" t="s">
        <v>3</v>
      </c>
    </row>
    <row r="14" spans="1:8" x14ac:dyDescent="0.25">
      <c r="A14" t="s">
        <v>285</v>
      </c>
      <c r="B14" t="s">
        <v>286</v>
      </c>
    </row>
    <row r="15" spans="1:8" x14ac:dyDescent="0.25">
      <c r="A15" t="s">
        <v>287</v>
      </c>
      <c r="B15" t="s">
        <v>199</v>
      </c>
    </row>
    <row r="16" spans="1:8" x14ac:dyDescent="0.25">
      <c r="A16" t="s">
        <v>288</v>
      </c>
      <c r="B16" t="s">
        <v>144</v>
      </c>
    </row>
    <row r="17" spans="1:2" x14ac:dyDescent="0.25">
      <c r="A17" t="s">
        <v>289</v>
      </c>
      <c r="B17" t="s">
        <v>45</v>
      </c>
    </row>
    <row r="18" spans="1:2" x14ac:dyDescent="0.25">
      <c r="A18" t="s">
        <v>290</v>
      </c>
      <c r="B18" t="s">
        <v>144</v>
      </c>
    </row>
    <row r="19" spans="1:2" x14ac:dyDescent="0.25">
      <c r="A19" t="s">
        <v>296</v>
      </c>
      <c r="B19" t="s">
        <v>171</v>
      </c>
    </row>
    <row r="20" spans="1:2" x14ac:dyDescent="0.25">
      <c r="A20" t="s">
        <v>297</v>
      </c>
      <c r="B20" t="s">
        <v>134</v>
      </c>
    </row>
    <row r="21" spans="1:2" x14ac:dyDescent="0.25">
      <c r="A21" t="s">
        <v>298</v>
      </c>
      <c r="B21" t="s">
        <v>204</v>
      </c>
    </row>
    <row r="22" spans="1:2" x14ac:dyDescent="0.25">
      <c r="A22" t="s">
        <v>299</v>
      </c>
      <c r="B22" t="s">
        <v>173</v>
      </c>
    </row>
    <row r="23" spans="1:2" x14ac:dyDescent="0.25">
      <c r="A23" t="s">
        <v>300</v>
      </c>
      <c r="B23" t="s">
        <v>301</v>
      </c>
    </row>
    <row r="24" spans="1:2" x14ac:dyDescent="0.25">
      <c r="A24" t="s">
        <v>302</v>
      </c>
      <c r="B24" t="s">
        <v>150</v>
      </c>
    </row>
    <row r="25" spans="1:2" x14ac:dyDescent="0.25">
      <c r="A25" t="s">
        <v>303</v>
      </c>
      <c r="B25" t="s">
        <v>134</v>
      </c>
    </row>
    <row r="26" spans="1:2" x14ac:dyDescent="0.25">
      <c r="A26" t="s">
        <v>304</v>
      </c>
      <c r="B26" t="s">
        <v>136</v>
      </c>
    </row>
    <row r="27" spans="1:2" x14ac:dyDescent="0.25">
      <c r="A27" t="s">
        <v>284</v>
      </c>
      <c r="B27" t="s">
        <v>3</v>
      </c>
    </row>
    <row r="28" spans="1:2" x14ac:dyDescent="0.25">
      <c r="A28" t="s">
        <v>285</v>
      </c>
      <c r="B28" t="s">
        <v>286</v>
      </c>
    </row>
    <row r="29" spans="1:2" x14ac:dyDescent="0.25">
      <c r="A29" t="s">
        <v>287</v>
      </c>
      <c r="B29" t="s">
        <v>199</v>
      </c>
    </row>
    <row r="30" spans="1:2" x14ac:dyDescent="0.25">
      <c r="A30" t="s">
        <v>288</v>
      </c>
      <c r="B30" t="s">
        <v>144</v>
      </c>
    </row>
    <row r="31" spans="1:2" x14ac:dyDescent="0.25">
      <c r="A31" t="s">
        <v>290</v>
      </c>
      <c r="B31" t="s">
        <v>144</v>
      </c>
    </row>
    <row r="32" spans="1:2" x14ac:dyDescent="0.25">
      <c r="A32" t="s">
        <v>305</v>
      </c>
      <c r="B32" t="s">
        <v>134</v>
      </c>
    </row>
    <row r="33" spans="1:2" x14ac:dyDescent="0.25">
      <c r="A33" t="s">
        <v>284</v>
      </c>
      <c r="B33" t="s">
        <v>3</v>
      </c>
    </row>
    <row r="34" spans="1:2" x14ac:dyDescent="0.25">
      <c r="A34" t="s">
        <v>285</v>
      </c>
      <c r="B34" t="s">
        <v>286</v>
      </c>
    </row>
    <row r="35" spans="1:2" x14ac:dyDescent="0.25">
      <c r="A35" t="s">
        <v>287</v>
      </c>
      <c r="B35" t="s">
        <v>199</v>
      </c>
    </row>
    <row r="36" spans="1:2" x14ac:dyDescent="0.25">
      <c r="A36" t="s">
        <v>288</v>
      </c>
      <c r="B36" t="s">
        <v>144</v>
      </c>
    </row>
    <row r="37" spans="1:2" x14ac:dyDescent="0.25">
      <c r="A37" t="s">
        <v>306</v>
      </c>
      <c r="B37" t="s">
        <v>134</v>
      </c>
    </row>
    <row r="38" spans="1:2" x14ac:dyDescent="0.25">
      <c r="A38" t="s">
        <v>307</v>
      </c>
      <c r="B38" t="s">
        <v>144</v>
      </c>
    </row>
    <row r="39" spans="1:2" x14ac:dyDescent="0.25">
      <c r="A39" t="s">
        <v>284</v>
      </c>
      <c r="B39" t="s">
        <v>3</v>
      </c>
    </row>
    <row r="40" spans="1:2" x14ac:dyDescent="0.25">
      <c r="A40" t="s">
        <v>285</v>
      </c>
      <c r="B40" t="s">
        <v>286</v>
      </c>
    </row>
    <row r="41" spans="1:2" x14ac:dyDescent="0.25">
      <c r="A41" t="s">
        <v>287</v>
      </c>
      <c r="B41" t="s">
        <v>199</v>
      </c>
    </row>
    <row r="42" spans="1:2" x14ac:dyDescent="0.25">
      <c r="A42" t="s">
        <v>288</v>
      </c>
      <c r="B42" t="s">
        <v>144</v>
      </c>
    </row>
    <row r="43" spans="1:2" x14ac:dyDescent="0.25">
      <c r="A43" t="s">
        <v>289</v>
      </c>
      <c r="B43" t="s">
        <v>45</v>
      </c>
    </row>
    <row r="44" spans="1:2" x14ac:dyDescent="0.25">
      <c r="A44" t="s">
        <v>290</v>
      </c>
      <c r="B44" t="s">
        <v>144</v>
      </c>
    </row>
    <row r="45" spans="1:2" x14ac:dyDescent="0.25">
      <c r="A45" t="s">
        <v>308</v>
      </c>
      <c r="B45" t="s">
        <v>45</v>
      </c>
    </row>
    <row r="46" spans="1:2" x14ac:dyDescent="0.25">
      <c r="A46" t="s">
        <v>297</v>
      </c>
      <c r="B46" t="s">
        <v>134</v>
      </c>
    </row>
    <row r="47" spans="1:2" x14ac:dyDescent="0.25">
      <c r="A47" t="s">
        <v>309</v>
      </c>
      <c r="B47" t="s">
        <v>169</v>
      </c>
    </row>
    <row r="48" spans="1:2" x14ac:dyDescent="0.25">
      <c r="A48" t="s">
        <v>242</v>
      </c>
      <c r="B48" t="s">
        <v>186</v>
      </c>
    </row>
    <row r="49" spans="1:2" x14ac:dyDescent="0.25">
      <c r="A49" t="s">
        <v>310</v>
      </c>
      <c r="B49" t="s">
        <v>168</v>
      </c>
    </row>
    <row r="50" spans="1:2" x14ac:dyDescent="0.25">
      <c r="A50" t="s">
        <v>290</v>
      </c>
      <c r="B50" t="s">
        <v>144</v>
      </c>
    </row>
    <row r="51" spans="1:2" x14ac:dyDescent="0.25">
      <c r="A51" t="s">
        <v>311</v>
      </c>
      <c r="B51" t="s">
        <v>134</v>
      </c>
    </row>
    <row r="52" spans="1:2" x14ac:dyDescent="0.25">
      <c r="A52" t="s">
        <v>100</v>
      </c>
      <c r="B52" t="s">
        <v>45</v>
      </c>
    </row>
    <row r="53" spans="1:2" x14ac:dyDescent="0.25">
      <c r="A53" t="s">
        <v>312</v>
      </c>
      <c r="B53" t="s">
        <v>45</v>
      </c>
    </row>
    <row r="54" spans="1:2" x14ac:dyDescent="0.25">
      <c r="A54" t="s">
        <v>284</v>
      </c>
      <c r="B54" t="s">
        <v>3</v>
      </c>
    </row>
    <row r="55" spans="1:2" x14ac:dyDescent="0.25">
      <c r="A55" t="s">
        <v>285</v>
      </c>
      <c r="B55" t="s">
        <v>286</v>
      </c>
    </row>
    <row r="56" spans="1:2" x14ac:dyDescent="0.25">
      <c r="A56" t="s">
        <v>287</v>
      </c>
      <c r="B56" t="s">
        <v>199</v>
      </c>
    </row>
    <row r="57" spans="1:2" x14ac:dyDescent="0.25">
      <c r="A57" t="s">
        <v>288</v>
      </c>
      <c r="B57" t="s">
        <v>144</v>
      </c>
    </row>
    <row r="58" spans="1:2" x14ac:dyDescent="0.25">
      <c r="A58" t="s">
        <v>289</v>
      </c>
      <c r="B58" t="s">
        <v>45</v>
      </c>
    </row>
    <row r="59" spans="1:2" x14ac:dyDescent="0.25">
      <c r="A59" t="s">
        <v>290</v>
      </c>
      <c r="B59" t="s">
        <v>144</v>
      </c>
    </row>
    <row r="60" spans="1:2" x14ac:dyDescent="0.25">
      <c r="A60" t="s">
        <v>313</v>
      </c>
      <c r="B60" t="s">
        <v>214</v>
      </c>
    </row>
    <row r="61" spans="1:2" x14ac:dyDescent="0.25">
      <c r="A61" t="s">
        <v>297</v>
      </c>
      <c r="B61" t="s">
        <v>134</v>
      </c>
    </row>
    <row r="62" spans="1:2" x14ac:dyDescent="0.25">
      <c r="A62" t="s">
        <v>314</v>
      </c>
      <c r="B62" t="s">
        <v>204</v>
      </c>
    </row>
    <row r="63" spans="1:2" x14ac:dyDescent="0.25">
      <c r="A63" t="s">
        <v>315</v>
      </c>
      <c r="B63" t="s">
        <v>134</v>
      </c>
    </row>
    <row r="64" spans="1:2" x14ac:dyDescent="0.25">
      <c r="A64" t="s">
        <v>316</v>
      </c>
      <c r="B64" t="s">
        <v>168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2026-03-27T16:44:51Z</dcterms:created>
  <dcterms:modified xsi:type="dcterms:W3CDTF">2026-04-06T09:29:29Z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2026-04-02T09:21:20Z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53b4cb60-5bcb-498f-afa0-1282fcaffd29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