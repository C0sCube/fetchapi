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D1AB0839-3831-4CD8-B22F-4EE53B2B09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and Loss" sheetId="2" r:id="rId2"/>
    <sheet name="Standalone Balance Sheet" sheetId="5" r:id="rId3"/>
    <sheet name="Consolidated Balance Sheet" sheetId="7" r:id="rId4"/>
    <sheet name="Standalone Cash Flow" sheetId="6" r:id="rId5"/>
    <sheet name="Consolidated Cash Flow" sheetId="8" r:id="rId6"/>
    <sheet name="Segment Reporting Standalone" sheetId="4" r:id="rId7"/>
    <sheet name="Segment Reporting Consolidated" sheetId="3" r:id="rId8"/>
  </sheets>
  <definedNames>
    <definedName name="_xlnm._FilterDatabase" localSheetId="1" hidden="1">'Consolidated Profit and Loss'!$A$1:$H$55</definedName>
    <definedName name="_xlnm._FilterDatabase" localSheetId="2" hidden="1">'Standalone Balance Sheet'!$A$1:$H$48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2" i="6"/>
  <c r="H1" i="6"/>
  <c r="H2" i="5"/>
  <c r="H1" i="5"/>
  <c r="H2" i="2"/>
  <c r="H1" i="2"/>
  <c r="H2" i="1"/>
  <c r="H1" i="1"/>
  <c r="H2" i="8" l="1"/>
  <c r="H1" i="8"/>
  <c r="H3" i="6"/>
  <c r="H3" i="7"/>
  <c r="H3" i="5"/>
  <c r="H3" i="2"/>
  <c r="H3" i="1"/>
  <c r="H3" i="8" l="1"/>
</calcChain>
</file>

<file path=xl/sharedStrings.xml><?xml version="1.0" encoding="utf-8"?>
<sst xmlns="http://schemas.openxmlformats.org/spreadsheetml/2006/main" count="1259" uniqueCount="362">
  <si>
    <t>Particulars</t>
  </si>
  <si>
    <t>Cogencis Field</t>
  </si>
  <si>
    <t>Revenue from Operations</t>
  </si>
  <si>
    <t>Gross Sales/Income from Operations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</si>
  <si>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</si>
  <si>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</si>
  <si>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</si>
  <si>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</si>
  <si>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</si>
  <si>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</si>
  <si>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Fair value Gain on Compulsorily Convertible Preference Shares ( CCPS ) in Subsidiary carried at FVTPL</t>
  </si>
  <si>
    <t>Items that will not be reclassified to Profit or Loss</t>
  </si>
  <si>
    <t>Total Income</t>
  </si>
  <si>
    <t>Expenses</t>
  </si>
  <si>
    <t>Lable</t>
  </si>
  <si>
    <t>Cost of Materials Consumed</t>
  </si>
  <si>
    <t>Purchase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</si>
  <si>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</si>
  <si>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</si>
  <si>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</si>
  <si>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</si>
  <si>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</si>
  <si>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</si>
  <si>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</si>
  <si>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</si>
  <si>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</si>
  <si>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</si>
  <si>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</si>
  <si>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</si>
  <si>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</si>
  <si>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</si>
  <si>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</si>
  <si>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</si>
  <si>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</si>
  <si>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 ( including tax pertaining to earlier years )</t>
  </si>
  <si>
    <t>Deferred Tax</t>
  </si>
  <si>
    <t>Total</t>
  </si>
  <si>
    <t>Profit After Tax</t>
  </si>
  <si>
    <t>Net Profit/(Loss) for the Period</t>
  </si>
  <si>
    <t>Other Comprehensive Income</t>
  </si>
  <si>
    <t>Items not to be reclassified to profit or loss in subsequent periods</t>
  </si>
  <si>
    <t>Re- measurement Gain / ( Loss ) on Defined Benefit Obligations ( Net ) and Net Gain / ( Loss ) on Equity instruments through Other Comprehensive Income</t>
  </si>
  <si>
    <t>Income Tax Effect</t>
  </si>
  <si>
    <t>Income Tax related to items that will not be reclassified to Profit or Loss</t>
  </si>
  <si>
    <t>Items to be reclassified to profit or loss in subsequent periods</t>
  </si>
  <si>
    <t>Net movement on cash flow hedges</t>
  </si>
  <si>
    <t>Items that will be reclassified to Profit or Loss</t>
  </si>
  <si>
    <t>Other Comprehensive Income for the period</t>
  </si>
  <si>
    <t>Total Comprehensive income</t>
  </si>
  <si>
    <t>Total Comprehensive Income Attributable To</t>
  </si>
  <si>
    <t>Paid - up Equity Share Capital ( Face Value of ₹ 1 Each )</t>
  </si>
  <si>
    <t>Paid-Up Equity Share Capital</t>
  </si>
  <si>
    <t>Reserves and Surplus ( i.e Other Equity )</t>
  </si>
  <si>
    <t>Reserve excluding Revaluation Reserves (as per Balance Sheet of Previous Accounting Year)</t>
  </si>
  <si>
    <t>Network</t>
  </si>
  <si>
    <t>Basic Earnings Per Share ( in ₹ ) - Not Annualised in respect of quarterly / interim periods</t>
  </si>
  <si>
    <t>Diluted Earnings Per Share ( in ₹ ) - Not Annualised in respect of quarterly / interim periods</t>
  </si>
  <si>
    <t>Loss on Fair valuation of Compulsorily Convertible Preference Shares</t>
  </si>
  <si>
    <t>Profit/(toss) Before share of Profit/(Lossl of Associateroint Ventures, Exceotional ltems and Tax</t>
  </si>
  <si>
    <t>Share of Profit/(Loss) from Associate / Joint Ventures (net of tax)</t>
  </si>
  <si>
    <t>Share of Profit/(Loss) of Associates/Joint Ventures</t>
  </si>
  <si>
    <t>Profit/{Lossl Before Exceotional ltems and Tax</t>
  </si>
  <si>
    <t>Exceptional ltems</t>
  </si>
  <si>
    <t>Basic EPS</t>
  </si>
  <si>
    <t>Profit/(lossl Before Tax</t>
  </si>
  <si>
    <t>Current Tax (lncluding taxes of earlier years)</t>
  </si>
  <si>
    <t>Profit/ (Loss) After Tax from continuing operations</t>
  </si>
  <si>
    <t>Profit/(Loss) for the Period from Continuing Operations</t>
  </si>
  <si>
    <t>Profit / (Loss) from discontinued operations (net of tax)</t>
  </si>
  <si>
    <t>Net Profit From Discontinuing Operations (After Tax)</t>
  </si>
  <si>
    <t>Total Profit/(Loss)</t>
  </si>
  <si>
    <t>Profit for the year attributable to</t>
  </si>
  <si>
    <t>owners of the company</t>
  </si>
  <si>
    <t>Owners of the company</t>
  </si>
  <si>
    <t>Non-Controlling lnterest</t>
  </si>
  <si>
    <t>Non-Controlling Interests</t>
  </si>
  <si>
    <t>ltems not to be reclassified to profit or loss in subsequent periods</t>
  </si>
  <si>
    <t>Re-measurement Gain/(Loss) on Defined Benefit Obligations (Net) and Net Gain/(Loss) on Equity instruments through other comprehensive Income</t>
  </si>
  <si>
    <t>Net movement on cash flow hedges and Exchange Difference on Translation of Foreign Subsidiaries</t>
  </si>
  <si>
    <t>Other Comprehensive lncome for the year attributable to:</t>
  </si>
  <si>
    <t>Comprehensive Income Attributable To [Total]</t>
  </si>
  <si>
    <t>Owners of the Company</t>
  </si>
  <si>
    <t>Total Comprehensive lncome for the year attributable to :</t>
  </si>
  <si>
    <t>Basic Earnings Per Share ( in ₹ ) - (Not Annualised in respect of quarterly / interim periods) - Continuing operations</t>
  </si>
  <si>
    <t>Diluted Earnings Per Share ( in ₹ ) - (Not Annualised in respect of quarterly / interim periods) - continuing operations</t>
  </si>
  <si>
    <t>Basic Earnings Per Share ( in ₹ ) - (Not Annualised in respect of quarterly / interim periods) - Discontinuing operations</t>
  </si>
  <si>
    <t>Diluted Earnings Per Share ( in ₹ ) - (Not Annualised in respect of quarterly / interim periods) - Discontinuing operations</t>
  </si>
  <si>
    <t>Basic Earnings Per Share ( in ₹ ) - (Not Annualised in respect of quarterly / interim periods) - Continuing and Discontinuing operations</t>
  </si>
  <si>
    <t>Diluted Earnings Per Share ( in ₹ ) - (Not Annualised in respect of quarterly / interim periods) - Continuing and Discontinuing operations</t>
  </si>
  <si>
    <t>Diluted EPS</t>
  </si>
  <si>
    <t>Engineering</t>
  </si>
  <si>
    <t>Metal Formed Products</t>
  </si>
  <si>
    <t>Mobility</t>
  </si>
  <si>
    <t>Travelling Cost</t>
  </si>
  <si>
    <t>Electric Vehicles</t>
  </si>
  <si>
    <t>Gears and Gear Products</t>
  </si>
  <si>
    <t>Selling Expenses</t>
  </si>
  <si>
    <t>Power Systems</t>
  </si>
  <si>
    <t>lndustrial Systems</t>
  </si>
  <si>
    <t>Semiconductors</t>
  </si>
  <si>
    <t>Medical</t>
  </si>
  <si>
    <t>Others</t>
  </si>
  <si>
    <t>Un - allocable Operating Income</t>
  </si>
  <si>
    <t>Inter Segment Revenue</t>
  </si>
  <si>
    <t>SEGMENT RESULTS</t>
  </si>
  <si>
    <t>Electric Vehicles Ilncluding fair value loss on CCPS Liability measured at FVTPL - Refer Note 5l</t>
  </si>
  <si>
    <t>Share of Profit/(Loss) from Associate/Joint Ventures (net of tax):</t>
  </si>
  <si>
    <t>Share of Profit/(loss) of associates and Joint Ventures before ebt</t>
  </si>
  <si>
    <t>Other Net Un - allocable Income / ( Expense ) and Inter Segment Eliminations</t>
  </si>
  <si>
    <t>Profit before Tax</t>
  </si>
  <si>
    <t>SEGMENT ASSETS</t>
  </si>
  <si>
    <t>Discontinued Operations</t>
  </si>
  <si>
    <t>Other Un - allocable Assets</t>
  </si>
  <si>
    <t>Inter Segment Assets</t>
  </si>
  <si>
    <t>SEGMENT LIABILITIES</t>
  </si>
  <si>
    <t>Electric Vehicles [lncluding CCPS Liability measured at FVTPL</t>
  </si>
  <si>
    <t>Other Un - allocable Liabilities</t>
  </si>
  <si>
    <t>Inter Segment Liabilities</t>
  </si>
  <si>
    <t>CAPITAL EMPLOYED (SEGMENT ASSETS - SEGMENT LIABILITIES)</t>
  </si>
  <si>
    <t>Other Un-allocable Assets net of Liabilities</t>
  </si>
  <si>
    <t>Net lnter-Segment Balances</t>
  </si>
  <si>
    <t>Other Un - allocable Assets net of Liabilities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</si>
  <si>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</si>
  <si>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</si>
  <si>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</si>
  <si>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</si>
  <si>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</si>
  <si>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</si>
  <si>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</si>
  <si>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Investment Properties</t>
  </si>
  <si>
    <t>Investment Property</t>
  </si>
  <si>
    <t>Intangible Assets</t>
  </si>
  <si>
    <t>Other Intangible Assets</t>
  </si>
  <si>
    <t>Financial Assets</t>
  </si>
  <si>
    <t>Investments in Subsidiaries</t>
  </si>
  <si>
    <t>Non-Current Investments</t>
  </si>
  <si>
    <t>Other Investments</t>
  </si>
  <si>
    <t>Other Financial Assets</t>
  </si>
  <si>
    <t>Other Non-Current Financial Assets</t>
  </si>
  <si>
    <t>Deferred Tax Assets ( Net )</t>
  </si>
  <si>
    <t>Deferred Tax Assets (Net)</t>
  </si>
  <si>
    <t>Income Tax Asset ( Net )</t>
  </si>
  <si>
    <t>Income Tax assets (net)</t>
  </si>
  <si>
    <t>Other Non - Current Assets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</si>
  <si>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</si>
  <si>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</si>
  <si>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</si>
  <si>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</si>
  <si>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</si>
  <si>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</si>
  <si>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</si>
  <si>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</si>
  <si>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</si>
  <si>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Loans</t>
  </si>
  <si>
    <t>Loans, Current</t>
  </si>
  <si>
    <t>Derivative Instruments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</si>
  <si>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</si>
  <si>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</si>
  <si>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</si>
  <si>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</si>
  <si>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</si>
  <si>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</si>
  <si>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</si>
  <si>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</si>
  <si>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</si>
  <si>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</si>
  <si>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</si>
  <si>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</si>
  <si>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</si>
  <si>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Lease Liabilities</t>
  </si>
  <si>
    <t>Lease liabilities</t>
  </si>
  <si>
    <t>Provisions</t>
  </si>
  <si>
    <t>Long-Term Provisions</t>
  </si>
  <si>
    <t>Current Liabilities</t>
  </si>
  <si>
    <t>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</si>
  <si>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</si>
  <si>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</si>
  <si>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</si>
  <si>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</si>
  <si>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</si>
  <si>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</si>
  <si>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</si>
  <si>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</si>
  <si>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</si>
  <si>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</si>
  <si>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</si>
  <si>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Profit Before Tax after exceptional items</t>
  </si>
  <si>
    <t>Net Profit Before Tax And Exceptional Item</t>
  </si>
  <si>
    <t>Adjustments to reconcile Profit Before Tax after Exceptional Items to Net Cash Flows :</t>
  </si>
  <si>
    <t>Share based payment expenses</t>
  </si>
  <si>
    <t>Employees Stock Options Grants</t>
  </si>
  <si>
    <t>(Profit)/Loss on Property Plant and Equipment and ROU Assets sold / discarded ( Net )</t>
  </si>
  <si>
    <t>Profit On Sale Of Fixed Assets</t>
  </si>
  <si>
    <t>(Profit)/Loss on Sale of Investments at FVTPL ( including unrealised fair value gain )</t>
  </si>
  <si>
    <t>Profit On Sale Of Investments</t>
  </si>
  <si>
    <t>Impairment allowance for receivables and advances ( including bad debts written off ) ( Net )</t>
  </si>
  <si>
    <t>Provision For Doubtful Debts</t>
  </si>
  <si>
    <t>Impairment of investment in Associate ( Exceptional item )</t>
  </si>
  <si>
    <t>Others-Before Working Capital Changes</t>
  </si>
  <si>
    <t>Net Foreign Exchange differences ( unrealised )</t>
  </si>
  <si>
    <t>Foreign Exchange Gain / Loss</t>
  </si>
  <si>
    <t>Finance Income</t>
  </si>
  <si>
    <t>Interest Income</t>
  </si>
  <si>
    <t>Interest Expense</t>
  </si>
  <si>
    <t>Fair value Gain on CCPS in Subsidiary carried at FVTPL</t>
  </si>
  <si>
    <t>Dividend Income</t>
  </si>
  <si>
    <t>Dividend Received</t>
  </si>
  <si>
    <t>Operating Profit before Working Capital / Other Changes</t>
  </si>
  <si>
    <t>Operating Profit Before Working Capital Changes</t>
  </si>
  <si>
    <t>Adjustments for :</t>
  </si>
  <si>
    <t>Increase/(Decrease ) in Provisions and Government Grants</t>
  </si>
  <si>
    <t>Increase/(Decrease ) in Trade and Other Payables</t>
  </si>
  <si>
    <t>Trade Payables And Others</t>
  </si>
  <si>
    <t>Increase/(Decrease ) in Other Financial Liabilities</t>
  </si>
  <si>
    <t>Adjustments for other financial liabilities, non-current</t>
  </si>
  <si>
    <t>Increase/(Decrease ) in Other Current Liabilities</t>
  </si>
  <si>
    <t>Other Current and Non Current Liabilities</t>
  </si>
  <si>
    <t>(Increase)/Decrease in Other Non Current Financial Assets and Non - Current Assets</t>
  </si>
  <si>
    <t>Adjustments for other financial assets, non-current</t>
  </si>
  <si>
    <t>(Increase)/Decrease in Other Current Financial Assets and Current Assets</t>
  </si>
  <si>
    <t>(Increase)/Decrease in Trade and Other Receivables</t>
  </si>
  <si>
    <t>Trade And Other Receivables</t>
  </si>
  <si>
    <t>(Increase)/Decrease in Inventories</t>
  </si>
  <si>
    <t>Cash Generated From Operations</t>
  </si>
  <si>
    <t>Income Tax paid ( net of refunds )</t>
  </si>
  <si>
    <t>Income Tax Paid</t>
  </si>
  <si>
    <t>Net Cash Flow from Operating Activities</t>
  </si>
  <si>
    <t>Net Cash Flow From Operating Activities</t>
  </si>
  <si>
    <t>Cash Flow from Investing Activities :</t>
  </si>
  <si>
    <t>Purchase of Property, Plant and Equipment, lntangible Assets and Leasehold Land {lncluding Capital Work ln Progress adjusted for Capital Advances and Capital Creditors)</t>
  </si>
  <si>
    <t>Purchase Of Fixed Assets (Tangible / Intangible)</t>
  </si>
  <si>
    <t>Proceeds from Sale of Property, Plant and Equipment</t>
  </si>
  <si>
    <t>Sale Of Fixed Assets (Tangible / Intangible)</t>
  </si>
  <si>
    <t>Purchase)/Redemption of Current Investments ( Net )</t>
  </si>
  <si>
    <t>Purchase Of Investments</t>
  </si>
  <si>
    <t>Purchase of Non Current Investments at FVTOCI</t>
  </si>
  <si>
    <t>Purchase of lnvestments in Subsidiaries, Associates and Joint Ventures (including CCPS)</t>
  </si>
  <si>
    <t>Share Of Profit &amp; Loss from Partnership Firm or Association of Persons Etc</t>
  </si>
  <si>
    <t>Proceeds/(Investment ) in deposits having an original maturity of more than 3 months ( Net ) and other Bank balances</t>
  </si>
  <si>
    <t>Fixed Deposits</t>
  </si>
  <si>
    <t>Interest Income received</t>
  </si>
  <si>
    <t>Interest Received</t>
  </si>
  <si>
    <t>Net Cash Used in Investing Activities</t>
  </si>
  <si>
    <t>Net Cash Flow From Investing Activities</t>
  </si>
  <si>
    <t>Cash Flow from Financing Activities :</t>
  </si>
  <si>
    <t>Proceeds from issue of equity shares ( ESOP )</t>
  </si>
  <si>
    <t>Proceeds From Issue Of Equity Shares (Inclu Share Premium)</t>
  </si>
  <si>
    <t>(Repayment ) / Proceeds from Short Term Borrowings ( Net )</t>
  </si>
  <si>
    <t>Proceeds From Short Term Borrowings</t>
  </si>
  <si>
    <t>Payment of Principal portion of Lease Liabilities</t>
  </si>
  <si>
    <t>Payments of lease liabilities</t>
  </si>
  <si>
    <t>Finance Costs Paid</t>
  </si>
  <si>
    <t>Interest Paid</t>
  </si>
  <si>
    <t>Dividends Paid</t>
  </si>
  <si>
    <t>Dividend Paid</t>
  </si>
  <si>
    <t>Net Cash Used in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</si>
  <si>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</si>
  <si>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</si>
  <si>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</si>
  <si>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</si>
  <si>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</si>
  <si>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as at end of the Period</t>
  </si>
  <si>
    <t>Cash and Cash Equivalents at the End of the Year</t>
  </si>
  <si>
    <t>Right of Use Assets</t>
  </si>
  <si>
    <t>Goodwill</t>
  </si>
  <si>
    <t>Intangible Assets under Development</t>
  </si>
  <si>
    <t>Intangible assets under development</t>
  </si>
  <si>
    <t>Investments accounted for using the equity method</t>
  </si>
  <si>
    <t>Investments Accounted for Using the equity method</t>
  </si>
  <si>
    <t>Current Tax Assets</t>
  </si>
  <si>
    <t>Current Tax Assets (Net)</t>
  </si>
  <si>
    <t>Assets classified as held for sale and discontinued operations</t>
  </si>
  <si>
    <t>Assets classified as held for sale</t>
  </si>
  <si>
    <t>Equity Attributable to the Owners of the Company</t>
  </si>
  <si>
    <t>Non - Controlling Interests</t>
  </si>
  <si>
    <t>Minority Interest</t>
  </si>
  <si>
    <t>Other Non - Current Liabilities</t>
  </si>
  <si>
    <t>Other Non-Current Liabilities</t>
  </si>
  <si>
    <t>Government Grants</t>
  </si>
  <si>
    <t>Deferred government grants, Current</t>
  </si>
  <si>
    <t>Deferred Tax Liabilities ( Net )</t>
  </si>
  <si>
    <t>Deferred Tax Liability (Net)</t>
  </si>
  <si>
    <t>Total outstanding dues of Micro Enterprises and Small Enterprises</t>
  </si>
  <si>
    <t>Total outstanding dues of Creditors other than Micro Enterprises and Small Enterprises</t>
  </si>
  <si>
    <t>Liabilities associated with group of assets classified as held for sale and discontinued operations</t>
  </si>
  <si>
    <t>Liabilities directly associated with assets in disposal group classified as held for sale</t>
  </si>
  <si>
    <t>Total Liabilities</t>
  </si>
  <si>
    <t>Total Field</t>
  </si>
  <si>
    <t>Adjustments to reconcile Profit Before Tax after exceptional items to Net Cash Flows :</t>
  </si>
  <si>
    <t>Depreciation and Amortization Expenses</t>
  </si>
  <si>
    <t xml:space="preserve">Exceptional Items ( Net ) </t>
  </si>
  <si>
    <t>Loss / ( Profit ) on Property Plant and Equipment and ROU Assets sold / discarded</t>
  </si>
  <si>
    <t>Loss/ ( Profit ) on Sale of Investments carried at FVTPL ( including unrealised fair value gain )</t>
  </si>
  <si>
    <t>Impairment allowance for receivables and advances ( includes bad debts written off ) ( Net )</t>
  </si>
  <si>
    <t>Net unrealised Foreign Exchange differences including impact of Foreign Currency Translation</t>
  </si>
  <si>
    <t>Liabilities / Provisions no longer payable written back</t>
  </si>
  <si>
    <t>Other Provisions Written Off</t>
  </si>
  <si>
    <t>Provision For Dimunition In Investments</t>
  </si>
  <si>
    <t>Share of ( profit)/ loss from Associate and Joint Ventures</t>
  </si>
  <si>
    <t>Gain/(Loss ) on Lease Termination</t>
  </si>
  <si>
    <t>(Decrease)/Increase in Provisions and Government Grants</t>
  </si>
  <si>
    <t>Cash Advances and Loans Made to Other Parties</t>
  </si>
  <si>
    <t>(Decrease)/Increase in Trade and Other Payables</t>
  </si>
  <si>
    <t>(Decrease)/Increase in Current and Non - Current Liabilities</t>
  </si>
  <si>
    <t>(Increase)/Decrease in Current and Non - Current Assets</t>
  </si>
  <si>
    <t>Other Current and Non Current Assets</t>
  </si>
  <si>
    <t>Income Tax paid ( Net of refunds )</t>
  </si>
  <si>
    <t>Net Cash Flow ( used in)/from discontinued operating activities</t>
  </si>
  <si>
    <t>Purchase of Property, Plant and Equipment, lntangible Assets and Leasehold Land (lncluding Capital Work ln Progress adjusted for Capital Advances and Capital Creditors)</t>
  </si>
  <si>
    <t>(Purchase)/ Sale of Current Investments ( Net )</t>
  </si>
  <si>
    <t>Purchase of lnvestment in Associate, Joint Ventures &amp; Consideration towards acquisition of subsidiaries from existing Shareholders (net of cash acquired)</t>
  </si>
  <si>
    <t>Investment In Subsidiaries</t>
  </si>
  <si>
    <t>Refund of deposit in relation to bidding process for proposed acquisition</t>
  </si>
  <si>
    <t>Others-Investing Activities</t>
  </si>
  <si>
    <t>Proceeds/(Investment ) in deposits ( Net ) and other Bank balances</t>
  </si>
  <si>
    <t>Consideration for acquisition of Radio Frequency Components business</t>
  </si>
  <si>
    <t>Acquisition Of Companies</t>
  </si>
  <si>
    <t>Unrealised Exchange gain on Consolidation ( net )</t>
  </si>
  <si>
    <t>Net cash flow ( used in ) / from discontinued investing activities</t>
  </si>
  <si>
    <t>Dividend received</t>
  </si>
  <si>
    <t>Net Cash Used In Investing Activities</t>
  </si>
  <si>
    <t>Proceeds from exercise of employee stock option</t>
  </si>
  <si>
    <t>Others-Financing Activities</t>
  </si>
  <si>
    <t>Proceeds from issue of equity shares through Qualified Institutions Placement ( QIP )</t>
  </si>
  <si>
    <t>Issue expenses for QIP</t>
  </si>
  <si>
    <t>Proceeds from Long Term Borrowings</t>
  </si>
  <si>
    <t>Proceeds From Long Term Borrowings</t>
  </si>
  <si>
    <t>(Repayment ) of Long Term Borrowings</t>
  </si>
  <si>
    <t>Repayment Of Long Term Borrowings</t>
  </si>
  <si>
    <t>(Repayment)/Proceeds from Short Term Borrowings ( Net )</t>
  </si>
  <si>
    <t>Proceeds from Issuance of compulsorily convertible preference shares</t>
  </si>
  <si>
    <t>Payment of Principal Portion of Lease Liabilities</t>
  </si>
  <si>
    <t>Subscription of equity in subsidiary by non - controlling interest</t>
  </si>
  <si>
    <t>Net cash flow ( used in ) / from discontinued financing activities</t>
  </si>
  <si>
    <t>Net Cash Flow from Financing Activities</t>
  </si>
  <si>
    <t>Net increase (decrease) in cash and cash equivalents before effect of exchange rate changes</t>
  </si>
  <si>
    <t>Cash and Cash Equivalents at the End of the Period</t>
  </si>
  <si>
    <t>Cash and Cash Equivalents as per Balance Sheet</t>
  </si>
  <si>
    <t>Add : Cash and Cash Equivalents from Discontinued Operations</t>
  </si>
  <si>
    <t>Total Cash and Cash Equivalents as per Statement of Cash Flow</t>
  </si>
  <si>
    <t>Ignore This Field</t>
  </si>
  <si>
    <t>Status</t>
  </si>
  <si>
    <t>Correct Field Mapping</t>
  </si>
  <si>
    <t>Field id</t>
  </si>
  <si>
    <t>Correct</t>
  </si>
  <si>
    <t>Incorrect</t>
  </si>
  <si>
    <t>Accuracy %</t>
  </si>
  <si>
    <t>In Segment All data Wrongly Captured</t>
  </si>
  <si>
    <t>*</t>
  </si>
  <si>
    <t>Total Comprehensive Gain (Loss) For the Year</t>
  </si>
  <si>
    <t>Calculated field</t>
  </si>
  <si>
    <t>Ignore this field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</si>
  <si>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</si>
  <si>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</si>
  <si>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</si>
  <si>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</si>
  <si>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</si>
  <si>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Impairment loss / (Reversal of Impairment Loss)</t>
  </si>
  <si>
    <t>Adjustments for other financial assets, current</t>
  </si>
  <si>
    <t>Investments in Subsidiaries and/or Joint Ventures</t>
  </si>
  <si>
    <t>Income Tax related to items that will be reclassified to Profit or Loss</t>
  </si>
  <si>
    <t>Proceeds From Preference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</si>
</sst>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2" borderId="1" xfId="0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/>
  </sheetViews>
  <sheetFormatPr defaultRowHeight="15" x14ac:dyDescent="0.25"/>
  <cols>
    <col min="1" max="1" width="84.42578125" customWidth="1"/>
    <col min="2" max="2" width="46.7109375" customWidth="1"/>
    <col min="3" max="3" width="9.8554687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341</v>
      </c>
      <c r="D1" s="2" t="s">
        <v>342</v>
      </c>
      <c r="E1" s="2" t="s">
        <v>343</v>
      </c>
      <c r="G1" s="3" t="s">
        <v>344</v>
      </c>
      <c r="H1" s="3">
        <f>COUNTIF(C:C,G1)</f>
        <v>31</v>
      </c>
    </row>
    <row r="2" spans="1:8" x14ac:dyDescent="0.25">
      <c r="A2" s="3" t="s">
        <v>2</v>
      </c>
      <c r="B2" s="3" t="s">
        <v>3</v>
      </c>
      <c r="C2" s="3" t="s">
        <v>344</v>
      </c>
      <c r="D2" s="3"/>
      <c r="E2" s="3"/>
      <c r="G2" s="3" t="s">
        <v>345</v>
      </c>
      <c r="H2" s="3">
        <f>COUNTIF(C:C,G2)</f>
        <v>5</v>
      </c>
    </row>
    <row r="3" spans="1:8" x14ac:dyDescent="0.25">
      <c r="A3" s="3" t="s">
        <v>4</v>
      </c>
      <c r="B3" s="3" t="s">
        <v>5</v>
      </c>
      <c r="C3" s="3" t="s">
        <v>344</v>
      </c>
      <c r="D3" s="3"/>
      <c r="E3" s="3"/>
      <c r="G3" s="3" t="s">
        <v>346</v>
      </c>
      <c r="H3" s="7">
        <f>H1/SUM(H1:H2)</f>
        <v>0.86111111111111116</v>
      </c>
    </row>
    <row r="4" spans="1:8" x14ac:dyDescent="0.25">
      <c r="A4" s="3" t="s">
        <v>6</v>
      </c>
      <c r="B4" s="3" t="s">
        <v>7</v>
      </c>
      <c r="C4" s="3" t="s">
        <v>344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344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345</v>
      </c>
      <c r="D6" s="3" t="s">
        <v>9</v>
      </c>
      <c r="E6" s="6">
        <v>265</v>
      </c>
    </row>
    <row r="7" spans="1:8" x14ac:dyDescent="0.25">
      <c r="A7" s="3" t="s">
        <v>12</v>
      </c>
      <c r="B7" s="3" t="s">
        <v>12</v>
      </c>
      <c r="C7" s="3" t="s">
        <v>344</v>
      </c>
      <c r="D7" s="3"/>
      <c r="E7" s="3"/>
    </row>
    <row r="8" spans="1:8" x14ac:dyDescent="0.25">
      <c r="A8" s="3" t="s">
        <v>13</v>
      </c>
      <c r="B8" s="3" t="s">
        <v>14</v>
      </c>
      <c r="C8" s="3" t="s">
        <v>344</v>
      </c>
      <c r="D8" s="3"/>
      <c r="E8" s="3"/>
    </row>
    <row r="9" spans="1:8" x14ac:dyDescent="0.25">
      <c r="A9" s="3" t="s">
        <v>15</v>
      </c>
      <c r="B9" s="3" t="s">
        <v>15</v>
      </c>
      <c r="C9" s="3" t="s">
        <v>344</v>
      </c>
      <c r="D9" s="3"/>
      <c r="E9" s="3"/>
    </row>
    <row r="10" spans="1:8" x14ac:dyDescent="0.25">
      <c r="A10" s="3" t="s">
        <v>16</v>
      </c>
      <c r="B10" s="3" t="s">
        <v>17</v>
      </c>
      <c r="C10" s="3" t="s">
        <v>344</v>
      </c>
      <c r="D10" s="3"/>
      <c r="E10" s="3"/>
    </row>
    <row r="11" spans="1:8" x14ac:dyDescent="0.25">
      <c r="A11" s="3" t="s">
        <v>18</v>
      </c>
      <c r="B11" s="3" t="s">
        <v>19</v>
      </c>
      <c r="C11" s="3" t="s">
        <v>344</v>
      </c>
      <c r="D11" s="3"/>
      <c r="E11" s="3"/>
    </row>
    <row r="12" spans="1:8" x14ac:dyDescent="0.25">
      <c r="A12" s="3" t="s">
        <v>20</v>
      </c>
      <c r="B12" s="3" t="s">
        <v>21</v>
      </c>
      <c r="C12" s="3" t="s">
        <v>344</v>
      </c>
      <c r="D12" s="3"/>
      <c r="E12" s="3"/>
    </row>
    <row r="13" spans="1:8" x14ac:dyDescent="0.25">
      <c r="A13" s="3" t="s">
        <v>22</v>
      </c>
      <c r="B13" s="3" t="s">
        <v>22</v>
      </c>
      <c r="C13" s="3" t="s">
        <v>344</v>
      </c>
      <c r="D13" s="3"/>
      <c r="E13" s="3"/>
    </row>
    <row r="14" spans="1:8" x14ac:dyDescent="0.25">
      <c r="A14" s="3" t="s">
        <v>23</v>
      </c>
      <c r="B14" s="3" t="s">
        <v>24</v>
      </c>
      <c r="C14" s="3" t="s">
        <v>344</v>
      </c>
      <c r="D14" s="3"/>
      <c r="E14" s="3"/>
    </row>
    <row r="15" spans="1:8" x14ac:dyDescent="0.25">
      <c r="A15" s="3" t="s">
        <v>25</v>
      </c>
      <c r="B15" s="3" t="s">
        <v>25</v>
      </c>
      <c r="C15" s="3" t="s">
        <v>344</v>
      </c>
      <c r="D15" s="3"/>
      <c r="E15" s="3"/>
    </row>
    <row r="16" spans="1:8" x14ac:dyDescent="0.25">
      <c r="A16" s="3" t="s">
        <v>26</v>
      </c>
      <c r="B16" s="3" t="s">
        <v>26</v>
      </c>
      <c r="C16" s="3" t="s">
        <v>344</v>
      </c>
      <c r="D16" s="3"/>
      <c r="E16" s="3"/>
    </row>
    <row r="17" spans="1:5" x14ac:dyDescent="0.25">
      <c r="A17" s="3" t="s">
        <v>27</v>
      </c>
      <c r="B17" s="3" t="s">
        <v>28</v>
      </c>
      <c r="C17" s="3" t="s">
        <v>344</v>
      </c>
      <c r="D17" s="3"/>
      <c r="E17" s="3"/>
    </row>
    <row r="18" spans="1:5" x14ac:dyDescent="0.25">
      <c r="A18" s="3" t="s">
        <v>29</v>
      </c>
      <c r="B18" s="3" t="s">
        <v>30</v>
      </c>
      <c r="C18" s="3" t="s">
        <v>344</v>
      </c>
      <c r="D18" s="3"/>
      <c r="E18" s="3"/>
    </row>
    <row r="19" spans="1:5" x14ac:dyDescent="0.25">
      <c r="A19" s="3" t="s">
        <v>31</v>
      </c>
      <c r="B19" s="3" t="s">
        <v>32</v>
      </c>
      <c r="C19" s="3" t="s">
        <v>344</v>
      </c>
      <c r="D19" s="3"/>
      <c r="E19" s="3"/>
    </row>
    <row r="20" spans="1:5" x14ac:dyDescent="0.25">
      <c r="A20" s="3" t="s">
        <v>33</v>
      </c>
      <c r="B20" s="3" t="s">
        <v>14</v>
      </c>
      <c r="C20" s="3" t="s">
        <v>344</v>
      </c>
      <c r="D20" s="3"/>
      <c r="E20" s="3"/>
    </row>
    <row r="21" spans="1:5" x14ac:dyDescent="0.25">
      <c r="A21" s="3" t="s">
        <v>34</v>
      </c>
      <c r="B21" s="3" t="s">
        <v>33</v>
      </c>
      <c r="C21" s="3" t="s">
        <v>344</v>
      </c>
      <c r="D21" s="3"/>
      <c r="E21" s="3"/>
    </row>
    <row r="22" spans="1:5" x14ac:dyDescent="0.25">
      <c r="A22" s="3" t="s">
        <v>35</v>
      </c>
      <c r="B22" s="3" t="s">
        <v>35</v>
      </c>
      <c r="C22" s="3" t="s">
        <v>344</v>
      </c>
      <c r="D22" s="3"/>
      <c r="E22" s="3"/>
    </row>
    <row r="23" spans="1:5" x14ac:dyDescent="0.25">
      <c r="A23" s="3" t="s">
        <v>36</v>
      </c>
      <c r="B23" s="3" t="s">
        <v>14</v>
      </c>
      <c r="C23" s="3" t="s">
        <v>348</v>
      </c>
      <c r="D23" s="3" t="s">
        <v>287</v>
      </c>
      <c r="E23" s="3"/>
    </row>
    <row r="24" spans="1:5" x14ac:dyDescent="0.25">
      <c r="A24" s="3" t="s">
        <v>37</v>
      </c>
      <c r="B24" s="3" t="s">
        <v>38</v>
      </c>
      <c r="C24" s="3" t="s">
        <v>344</v>
      </c>
      <c r="D24" s="3"/>
      <c r="E24" s="3"/>
    </row>
    <row r="25" spans="1:5" x14ac:dyDescent="0.25">
      <c r="A25" s="3" t="s">
        <v>39</v>
      </c>
      <c r="B25" s="3" t="s">
        <v>14</v>
      </c>
      <c r="C25" s="3" t="s">
        <v>344</v>
      </c>
      <c r="D25" s="3"/>
      <c r="E25" s="3"/>
    </row>
    <row r="26" spans="1:5" x14ac:dyDescent="0.25">
      <c r="A26" s="3" t="s">
        <v>40</v>
      </c>
      <c r="B26" s="3" t="s">
        <v>14</v>
      </c>
      <c r="C26" s="3" t="s">
        <v>344</v>
      </c>
      <c r="D26" s="3"/>
      <c r="E26" s="3"/>
    </row>
    <row r="27" spans="1:5" x14ac:dyDescent="0.25">
      <c r="A27" s="3" t="s">
        <v>41</v>
      </c>
      <c r="B27" s="3" t="s">
        <v>11</v>
      </c>
      <c r="C27" s="3" t="s">
        <v>344</v>
      </c>
      <c r="D27" s="3"/>
      <c r="E27" s="3"/>
    </row>
    <row r="28" spans="1:5" x14ac:dyDescent="0.25">
      <c r="A28" s="3" t="s">
        <v>42</v>
      </c>
      <c r="B28" s="3" t="s">
        <v>43</v>
      </c>
      <c r="C28" s="3" t="s">
        <v>344</v>
      </c>
      <c r="D28" s="3"/>
      <c r="E28" s="3"/>
    </row>
    <row r="29" spans="1:5" x14ac:dyDescent="0.25">
      <c r="A29" s="3" t="s">
        <v>44</v>
      </c>
      <c r="B29" s="3" t="s">
        <v>14</v>
      </c>
      <c r="C29" s="3" t="s">
        <v>344</v>
      </c>
      <c r="D29" s="3"/>
      <c r="E29" s="3"/>
    </row>
    <row r="30" spans="1:5" x14ac:dyDescent="0.25">
      <c r="A30" s="3" t="s">
        <v>45</v>
      </c>
      <c r="B30" s="3" t="s">
        <v>46</v>
      </c>
      <c r="C30" s="3" t="s">
        <v>344</v>
      </c>
      <c r="D30" s="3"/>
      <c r="E30" s="3"/>
    </row>
    <row r="31" spans="1:5" x14ac:dyDescent="0.25">
      <c r="A31" s="3" t="s">
        <v>42</v>
      </c>
      <c r="B31" s="3" t="s">
        <v>43</v>
      </c>
      <c r="C31" s="3" t="s">
        <v>344</v>
      </c>
      <c r="D31" s="3"/>
      <c r="E31" s="3"/>
    </row>
    <row r="32" spans="1:5" x14ac:dyDescent="0.25">
      <c r="A32" s="3" t="s">
        <v>47</v>
      </c>
      <c r="B32" s="3" t="s">
        <v>14</v>
      </c>
      <c r="C32" s="3" t="s">
        <v>345</v>
      </c>
      <c r="D32" s="3" t="s">
        <v>39</v>
      </c>
      <c r="E32" s="6">
        <v>16484</v>
      </c>
    </row>
    <row r="33" spans="1:5" x14ac:dyDescent="0.25">
      <c r="A33" s="3" t="s">
        <v>48</v>
      </c>
      <c r="B33" s="3" t="s">
        <v>49</v>
      </c>
      <c r="C33" s="3" t="s">
        <v>345</v>
      </c>
      <c r="D33" s="3" t="s">
        <v>349</v>
      </c>
      <c r="E33" s="6">
        <v>20019</v>
      </c>
    </row>
    <row r="34" spans="1:5" x14ac:dyDescent="0.25">
      <c r="A34" s="3" t="s">
        <v>50</v>
      </c>
      <c r="B34" s="3" t="s">
        <v>51</v>
      </c>
      <c r="C34" s="3" t="s">
        <v>344</v>
      </c>
      <c r="D34" s="3"/>
      <c r="E34" s="3"/>
    </row>
    <row r="35" spans="1:5" x14ac:dyDescent="0.25">
      <c r="A35" s="3" t="s">
        <v>52</v>
      </c>
      <c r="B35" s="3" t="s">
        <v>53</v>
      </c>
      <c r="C35" s="3" t="s">
        <v>344</v>
      </c>
      <c r="D35" s="3"/>
      <c r="E35" s="3"/>
    </row>
    <row r="36" spans="1:5" x14ac:dyDescent="0.25">
      <c r="A36" s="3" t="s">
        <v>54</v>
      </c>
      <c r="B36" s="3" t="s">
        <v>14</v>
      </c>
      <c r="C36" s="3" t="s">
        <v>344</v>
      </c>
      <c r="D36" s="3"/>
      <c r="E36" s="3"/>
    </row>
    <row r="37" spans="1:5" x14ac:dyDescent="0.25">
      <c r="A37" s="3" t="s">
        <v>55</v>
      </c>
      <c r="B37" s="3" t="s">
        <v>14</v>
      </c>
      <c r="C37" s="3" t="s">
        <v>345</v>
      </c>
      <c r="D37" s="3" t="s">
        <v>63</v>
      </c>
      <c r="E37" s="6">
        <v>222</v>
      </c>
    </row>
    <row r="38" spans="1:5" x14ac:dyDescent="0.25">
      <c r="A38" s="3" t="s">
        <v>56</v>
      </c>
      <c r="B38" s="3" t="s">
        <v>14</v>
      </c>
      <c r="C38" s="3" t="s">
        <v>345</v>
      </c>
      <c r="D38" s="3" t="s">
        <v>89</v>
      </c>
      <c r="E38" s="6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H3" sqref="H3"/>
    </sheetView>
  </sheetViews>
  <sheetFormatPr defaultRowHeight="15" x14ac:dyDescent="0.25"/>
  <cols>
    <col min="1" max="1" width="51.5703125" customWidth="1"/>
    <col min="2" max="2" width="57.5703125" customWidth="1"/>
    <col min="3" max="3" width="9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341</v>
      </c>
      <c r="D1" s="2" t="s">
        <v>342</v>
      </c>
      <c r="E1" s="2" t="s">
        <v>343</v>
      </c>
      <c r="G1" s="3" t="s">
        <v>344</v>
      </c>
      <c r="H1" s="3">
        <f>COUNTIF(C:C,G1)</f>
        <v>39</v>
      </c>
    </row>
    <row r="2" spans="1:8" x14ac:dyDescent="0.25">
      <c r="A2" s="3" t="s">
        <v>2</v>
      </c>
      <c r="B2" s="3" t="s">
        <v>3</v>
      </c>
      <c r="C2" s="3" t="s">
        <v>344</v>
      </c>
      <c r="D2" s="3"/>
      <c r="E2" s="3"/>
      <c r="G2" s="3" t="s">
        <v>345</v>
      </c>
      <c r="H2" s="3">
        <f>COUNTIF(C:C,G2)</f>
        <v>11</v>
      </c>
    </row>
    <row r="3" spans="1:8" x14ac:dyDescent="0.25">
      <c r="A3" s="3" t="s">
        <v>4</v>
      </c>
      <c r="B3" s="3" t="s">
        <v>5</v>
      </c>
      <c r="C3" s="3" t="s">
        <v>344</v>
      </c>
      <c r="D3" s="3"/>
      <c r="E3" s="3"/>
      <c r="G3" s="3" t="s">
        <v>346</v>
      </c>
      <c r="H3" s="7">
        <f>H1/SUM(H1:H2)</f>
        <v>0.78</v>
      </c>
    </row>
    <row r="4" spans="1:8" x14ac:dyDescent="0.25">
      <c r="A4" s="3" t="s">
        <v>6</v>
      </c>
      <c r="B4" s="3" t="s">
        <v>7</v>
      </c>
      <c r="C4" s="3" t="s">
        <v>344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344</v>
      </c>
      <c r="D5" s="3"/>
      <c r="E5" s="3"/>
    </row>
    <row r="6" spans="1:8" x14ac:dyDescent="0.25">
      <c r="A6" s="3" t="s">
        <v>12</v>
      </c>
      <c r="B6" s="3" t="s">
        <v>12</v>
      </c>
      <c r="C6" s="3" t="s">
        <v>344</v>
      </c>
      <c r="D6" s="3"/>
      <c r="E6" s="3"/>
    </row>
    <row r="7" spans="1:8" x14ac:dyDescent="0.25">
      <c r="A7" s="3" t="s">
        <v>13</v>
      </c>
      <c r="B7" s="3" t="s">
        <v>14</v>
      </c>
      <c r="C7" s="3" t="s">
        <v>344</v>
      </c>
      <c r="D7" s="3"/>
      <c r="E7" s="3"/>
    </row>
    <row r="8" spans="1:8" x14ac:dyDescent="0.25">
      <c r="A8" s="3" t="s">
        <v>15</v>
      </c>
      <c r="B8" s="3" t="s">
        <v>15</v>
      </c>
      <c r="C8" s="3" t="s">
        <v>344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344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344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344</v>
      </c>
      <c r="D11" s="3"/>
      <c r="E11" s="3"/>
    </row>
    <row r="12" spans="1:8" x14ac:dyDescent="0.25">
      <c r="A12" s="3" t="s">
        <v>22</v>
      </c>
      <c r="B12" s="3" t="s">
        <v>22</v>
      </c>
      <c r="C12" s="3" t="s">
        <v>344</v>
      </c>
      <c r="D12" s="3"/>
      <c r="E12" s="3"/>
    </row>
    <row r="13" spans="1:8" x14ac:dyDescent="0.25">
      <c r="A13" s="3" t="s">
        <v>23</v>
      </c>
      <c r="B13" s="3" t="s">
        <v>24</v>
      </c>
      <c r="C13" s="3" t="s">
        <v>344</v>
      </c>
      <c r="D13" s="3"/>
      <c r="E13" s="3"/>
    </row>
    <row r="14" spans="1:8" x14ac:dyDescent="0.25">
      <c r="A14" s="3" t="s">
        <v>57</v>
      </c>
      <c r="B14" s="3" t="s">
        <v>22</v>
      </c>
      <c r="C14" s="3" t="s">
        <v>345</v>
      </c>
      <c r="D14" s="3" t="s">
        <v>25</v>
      </c>
      <c r="E14" s="6">
        <v>279</v>
      </c>
    </row>
    <row r="15" spans="1:8" x14ac:dyDescent="0.25">
      <c r="A15" s="3" t="s">
        <v>25</v>
      </c>
      <c r="B15" s="3" t="s">
        <v>25</v>
      </c>
      <c r="C15" s="3" t="s">
        <v>344</v>
      </c>
      <c r="D15" s="3"/>
      <c r="E15" s="3"/>
    </row>
    <row r="16" spans="1:8" x14ac:dyDescent="0.25">
      <c r="A16" s="3" t="s">
        <v>26</v>
      </c>
      <c r="B16" s="3" t="s">
        <v>26</v>
      </c>
      <c r="C16" s="3" t="s">
        <v>344</v>
      </c>
      <c r="D16" s="3"/>
      <c r="E16" s="3"/>
    </row>
    <row r="17" spans="1:5" x14ac:dyDescent="0.25">
      <c r="A17" s="3" t="s">
        <v>58</v>
      </c>
      <c r="B17" s="3" t="s">
        <v>38</v>
      </c>
      <c r="C17" s="3" t="s">
        <v>345</v>
      </c>
      <c r="D17" s="3" t="s">
        <v>351</v>
      </c>
      <c r="E17" s="3"/>
    </row>
    <row r="18" spans="1:5" x14ac:dyDescent="0.25">
      <c r="A18" s="3" t="s">
        <v>59</v>
      </c>
      <c r="B18" s="3" t="s">
        <v>60</v>
      </c>
      <c r="C18" s="3" t="s">
        <v>345</v>
      </c>
      <c r="D18" s="3" t="s">
        <v>107</v>
      </c>
      <c r="E18" s="6">
        <v>25236</v>
      </c>
    </row>
    <row r="19" spans="1:5" x14ac:dyDescent="0.25">
      <c r="A19" s="3" t="s">
        <v>61</v>
      </c>
      <c r="B19" s="3" t="s">
        <v>28</v>
      </c>
      <c r="C19" s="3" t="s">
        <v>344</v>
      </c>
      <c r="D19" s="3"/>
      <c r="E19" s="3"/>
    </row>
    <row r="20" spans="1:5" x14ac:dyDescent="0.25">
      <c r="A20" s="3" t="s">
        <v>62</v>
      </c>
      <c r="B20" s="3" t="s">
        <v>63</v>
      </c>
      <c r="C20" s="3" t="s">
        <v>345</v>
      </c>
      <c r="D20" s="3" t="s">
        <v>30</v>
      </c>
      <c r="E20" s="6">
        <v>278</v>
      </c>
    </row>
    <row r="21" spans="1:5" x14ac:dyDescent="0.25">
      <c r="A21" s="3" t="s">
        <v>64</v>
      </c>
      <c r="B21" s="3" t="s">
        <v>32</v>
      </c>
      <c r="C21" s="3" t="s">
        <v>344</v>
      </c>
      <c r="D21" s="3"/>
      <c r="E21" s="3"/>
    </row>
    <row r="22" spans="1:5" x14ac:dyDescent="0.25">
      <c r="A22" s="3" t="s">
        <v>33</v>
      </c>
      <c r="B22" s="3" t="s">
        <v>14</v>
      </c>
      <c r="C22" s="3" t="s">
        <v>344</v>
      </c>
      <c r="D22" s="3"/>
      <c r="E22" s="3"/>
    </row>
    <row r="23" spans="1:5" x14ac:dyDescent="0.25">
      <c r="A23" s="3" t="s">
        <v>65</v>
      </c>
      <c r="B23" s="3" t="s">
        <v>33</v>
      </c>
      <c r="C23" s="3" t="s">
        <v>344</v>
      </c>
      <c r="D23" s="3"/>
      <c r="E23" s="3"/>
    </row>
    <row r="24" spans="1:5" x14ac:dyDescent="0.25">
      <c r="A24" s="3" t="s">
        <v>35</v>
      </c>
      <c r="B24" s="3" t="s">
        <v>35</v>
      </c>
      <c r="C24" s="3" t="s">
        <v>344</v>
      </c>
      <c r="D24" s="3"/>
      <c r="E24" s="3"/>
    </row>
    <row r="25" spans="1:5" x14ac:dyDescent="0.25">
      <c r="A25" s="3" t="s">
        <v>36</v>
      </c>
      <c r="B25" s="3" t="s">
        <v>14</v>
      </c>
      <c r="C25" s="3" t="s">
        <v>345</v>
      </c>
      <c r="D25" s="3" t="s">
        <v>350</v>
      </c>
      <c r="E25" s="3"/>
    </row>
    <row r="26" spans="1:5" x14ac:dyDescent="0.25">
      <c r="A26" s="3" t="s">
        <v>66</v>
      </c>
      <c r="B26" s="3" t="s">
        <v>67</v>
      </c>
      <c r="C26" s="3" t="s">
        <v>344</v>
      </c>
      <c r="D26" s="3"/>
      <c r="E26" s="3"/>
    </row>
    <row r="27" spans="1:5" x14ac:dyDescent="0.25">
      <c r="A27" s="3" t="s">
        <v>68</v>
      </c>
      <c r="B27" s="3" t="s">
        <v>69</v>
      </c>
      <c r="C27" s="3" t="s">
        <v>344</v>
      </c>
      <c r="D27" s="3"/>
      <c r="E27" s="3"/>
    </row>
    <row r="28" spans="1:5" x14ac:dyDescent="0.25">
      <c r="A28" s="3" t="s">
        <v>70</v>
      </c>
      <c r="B28" s="3" t="s">
        <v>38</v>
      </c>
      <c r="C28" s="3" t="s">
        <v>344</v>
      </c>
      <c r="D28" s="3"/>
      <c r="E28" s="3"/>
    </row>
    <row r="29" spans="1:5" x14ac:dyDescent="0.25">
      <c r="A29" s="3" t="s">
        <v>71</v>
      </c>
      <c r="B29" s="3" t="s">
        <v>14</v>
      </c>
      <c r="C29" s="3" t="s">
        <v>344</v>
      </c>
      <c r="D29" s="3"/>
      <c r="E29" s="3"/>
    </row>
    <row r="30" spans="1:5" x14ac:dyDescent="0.25">
      <c r="A30" s="3" t="s">
        <v>72</v>
      </c>
      <c r="B30" s="3" t="s">
        <v>73</v>
      </c>
      <c r="C30" s="3" t="s">
        <v>344</v>
      </c>
      <c r="D30" s="3" t="s">
        <v>73</v>
      </c>
      <c r="E30" s="6">
        <v>22299</v>
      </c>
    </row>
    <row r="31" spans="1:5" x14ac:dyDescent="0.25">
      <c r="A31" s="3" t="s">
        <v>74</v>
      </c>
      <c r="B31" s="3" t="s">
        <v>75</v>
      </c>
      <c r="C31" s="3" t="s">
        <v>344</v>
      </c>
      <c r="D31" s="3" t="s">
        <v>75</v>
      </c>
      <c r="E31" s="6">
        <v>22298</v>
      </c>
    </row>
    <row r="32" spans="1:5" x14ac:dyDescent="0.25">
      <c r="A32" s="3" t="s">
        <v>39</v>
      </c>
      <c r="B32" s="3" t="s">
        <v>14</v>
      </c>
      <c r="C32" s="3" t="s">
        <v>344</v>
      </c>
      <c r="D32" s="3"/>
      <c r="E32" s="3"/>
    </row>
    <row r="33" spans="1:5" x14ac:dyDescent="0.25">
      <c r="A33" s="3" t="s">
        <v>76</v>
      </c>
      <c r="B33" s="3" t="s">
        <v>14</v>
      </c>
      <c r="C33" s="3" t="s">
        <v>344</v>
      </c>
      <c r="D33" s="3"/>
      <c r="E33" s="3"/>
    </row>
    <row r="34" spans="1:5" x14ac:dyDescent="0.25">
      <c r="A34" s="3" t="s">
        <v>77</v>
      </c>
      <c r="B34" s="3" t="s">
        <v>11</v>
      </c>
      <c r="C34" s="3" t="s">
        <v>344</v>
      </c>
      <c r="D34" s="3"/>
      <c r="E34" s="3"/>
    </row>
    <row r="35" spans="1:5" x14ac:dyDescent="0.25">
      <c r="A35" s="3" t="s">
        <v>42</v>
      </c>
      <c r="B35" s="3" t="s">
        <v>43</v>
      </c>
      <c r="C35" s="3" t="s">
        <v>344</v>
      </c>
      <c r="D35" s="3"/>
      <c r="E35" s="3"/>
    </row>
    <row r="36" spans="1:5" x14ac:dyDescent="0.25">
      <c r="A36" s="3" t="s">
        <v>44</v>
      </c>
      <c r="B36" s="3" t="s">
        <v>14</v>
      </c>
      <c r="C36" s="3" t="s">
        <v>344</v>
      </c>
      <c r="D36" s="3"/>
      <c r="E36" s="3"/>
    </row>
    <row r="37" spans="1:5" x14ac:dyDescent="0.25">
      <c r="A37" s="3" t="s">
        <v>78</v>
      </c>
      <c r="B37" s="3" t="s">
        <v>46</v>
      </c>
      <c r="C37" s="3" t="s">
        <v>344</v>
      </c>
      <c r="D37" s="3"/>
      <c r="E37" s="3"/>
    </row>
    <row r="38" spans="1:5" x14ac:dyDescent="0.25">
      <c r="A38" s="3" t="s">
        <v>42</v>
      </c>
      <c r="B38" s="3" t="s">
        <v>43</v>
      </c>
      <c r="C38" s="3" t="s">
        <v>345</v>
      </c>
      <c r="D38" s="3" t="s">
        <v>360</v>
      </c>
      <c r="E38" s="6">
        <v>22296</v>
      </c>
    </row>
    <row r="39" spans="1:5" x14ac:dyDescent="0.25">
      <c r="A39" s="3" t="s">
        <v>47</v>
      </c>
      <c r="B39" s="3" t="s">
        <v>14</v>
      </c>
      <c r="C39" s="3" t="s">
        <v>345</v>
      </c>
      <c r="D39" s="3" t="s">
        <v>39</v>
      </c>
      <c r="E39" s="6">
        <v>16484</v>
      </c>
    </row>
    <row r="40" spans="1:5" x14ac:dyDescent="0.25">
      <c r="A40" s="3" t="s">
        <v>79</v>
      </c>
      <c r="B40" s="3" t="s">
        <v>80</v>
      </c>
      <c r="C40" s="3" t="s">
        <v>345</v>
      </c>
      <c r="D40" s="3" t="s">
        <v>14</v>
      </c>
      <c r="E40" s="3"/>
    </row>
    <row r="41" spans="1:5" x14ac:dyDescent="0.25">
      <c r="A41" s="3" t="s">
        <v>81</v>
      </c>
      <c r="B41" s="3" t="s">
        <v>73</v>
      </c>
      <c r="C41" s="3" t="s">
        <v>344</v>
      </c>
      <c r="D41" s="3" t="s">
        <v>73</v>
      </c>
      <c r="E41" s="6">
        <v>22291</v>
      </c>
    </row>
    <row r="42" spans="1:5" x14ac:dyDescent="0.25">
      <c r="A42" s="3" t="s">
        <v>74</v>
      </c>
      <c r="B42" s="3" t="s">
        <v>75</v>
      </c>
      <c r="C42" s="3" t="s">
        <v>344</v>
      </c>
      <c r="D42" s="3" t="s">
        <v>75</v>
      </c>
      <c r="E42" s="6">
        <v>22290</v>
      </c>
    </row>
    <row r="43" spans="1:5" x14ac:dyDescent="0.25">
      <c r="A43" s="3" t="s">
        <v>48</v>
      </c>
      <c r="B43" s="3" t="s">
        <v>49</v>
      </c>
      <c r="C43" s="3" t="s">
        <v>345</v>
      </c>
      <c r="D43" s="3" t="s">
        <v>349</v>
      </c>
      <c r="E43" s="6">
        <v>20019</v>
      </c>
    </row>
    <row r="44" spans="1:5" x14ac:dyDescent="0.25">
      <c r="A44" s="3" t="s">
        <v>82</v>
      </c>
      <c r="B44" s="3" t="s">
        <v>49</v>
      </c>
      <c r="C44" s="3" t="s">
        <v>345</v>
      </c>
      <c r="D44" s="3" t="s">
        <v>14</v>
      </c>
      <c r="E44" s="3"/>
    </row>
    <row r="45" spans="1:5" x14ac:dyDescent="0.25">
      <c r="A45" s="3" t="s">
        <v>81</v>
      </c>
      <c r="B45" s="3" t="s">
        <v>73</v>
      </c>
      <c r="C45" s="3" t="s">
        <v>344</v>
      </c>
      <c r="D45" s="3" t="s">
        <v>73</v>
      </c>
      <c r="E45" s="6">
        <v>22303</v>
      </c>
    </row>
    <row r="46" spans="1:5" x14ac:dyDescent="0.25">
      <c r="A46" s="3" t="s">
        <v>74</v>
      </c>
      <c r="B46" s="3" t="s">
        <v>75</v>
      </c>
      <c r="C46" s="3" t="s">
        <v>344</v>
      </c>
      <c r="D46" s="3" t="s">
        <v>75</v>
      </c>
      <c r="E46" s="6">
        <v>22302</v>
      </c>
    </row>
    <row r="47" spans="1:5" x14ac:dyDescent="0.25">
      <c r="A47" s="3" t="s">
        <v>50</v>
      </c>
      <c r="B47" s="3" t="s">
        <v>51</v>
      </c>
      <c r="C47" s="3" t="s">
        <v>344</v>
      </c>
      <c r="D47" s="3"/>
      <c r="E47" s="3"/>
    </row>
    <row r="48" spans="1:5" x14ac:dyDescent="0.25">
      <c r="A48" s="3" t="s">
        <v>52</v>
      </c>
      <c r="B48" s="3" t="s">
        <v>53</v>
      </c>
      <c r="C48" s="3" t="s">
        <v>344</v>
      </c>
      <c r="D48" s="3"/>
      <c r="E48" s="3"/>
    </row>
    <row r="49" spans="1:5" x14ac:dyDescent="0.25">
      <c r="A49" s="3" t="s">
        <v>54</v>
      </c>
      <c r="B49" s="3" t="s">
        <v>14</v>
      </c>
      <c r="C49" s="3" t="s">
        <v>344</v>
      </c>
      <c r="D49" s="3"/>
      <c r="E49" s="3"/>
    </row>
    <row r="50" spans="1:5" x14ac:dyDescent="0.25">
      <c r="A50" s="3" t="s">
        <v>83</v>
      </c>
      <c r="B50" s="3" t="s">
        <v>14</v>
      </c>
      <c r="C50" s="3"/>
      <c r="D50" s="3" t="s">
        <v>351</v>
      </c>
      <c r="E50" s="3"/>
    </row>
    <row r="51" spans="1:5" x14ac:dyDescent="0.25">
      <c r="A51" s="3" t="s">
        <v>84</v>
      </c>
      <c r="B51" s="3" t="s">
        <v>14</v>
      </c>
      <c r="C51" s="3"/>
      <c r="D51" s="3" t="s">
        <v>351</v>
      </c>
      <c r="E51" s="3"/>
    </row>
    <row r="52" spans="1:5" x14ac:dyDescent="0.25">
      <c r="A52" s="3" t="s">
        <v>85</v>
      </c>
      <c r="B52" s="3" t="s">
        <v>14</v>
      </c>
      <c r="C52" s="3"/>
      <c r="D52" s="3" t="s">
        <v>351</v>
      </c>
      <c r="E52" s="3"/>
    </row>
    <row r="53" spans="1:5" x14ac:dyDescent="0.25">
      <c r="A53" s="3" t="s">
        <v>86</v>
      </c>
      <c r="B53" s="3" t="s">
        <v>14</v>
      </c>
      <c r="C53" s="3"/>
      <c r="D53" s="3" t="s">
        <v>351</v>
      </c>
      <c r="E53" s="3"/>
    </row>
    <row r="54" spans="1:5" x14ac:dyDescent="0.25">
      <c r="A54" s="3" t="s">
        <v>87</v>
      </c>
      <c r="B54" s="3" t="s">
        <v>14</v>
      </c>
      <c r="C54" s="3" t="s">
        <v>345</v>
      </c>
      <c r="D54" s="3" t="s">
        <v>63</v>
      </c>
      <c r="E54" s="6">
        <v>222</v>
      </c>
    </row>
    <row r="55" spans="1:5" x14ac:dyDescent="0.25">
      <c r="A55" s="3" t="s">
        <v>88</v>
      </c>
      <c r="B55" s="3" t="s">
        <v>89</v>
      </c>
      <c r="C55" s="3" t="s">
        <v>344</v>
      </c>
      <c r="D55" s="3" t="s">
        <v>89</v>
      </c>
      <c r="E55" s="6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workbookViewId="0"/>
  </sheetViews>
  <sheetFormatPr defaultRowHeight="15" x14ac:dyDescent="0.25"/>
  <cols>
    <col min="1" max="1" width="36.42578125" customWidth="1"/>
    <col min="2" max="2" width="38.5703125" customWidth="1"/>
    <col min="3" max="3" width="11.5703125" customWidth="1"/>
    <col min="4" max="4" width="31.28515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341</v>
      </c>
      <c r="D1" s="2" t="s">
        <v>342</v>
      </c>
      <c r="E1" s="2" t="s">
        <v>343</v>
      </c>
      <c r="G1" s="3" t="s">
        <v>344</v>
      </c>
      <c r="H1" s="3">
        <f>COUNTIF(C:C,G1)</f>
        <v>40</v>
      </c>
    </row>
    <row r="2" spans="1:8" x14ac:dyDescent="0.25">
      <c r="A2" s="3" t="s">
        <v>122</v>
      </c>
      <c r="B2" s="3" t="s">
        <v>14</v>
      </c>
      <c r="C2" s="3" t="s">
        <v>344</v>
      </c>
      <c r="D2" s="3"/>
      <c r="E2" s="3"/>
      <c r="G2" s="3" t="s">
        <v>345</v>
      </c>
      <c r="H2" s="3">
        <f>COUNTIF(C:C,G2)</f>
        <v>7</v>
      </c>
    </row>
    <row r="3" spans="1:8" x14ac:dyDescent="0.25">
      <c r="A3" s="3" t="s">
        <v>123</v>
      </c>
      <c r="B3" s="3" t="s">
        <v>124</v>
      </c>
      <c r="C3" s="3" t="s">
        <v>344</v>
      </c>
      <c r="D3" s="3"/>
      <c r="E3" s="3"/>
      <c r="G3" s="3" t="s">
        <v>346</v>
      </c>
      <c r="H3" s="7">
        <f>H1/SUM(H1:H2)</f>
        <v>0.85106382978723405</v>
      </c>
    </row>
    <row r="4" spans="1:8" x14ac:dyDescent="0.25">
      <c r="A4" s="3" t="s">
        <v>125</v>
      </c>
      <c r="B4" s="3" t="s">
        <v>126</v>
      </c>
      <c r="C4" s="3" t="s">
        <v>344</v>
      </c>
      <c r="D4" s="3"/>
      <c r="E4" s="3"/>
    </row>
    <row r="5" spans="1:8" x14ac:dyDescent="0.25">
      <c r="A5" s="3" t="s">
        <v>127</v>
      </c>
      <c r="B5" s="3" t="s">
        <v>128</v>
      </c>
      <c r="C5" s="3" t="s">
        <v>344</v>
      </c>
      <c r="D5" s="3"/>
      <c r="E5" s="3"/>
    </row>
    <row r="6" spans="1:8" x14ac:dyDescent="0.25">
      <c r="A6" s="3" t="s">
        <v>129</v>
      </c>
      <c r="B6" s="3" t="s">
        <v>130</v>
      </c>
      <c r="C6" s="3" t="s">
        <v>344</v>
      </c>
      <c r="D6" s="3"/>
      <c r="E6" s="3"/>
    </row>
    <row r="7" spans="1:8" x14ac:dyDescent="0.25">
      <c r="A7" s="3" t="s">
        <v>131</v>
      </c>
      <c r="B7" s="3" t="s">
        <v>132</v>
      </c>
      <c r="C7" s="3" t="s">
        <v>344</v>
      </c>
      <c r="D7" s="3"/>
      <c r="E7" s="3"/>
    </row>
    <row r="8" spans="1:8" x14ac:dyDescent="0.25">
      <c r="A8" s="3" t="s">
        <v>133</v>
      </c>
      <c r="B8" s="3" t="s">
        <v>14</v>
      </c>
      <c r="C8" s="3" t="s">
        <v>344</v>
      </c>
      <c r="D8" s="3"/>
      <c r="E8" s="3"/>
    </row>
    <row r="9" spans="1:8" x14ac:dyDescent="0.25">
      <c r="A9" s="3" t="s">
        <v>134</v>
      </c>
      <c r="B9" s="3" t="s">
        <v>135</v>
      </c>
      <c r="C9" s="3" t="s">
        <v>344</v>
      </c>
      <c r="D9" s="3"/>
      <c r="E9" s="3"/>
    </row>
    <row r="10" spans="1:8" x14ac:dyDescent="0.25">
      <c r="A10" s="3" t="s">
        <v>136</v>
      </c>
      <c r="B10" s="3" t="s">
        <v>135</v>
      </c>
      <c r="C10" s="3" t="s">
        <v>344</v>
      </c>
      <c r="D10" s="3"/>
      <c r="E10" s="3"/>
    </row>
    <row r="11" spans="1:8" x14ac:dyDescent="0.25">
      <c r="A11" s="3" t="s">
        <v>137</v>
      </c>
      <c r="B11" s="3" t="s">
        <v>138</v>
      </c>
      <c r="C11" s="3" t="s">
        <v>344</v>
      </c>
      <c r="D11" s="3"/>
      <c r="E11" s="3"/>
    </row>
    <row r="12" spans="1:8" x14ac:dyDescent="0.25">
      <c r="A12" s="3" t="s">
        <v>139</v>
      </c>
      <c r="B12" s="3" t="s">
        <v>140</v>
      </c>
      <c r="C12" s="3" t="s">
        <v>344</v>
      </c>
      <c r="D12" s="3"/>
      <c r="E12" s="3"/>
    </row>
    <row r="13" spans="1:8" x14ac:dyDescent="0.25">
      <c r="A13" s="3" t="s">
        <v>141</v>
      </c>
      <c r="B13" s="3" t="s">
        <v>142</v>
      </c>
      <c r="C13" s="3" t="s">
        <v>344</v>
      </c>
      <c r="D13" s="3"/>
      <c r="E13" s="3"/>
    </row>
    <row r="14" spans="1:8" x14ac:dyDescent="0.25">
      <c r="A14" s="3" t="s">
        <v>143</v>
      </c>
      <c r="B14" s="3" t="s">
        <v>144</v>
      </c>
      <c r="C14" s="3" t="s">
        <v>344</v>
      </c>
      <c r="D14" s="3"/>
      <c r="E14" s="3"/>
    </row>
    <row r="15" spans="1:8" x14ac:dyDescent="0.25">
      <c r="A15" s="3" t="s">
        <v>145</v>
      </c>
      <c r="B15" s="3" t="s">
        <v>14</v>
      </c>
      <c r="C15" s="3" t="s">
        <v>344</v>
      </c>
      <c r="D15" s="3"/>
      <c r="E15" s="3"/>
    </row>
    <row r="16" spans="1:8" x14ac:dyDescent="0.25">
      <c r="A16" s="3" t="s">
        <v>146</v>
      </c>
      <c r="B16" s="3" t="s">
        <v>146</v>
      </c>
      <c r="C16" s="3" t="s">
        <v>344</v>
      </c>
      <c r="D16" s="3"/>
      <c r="E16" s="3"/>
    </row>
    <row r="17" spans="1:5" x14ac:dyDescent="0.25">
      <c r="A17" s="3" t="s">
        <v>133</v>
      </c>
      <c r="B17" s="3" t="s">
        <v>14</v>
      </c>
      <c r="C17" s="3" t="s">
        <v>344</v>
      </c>
      <c r="D17" s="3"/>
      <c r="E17" s="3"/>
    </row>
    <row r="18" spans="1:5" x14ac:dyDescent="0.25">
      <c r="A18" s="3" t="s">
        <v>147</v>
      </c>
      <c r="B18" s="3" t="s">
        <v>135</v>
      </c>
      <c r="C18" s="3" t="s">
        <v>345</v>
      </c>
      <c r="D18" s="3" t="s">
        <v>352</v>
      </c>
      <c r="E18" s="6">
        <v>13724</v>
      </c>
    </row>
    <row r="19" spans="1:5" x14ac:dyDescent="0.25">
      <c r="A19" s="3" t="s">
        <v>148</v>
      </c>
      <c r="B19" s="3" t="s">
        <v>148</v>
      </c>
      <c r="C19" s="3" t="s">
        <v>344</v>
      </c>
      <c r="D19" s="3"/>
      <c r="E19" s="3"/>
    </row>
    <row r="20" spans="1:5" x14ac:dyDescent="0.25">
      <c r="A20" s="3" t="s">
        <v>149</v>
      </c>
      <c r="B20" s="3" t="s">
        <v>150</v>
      </c>
      <c r="C20" s="3" t="s">
        <v>344</v>
      </c>
      <c r="D20" s="3"/>
      <c r="E20" s="3"/>
    </row>
    <row r="21" spans="1:5" x14ac:dyDescent="0.25">
      <c r="A21" s="3" t="s">
        <v>151</v>
      </c>
      <c r="B21" s="3" t="s">
        <v>152</v>
      </c>
      <c r="C21" s="3" t="s">
        <v>344</v>
      </c>
      <c r="D21" s="3"/>
      <c r="E21" s="3"/>
    </row>
    <row r="22" spans="1:5" x14ac:dyDescent="0.25">
      <c r="A22" s="3" t="s">
        <v>153</v>
      </c>
      <c r="B22" s="3" t="s">
        <v>154</v>
      </c>
      <c r="C22" s="3" t="s">
        <v>344</v>
      </c>
      <c r="D22" s="3"/>
      <c r="E22" s="3"/>
    </row>
    <row r="23" spans="1:5" x14ac:dyDescent="0.25">
      <c r="A23" s="3" t="s">
        <v>155</v>
      </c>
      <c r="B23" s="3" t="s">
        <v>138</v>
      </c>
      <c r="C23" s="3" t="s">
        <v>345</v>
      </c>
      <c r="D23" s="3" t="s">
        <v>156</v>
      </c>
      <c r="E23" s="6">
        <v>13750</v>
      </c>
    </row>
    <row r="24" spans="1:5" x14ac:dyDescent="0.25">
      <c r="A24" s="3" t="s">
        <v>137</v>
      </c>
      <c r="B24" s="3" t="s">
        <v>138</v>
      </c>
      <c r="C24" s="3" t="s">
        <v>345</v>
      </c>
      <c r="D24" s="3" t="s">
        <v>353</v>
      </c>
      <c r="E24" s="6">
        <v>20231</v>
      </c>
    </row>
    <row r="25" spans="1:5" x14ac:dyDescent="0.25">
      <c r="A25" s="3" t="s">
        <v>156</v>
      </c>
      <c r="B25" s="3" t="s">
        <v>156</v>
      </c>
      <c r="C25" s="3" t="s">
        <v>344</v>
      </c>
      <c r="D25" s="3"/>
      <c r="E25" s="3"/>
    </row>
    <row r="26" spans="1:5" x14ac:dyDescent="0.25">
      <c r="A26" s="3" t="s">
        <v>157</v>
      </c>
      <c r="B26" s="3" t="s">
        <v>158</v>
      </c>
      <c r="C26" s="3" t="s">
        <v>344</v>
      </c>
      <c r="D26" s="3"/>
      <c r="E26" s="3"/>
    </row>
    <row r="27" spans="1:5" x14ac:dyDescent="0.25">
      <c r="A27" s="3" t="s">
        <v>159</v>
      </c>
      <c r="B27" s="3" t="s">
        <v>14</v>
      </c>
      <c r="C27" s="3" t="s">
        <v>344</v>
      </c>
      <c r="D27" s="3"/>
      <c r="E27" s="3"/>
    </row>
    <row r="28" spans="1:5" x14ac:dyDescent="0.25">
      <c r="A28" s="3" t="s">
        <v>160</v>
      </c>
      <c r="B28" s="3" t="s">
        <v>14</v>
      </c>
      <c r="C28" s="3" t="s">
        <v>344</v>
      </c>
      <c r="D28" s="3"/>
      <c r="E28" s="3"/>
    </row>
    <row r="29" spans="1:5" x14ac:dyDescent="0.25">
      <c r="A29" s="3" t="s">
        <v>161</v>
      </c>
      <c r="B29" s="3" t="s">
        <v>162</v>
      </c>
      <c r="C29" s="3" t="s">
        <v>344</v>
      </c>
      <c r="D29" s="3"/>
      <c r="E29" s="3"/>
    </row>
    <row r="30" spans="1:5" x14ac:dyDescent="0.25">
      <c r="A30" s="3" t="s">
        <v>163</v>
      </c>
      <c r="B30" s="3" t="s">
        <v>164</v>
      </c>
      <c r="C30" s="3" t="s">
        <v>344</v>
      </c>
      <c r="D30" s="3"/>
      <c r="E30" s="3"/>
    </row>
    <row r="31" spans="1:5" x14ac:dyDescent="0.25">
      <c r="A31" s="3" t="s">
        <v>165</v>
      </c>
      <c r="B31" s="3" t="s">
        <v>166</v>
      </c>
      <c r="C31" s="3" t="s">
        <v>344</v>
      </c>
      <c r="D31" s="3"/>
      <c r="E31" s="3"/>
    </row>
    <row r="32" spans="1:5" x14ac:dyDescent="0.25">
      <c r="A32" s="3" t="s">
        <v>167</v>
      </c>
      <c r="B32" s="3" t="s">
        <v>14</v>
      </c>
      <c r="C32" s="3" t="s">
        <v>344</v>
      </c>
      <c r="D32" s="3"/>
      <c r="E32" s="3"/>
    </row>
    <row r="33" spans="1:5" x14ac:dyDescent="0.25">
      <c r="A33" s="3" t="s">
        <v>168</v>
      </c>
      <c r="B33" s="3" t="s">
        <v>14</v>
      </c>
      <c r="C33" s="3" t="s">
        <v>344</v>
      </c>
      <c r="D33" s="3"/>
      <c r="E33" s="3"/>
    </row>
    <row r="34" spans="1:5" x14ac:dyDescent="0.25">
      <c r="A34" s="3" t="s">
        <v>169</v>
      </c>
      <c r="B34" s="3" t="s">
        <v>170</v>
      </c>
      <c r="C34" s="3" t="s">
        <v>344</v>
      </c>
      <c r="D34" s="3"/>
      <c r="E34" s="3"/>
    </row>
    <row r="35" spans="1:5" x14ac:dyDescent="0.25">
      <c r="A35" s="3" t="s">
        <v>171</v>
      </c>
      <c r="B35" s="3" t="s">
        <v>172</v>
      </c>
      <c r="C35" s="3" t="s">
        <v>344</v>
      </c>
      <c r="D35" s="3"/>
      <c r="E35" s="3"/>
    </row>
    <row r="36" spans="1:5" x14ac:dyDescent="0.25">
      <c r="A36" s="3" t="s">
        <v>173</v>
      </c>
      <c r="B36" s="3" t="s">
        <v>14</v>
      </c>
      <c r="C36" s="3" t="s">
        <v>344</v>
      </c>
      <c r="D36" s="3"/>
      <c r="E36" s="3"/>
    </row>
    <row r="37" spans="1:5" x14ac:dyDescent="0.25">
      <c r="A37" s="3" t="s">
        <v>168</v>
      </c>
      <c r="B37" s="3" t="s">
        <v>14</v>
      </c>
      <c r="C37" s="3" t="s">
        <v>344</v>
      </c>
      <c r="D37" s="3"/>
      <c r="E37" s="3"/>
    </row>
    <row r="38" spans="1:5" x14ac:dyDescent="0.25">
      <c r="A38" s="3" t="s">
        <v>174</v>
      </c>
      <c r="B38" s="3" t="s">
        <v>174</v>
      </c>
      <c r="C38" s="3" t="s">
        <v>344</v>
      </c>
      <c r="D38" s="3"/>
      <c r="E38" s="3"/>
    </row>
    <row r="39" spans="1:5" x14ac:dyDescent="0.25">
      <c r="A39" s="3" t="s">
        <v>169</v>
      </c>
      <c r="B39" s="3" t="s">
        <v>170</v>
      </c>
      <c r="C39" s="3" t="s">
        <v>344</v>
      </c>
      <c r="D39" s="3"/>
      <c r="E39" s="3"/>
    </row>
    <row r="40" spans="1:5" x14ac:dyDescent="0.25">
      <c r="A40" s="3" t="s">
        <v>175</v>
      </c>
      <c r="B40" s="3" t="s">
        <v>175</v>
      </c>
      <c r="C40" s="3" t="s">
        <v>345</v>
      </c>
      <c r="D40" s="3" t="s">
        <v>14</v>
      </c>
      <c r="E40" s="3"/>
    </row>
    <row r="41" spans="1:5" x14ac:dyDescent="0.25">
      <c r="A41" s="3" t="s">
        <v>176</v>
      </c>
      <c r="B41" s="3" t="s">
        <v>175</v>
      </c>
      <c r="C41" s="3" t="s">
        <v>344</v>
      </c>
      <c r="D41" s="3"/>
      <c r="E41" s="3"/>
    </row>
    <row r="42" spans="1:5" x14ac:dyDescent="0.25">
      <c r="A42" s="3" t="s">
        <v>177</v>
      </c>
      <c r="B42" s="3" t="s">
        <v>175</v>
      </c>
      <c r="C42" s="3" t="s">
        <v>344</v>
      </c>
      <c r="D42" s="3"/>
      <c r="E42" s="3"/>
    </row>
    <row r="43" spans="1:5" x14ac:dyDescent="0.25">
      <c r="A43" s="3" t="s">
        <v>178</v>
      </c>
      <c r="B43" s="3" t="s">
        <v>179</v>
      </c>
      <c r="C43" s="3" t="s">
        <v>345</v>
      </c>
      <c r="D43" s="3" t="s">
        <v>354</v>
      </c>
      <c r="E43" s="6">
        <v>20214</v>
      </c>
    </row>
    <row r="44" spans="1:5" x14ac:dyDescent="0.25">
      <c r="A44" s="3" t="s">
        <v>155</v>
      </c>
      <c r="B44" s="3" t="s">
        <v>138</v>
      </c>
      <c r="C44" s="3" t="s">
        <v>345</v>
      </c>
      <c r="D44" s="3" t="s">
        <v>181</v>
      </c>
      <c r="E44" s="6">
        <v>26450</v>
      </c>
    </row>
    <row r="45" spans="1:5" x14ac:dyDescent="0.25">
      <c r="A45" s="3" t="s">
        <v>180</v>
      </c>
      <c r="B45" s="3" t="s">
        <v>181</v>
      </c>
      <c r="C45" s="3" t="s">
        <v>344</v>
      </c>
      <c r="D45" s="3"/>
      <c r="E45" s="3"/>
    </row>
    <row r="46" spans="1:5" x14ac:dyDescent="0.25">
      <c r="A46" s="3" t="s">
        <v>171</v>
      </c>
      <c r="B46" s="3" t="s">
        <v>172</v>
      </c>
      <c r="C46" s="3" t="s">
        <v>345</v>
      </c>
      <c r="D46" s="3" t="s">
        <v>355</v>
      </c>
      <c r="E46" s="6">
        <v>13767</v>
      </c>
    </row>
    <row r="47" spans="1:5" x14ac:dyDescent="0.25">
      <c r="A47" s="3" t="s">
        <v>182</v>
      </c>
      <c r="B47" s="3" t="s">
        <v>183</v>
      </c>
      <c r="C47" s="3" t="s">
        <v>344</v>
      </c>
      <c r="D47" s="3"/>
      <c r="E47" s="3"/>
    </row>
    <row r="48" spans="1:5" x14ac:dyDescent="0.25">
      <c r="A48" s="3" t="s">
        <v>184</v>
      </c>
      <c r="B48" s="3" t="s">
        <v>185</v>
      </c>
      <c r="C48" s="3" t="s">
        <v>344</v>
      </c>
      <c r="D48" s="3"/>
      <c r="E48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workbookViewId="0">
      <selection activeCell="A8" sqref="A8"/>
    </sheetView>
  </sheetViews>
  <sheetFormatPr defaultRowHeight="15" x14ac:dyDescent="0.25"/>
  <cols>
    <col min="1" max="1" width="48.140625" customWidth="1"/>
    <col min="2" max="2" width="49" customWidth="1"/>
    <col min="3" max="3" width="9.1406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341</v>
      </c>
      <c r="D1" s="2" t="s">
        <v>342</v>
      </c>
      <c r="E1" s="2" t="s">
        <v>343</v>
      </c>
      <c r="G1" s="3" t="s">
        <v>344</v>
      </c>
      <c r="H1" s="3">
        <f>COUNTIF(C:C,G1)</f>
        <v>51</v>
      </c>
    </row>
    <row r="2" spans="1:8" x14ac:dyDescent="0.25">
      <c r="A2" s="3" t="s">
        <v>122</v>
      </c>
      <c r="B2" s="3" t="s">
        <v>14</v>
      </c>
      <c r="C2" s="3" t="s">
        <v>344</v>
      </c>
      <c r="D2" s="3"/>
      <c r="E2" s="3"/>
      <c r="G2" s="3" t="s">
        <v>345</v>
      </c>
      <c r="H2" s="3">
        <f>COUNTIF(C:C,G2)</f>
        <v>8</v>
      </c>
    </row>
    <row r="3" spans="1:8" x14ac:dyDescent="0.25">
      <c r="A3" s="3" t="s">
        <v>123</v>
      </c>
      <c r="B3" s="3" t="s">
        <v>124</v>
      </c>
      <c r="C3" s="3" t="s">
        <v>344</v>
      </c>
      <c r="D3" s="3"/>
      <c r="E3" s="3"/>
      <c r="G3" s="3" t="s">
        <v>346</v>
      </c>
      <c r="H3" s="3">
        <f>H1/SUM(H1:H2)</f>
        <v>0.86440677966101698</v>
      </c>
    </row>
    <row r="4" spans="1:8" x14ac:dyDescent="0.25">
      <c r="A4" s="3" t="s">
        <v>263</v>
      </c>
      <c r="B4" s="3" t="s">
        <v>126</v>
      </c>
      <c r="C4" s="3" t="s">
        <v>344</v>
      </c>
      <c r="D4" s="3"/>
      <c r="E4" s="3"/>
    </row>
    <row r="5" spans="1:8" x14ac:dyDescent="0.25">
      <c r="A5" s="3" t="s">
        <v>127</v>
      </c>
      <c r="B5" s="3" t="s">
        <v>128</v>
      </c>
      <c r="C5" s="3" t="s">
        <v>344</v>
      </c>
      <c r="D5" s="3"/>
      <c r="E5" s="3"/>
    </row>
    <row r="6" spans="1:8" x14ac:dyDescent="0.25">
      <c r="A6" s="3" t="s">
        <v>130</v>
      </c>
      <c r="B6" s="3" t="s">
        <v>130</v>
      </c>
      <c r="C6" s="3" t="s">
        <v>344</v>
      </c>
      <c r="D6" s="3"/>
      <c r="E6" s="3"/>
    </row>
    <row r="7" spans="1:8" x14ac:dyDescent="0.25">
      <c r="A7" s="3" t="s">
        <v>264</v>
      </c>
      <c r="B7" s="3" t="s">
        <v>264</v>
      </c>
      <c r="C7" s="3" t="s">
        <v>345</v>
      </c>
      <c r="D7" s="3" t="s">
        <v>356</v>
      </c>
      <c r="E7" s="6">
        <v>13734</v>
      </c>
    </row>
    <row r="8" spans="1:8" x14ac:dyDescent="0.25">
      <c r="A8" s="3" t="s">
        <v>132</v>
      </c>
      <c r="B8" s="3" t="s">
        <v>132</v>
      </c>
      <c r="C8" s="3" t="s">
        <v>344</v>
      </c>
      <c r="D8" s="3"/>
      <c r="E8" s="3"/>
    </row>
    <row r="9" spans="1:8" x14ac:dyDescent="0.25">
      <c r="A9" s="3" t="s">
        <v>265</v>
      </c>
      <c r="B9" s="3" t="s">
        <v>266</v>
      </c>
      <c r="C9" s="3" t="s">
        <v>344</v>
      </c>
      <c r="D9" s="3"/>
      <c r="E9" s="3"/>
    </row>
    <row r="10" spans="1:8" x14ac:dyDescent="0.25">
      <c r="A10" s="3" t="s">
        <v>267</v>
      </c>
      <c r="B10" s="3" t="s">
        <v>268</v>
      </c>
      <c r="C10" s="3" t="s">
        <v>344</v>
      </c>
      <c r="D10" s="3"/>
      <c r="E10" s="3"/>
    </row>
    <row r="11" spans="1:8" x14ac:dyDescent="0.25">
      <c r="A11" s="3" t="s">
        <v>133</v>
      </c>
      <c r="B11" s="3" t="s">
        <v>14</v>
      </c>
      <c r="C11" s="3" t="s">
        <v>344</v>
      </c>
      <c r="D11" s="3"/>
      <c r="E11" s="3"/>
    </row>
    <row r="12" spans="1:8" x14ac:dyDescent="0.25">
      <c r="A12" s="3" t="s">
        <v>136</v>
      </c>
      <c r="B12" s="3" t="s">
        <v>135</v>
      </c>
      <c r="C12" s="3" t="s">
        <v>344</v>
      </c>
      <c r="D12" s="3"/>
      <c r="E12" s="3"/>
    </row>
    <row r="13" spans="1:8" x14ac:dyDescent="0.25">
      <c r="A13" s="3" t="s">
        <v>137</v>
      </c>
      <c r="B13" s="3" t="s">
        <v>138</v>
      </c>
      <c r="C13" s="3" t="s">
        <v>344</v>
      </c>
      <c r="D13" s="3"/>
      <c r="E13" s="3"/>
    </row>
    <row r="14" spans="1:8" x14ac:dyDescent="0.25">
      <c r="A14" s="3" t="s">
        <v>139</v>
      </c>
      <c r="B14" s="3" t="s">
        <v>140</v>
      </c>
      <c r="C14" s="3" t="s">
        <v>344</v>
      </c>
      <c r="D14" s="3"/>
      <c r="E14" s="3"/>
    </row>
    <row r="15" spans="1:8" x14ac:dyDescent="0.25">
      <c r="A15" s="3" t="s">
        <v>141</v>
      </c>
      <c r="B15" s="3" t="s">
        <v>142</v>
      </c>
      <c r="C15" s="3" t="s">
        <v>344</v>
      </c>
      <c r="D15" s="3"/>
      <c r="E15" s="3"/>
    </row>
    <row r="16" spans="1:8" x14ac:dyDescent="0.25">
      <c r="A16" s="3" t="s">
        <v>143</v>
      </c>
      <c r="B16" s="3" t="s">
        <v>144</v>
      </c>
      <c r="C16" s="3" t="s">
        <v>344</v>
      </c>
      <c r="D16" s="3"/>
      <c r="E16" s="3"/>
    </row>
    <row r="17" spans="1:5" x14ac:dyDescent="0.25">
      <c r="A17" s="3" t="s">
        <v>145</v>
      </c>
      <c r="B17" s="3" t="s">
        <v>14</v>
      </c>
      <c r="C17" s="3" t="s">
        <v>344</v>
      </c>
      <c r="D17" s="3"/>
      <c r="E17" s="3"/>
    </row>
    <row r="18" spans="1:5" x14ac:dyDescent="0.25">
      <c r="A18" s="3" t="s">
        <v>146</v>
      </c>
      <c r="B18" s="3" t="s">
        <v>146</v>
      </c>
      <c r="C18" s="3" t="s">
        <v>344</v>
      </c>
      <c r="D18" s="3"/>
      <c r="E18" s="3"/>
    </row>
    <row r="19" spans="1:5" x14ac:dyDescent="0.25">
      <c r="A19" s="3" t="s">
        <v>133</v>
      </c>
      <c r="B19" s="3" t="s">
        <v>14</v>
      </c>
      <c r="C19" s="3" t="s">
        <v>344</v>
      </c>
      <c r="D19" s="3"/>
      <c r="E19" s="3"/>
    </row>
    <row r="20" spans="1:5" x14ac:dyDescent="0.25">
      <c r="A20" s="3" t="s">
        <v>147</v>
      </c>
      <c r="B20" s="3" t="s">
        <v>135</v>
      </c>
      <c r="C20" s="3" t="s">
        <v>345</v>
      </c>
      <c r="D20" s="3" t="s">
        <v>352</v>
      </c>
      <c r="E20" s="6">
        <v>13724</v>
      </c>
    </row>
    <row r="21" spans="1:5" x14ac:dyDescent="0.25">
      <c r="A21" s="3" t="s">
        <v>148</v>
      </c>
      <c r="B21" s="3" t="s">
        <v>148</v>
      </c>
      <c r="C21" s="3" t="s">
        <v>344</v>
      </c>
      <c r="D21" s="3"/>
      <c r="E21" s="3"/>
    </row>
    <row r="22" spans="1:5" x14ac:dyDescent="0.25">
      <c r="A22" s="3" t="s">
        <v>149</v>
      </c>
      <c r="B22" s="3" t="s">
        <v>150</v>
      </c>
      <c r="C22" s="3" t="s">
        <v>344</v>
      </c>
      <c r="D22" s="3"/>
      <c r="E22" s="3"/>
    </row>
    <row r="23" spans="1:5" x14ac:dyDescent="0.25">
      <c r="A23" s="3" t="s">
        <v>151</v>
      </c>
      <c r="B23" s="3" t="s">
        <v>152</v>
      </c>
      <c r="C23" s="3" t="s">
        <v>344</v>
      </c>
      <c r="D23" s="3"/>
      <c r="E23" s="3"/>
    </row>
    <row r="24" spans="1:5" x14ac:dyDescent="0.25">
      <c r="A24" s="3" t="s">
        <v>153</v>
      </c>
      <c r="B24" s="3" t="s">
        <v>154</v>
      </c>
      <c r="C24" s="3" t="s">
        <v>344</v>
      </c>
      <c r="D24" s="3"/>
      <c r="E24" s="3"/>
    </row>
    <row r="25" spans="1:5" x14ac:dyDescent="0.25">
      <c r="A25" s="3" t="s">
        <v>155</v>
      </c>
      <c r="B25" s="3" t="s">
        <v>138</v>
      </c>
      <c r="C25" s="3" t="s">
        <v>345</v>
      </c>
      <c r="D25" s="3" t="s">
        <v>156</v>
      </c>
      <c r="E25" s="6">
        <v>13750</v>
      </c>
    </row>
    <row r="26" spans="1:5" x14ac:dyDescent="0.25">
      <c r="A26" s="3" t="s">
        <v>137</v>
      </c>
      <c r="B26" s="3" t="s">
        <v>138</v>
      </c>
      <c r="C26" s="3" t="s">
        <v>345</v>
      </c>
      <c r="D26" s="3" t="s">
        <v>353</v>
      </c>
      <c r="E26" s="6">
        <v>20231</v>
      </c>
    </row>
    <row r="27" spans="1:5" x14ac:dyDescent="0.25">
      <c r="A27" s="3" t="s">
        <v>156</v>
      </c>
      <c r="B27" s="3" t="s">
        <v>156</v>
      </c>
      <c r="C27" s="3" t="s">
        <v>344</v>
      </c>
      <c r="D27" s="3"/>
      <c r="E27" s="3"/>
    </row>
    <row r="28" spans="1:5" x14ac:dyDescent="0.25">
      <c r="A28" s="3" t="s">
        <v>269</v>
      </c>
      <c r="B28" s="3" t="s">
        <v>270</v>
      </c>
      <c r="C28" s="3" t="s">
        <v>344</v>
      </c>
      <c r="D28" s="3"/>
      <c r="E28" s="3"/>
    </row>
    <row r="29" spans="1:5" x14ac:dyDescent="0.25">
      <c r="A29" s="3" t="s">
        <v>271</v>
      </c>
      <c r="B29" s="3" t="s">
        <v>272</v>
      </c>
      <c r="C29" s="3" t="s">
        <v>344</v>
      </c>
      <c r="D29" s="3"/>
      <c r="E29" s="3"/>
    </row>
    <row r="30" spans="1:5" x14ac:dyDescent="0.25">
      <c r="A30" s="3" t="s">
        <v>157</v>
      </c>
      <c r="B30" s="3" t="s">
        <v>158</v>
      </c>
      <c r="C30" s="3" t="s">
        <v>344</v>
      </c>
      <c r="D30" s="3"/>
      <c r="E30" s="3"/>
    </row>
    <row r="31" spans="1:5" x14ac:dyDescent="0.25">
      <c r="A31" s="3" t="s">
        <v>159</v>
      </c>
      <c r="B31" s="3" t="s">
        <v>14</v>
      </c>
      <c r="C31" s="3" t="s">
        <v>344</v>
      </c>
      <c r="D31" s="3"/>
      <c r="E31" s="3"/>
    </row>
    <row r="32" spans="1:5" x14ac:dyDescent="0.25">
      <c r="A32" s="3" t="s">
        <v>160</v>
      </c>
      <c r="B32" s="3" t="s">
        <v>14</v>
      </c>
      <c r="C32" s="3" t="s">
        <v>344</v>
      </c>
      <c r="D32" s="3"/>
      <c r="E32" s="3"/>
    </row>
    <row r="33" spans="1:5" x14ac:dyDescent="0.25">
      <c r="A33" s="3" t="s">
        <v>161</v>
      </c>
      <c r="B33" s="3" t="s">
        <v>162</v>
      </c>
      <c r="C33" s="3" t="s">
        <v>344</v>
      </c>
      <c r="D33" s="3"/>
      <c r="E33" s="3"/>
    </row>
    <row r="34" spans="1:5" x14ac:dyDescent="0.25">
      <c r="A34" s="3" t="s">
        <v>163</v>
      </c>
      <c r="B34" s="3" t="s">
        <v>164</v>
      </c>
      <c r="C34" s="3" t="s">
        <v>344</v>
      </c>
      <c r="D34" s="3"/>
      <c r="E34" s="3"/>
    </row>
    <row r="35" spans="1:5" x14ac:dyDescent="0.25">
      <c r="A35" s="3" t="s">
        <v>273</v>
      </c>
      <c r="B35" s="3" t="s">
        <v>166</v>
      </c>
      <c r="C35" s="3" t="s">
        <v>344</v>
      </c>
      <c r="D35" s="3"/>
      <c r="E35" s="3"/>
    </row>
    <row r="36" spans="1:5" x14ac:dyDescent="0.25">
      <c r="A36" s="3" t="s">
        <v>274</v>
      </c>
      <c r="B36" s="3" t="s">
        <v>275</v>
      </c>
      <c r="C36" s="3" t="s">
        <v>344</v>
      </c>
      <c r="D36" s="3"/>
      <c r="E36" s="3"/>
    </row>
    <row r="37" spans="1:5" x14ac:dyDescent="0.25">
      <c r="A37" s="3" t="s">
        <v>165</v>
      </c>
      <c r="B37" s="3" t="s">
        <v>166</v>
      </c>
      <c r="C37" s="3"/>
      <c r="D37" s="3" t="s">
        <v>351</v>
      </c>
      <c r="E37" s="3"/>
    </row>
    <row r="38" spans="1:5" x14ac:dyDescent="0.25">
      <c r="A38" s="3" t="s">
        <v>167</v>
      </c>
      <c r="B38" s="3" t="s">
        <v>14</v>
      </c>
      <c r="C38" s="3" t="s">
        <v>344</v>
      </c>
      <c r="D38" s="3"/>
      <c r="E38" s="3"/>
    </row>
    <row r="39" spans="1:5" x14ac:dyDescent="0.25">
      <c r="A39" s="3" t="s">
        <v>168</v>
      </c>
      <c r="B39" s="3" t="s">
        <v>14</v>
      </c>
      <c r="C39" s="3" t="s">
        <v>344</v>
      </c>
      <c r="D39" s="3"/>
      <c r="E39" s="3"/>
    </row>
    <row r="40" spans="1:5" x14ac:dyDescent="0.25">
      <c r="A40" s="3" t="s">
        <v>174</v>
      </c>
      <c r="B40" s="3" t="s">
        <v>174</v>
      </c>
      <c r="C40" s="3" t="s">
        <v>344</v>
      </c>
      <c r="D40" s="3"/>
      <c r="E40" s="3"/>
    </row>
    <row r="41" spans="1:5" x14ac:dyDescent="0.25">
      <c r="A41" s="3" t="s">
        <v>169</v>
      </c>
      <c r="B41" s="3" t="s">
        <v>170</v>
      </c>
      <c r="C41" s="3" t="s">
        <v>344</v>
      </c>
      <c r="D41" s="3"/>
      <c r="E41" s="3"/>
    </row>
    <row r="42" spans="1:5" x14ac:dyDescent="0.25">
      <c r="A42" s="3" t="s">
        <v>178</v>
      </c>
      <c r="B42" s="3" t="s">
        <v>179</v>
      </c>
      <c r="C42" s="3" t="s">
        <v>344</v>
      </c>
      <c r="D42" s="3"/>
      <c r="E42" s="3"/>
    </row>
    <row r="43" spans="1:5" x14ac:dyDescent="0.25">
      <c r="A43" s="3" t="s">
        <v>276</v>
      </c>
      <c r="B43" s="3" t="s">
        <v>277</v>
      </c>
      <c r="C43" s="3" t="s">
        <v>344</v>
      </c>
      <c r="D43" s="3"/>
      <c r="E43" s="3"/>
    </row>
    <row r="44" spans="1:5" x14ac:dyDescent="0.25">
      <c r="A44" s="3" t="s">
        <v>171</v>
      </c>
      <c r="B44" s="3" t="s">
        <v>172</v>
      </c>
      <c r="C44" s="3" t="s">
        <v>344</v>
      </c>
      <c r="D44" s="3"/>
      <c r="E44" s="3"/>
    </row>
    <row r="45" spans="1:5" x14ac:dyDescent="0.25">
      <c r="A45" s="3" t="s">
        <v>278</v>
      </c>
      <c r="B45" s="3" t="s">
        <v>279</v>
      </c>
      <c r="C45" s="3" t="s">
        <v>344</v>
      </c>
      <c r="D45" s="3"/>
      <c r="E45" s="3"/>
    </row>
    <row r="46" spans="1:5" x14ac:dyDescent="0.25">
      <c r="A46" s="3" t="s">
        <v>280</v>
      </c>
      <c r="B46" s="3" t="s">
        <v>281</v>
      </c>
      <c r="C46" s="3" t="s">
        <v>344</v>
      </c>
      <c r="D46" s="3"/>
      <c r="E46" s="3"/>
    </row>
    <row r="47" spans="1:5" x14ac:dyDescent="0.25">
      <c r="A47" s="3" t="s">
        <v>173</v>
      </c>
      <c r="B47" s="3" t="s">
        <v>14</v>
      </c>
      <c r="C47" s="3" t="s">
        <v>344</v>
      </c>
      <c r="D47" s="3"/>
      <c r="E47" s="3"/>
    </row>
    <row r="48" spans="1:5" x14ac:dyDescent="0.25">
      <c r="A48" s="3" t="s">
        <v>168</v>
      </c>
      <c r="B48" s="3" t="s">
        <v>14</v>
      </c>
      <c r="C48" s="3" t="s">
        <v>344</v>
      </c>
      <c r="D48" s="3"/>
      <c r="E48" s="3"/>
    </row>
    <row r="49" spans="1:5" x14ac:dyDescent="0.25">
      <c r="A49" s="3" t="s">
        <v>174</v>
      </c>
      <c r="B49" s="3" t="s">
        <v>174</v>
      </c>
      <c r="C49" s="3" t="s">
        <v>344</v>
      </c>
      <c r="D49" s="3"/>
      <c r="E49" s="3"/>
    </row>
    <row r="50" spans="1:5" x14ac:dyDescent="0.25">
      <c r="A50" s="3" t="s">
        <v>169</v>
      </c>
      <c r="B50" s="3" t="s">
        <v>170</v>
      </c>
      <c r="C50" s="3" t="s">
        <v>344</v>
      </c>
      <c r="D50" s="3"/>
      <c r="E50" s="3"/>
    </row>
    <row r="51" spans="1:5" x14ac:dyDescent="0.25">
      <c r="A51" s="3" t="s">
        <v>175</v>
      </c>
      <c r="B51" s="3" t="s">
        <v>175</v>
      </c>
      <c r="C51" s="3" t="s">
        <v>345</v>
      </c>
      <c r="D51" s="3" t="s">
        <v>14</v>
      </c>
      <c r="E51" s="3"/>
    </row>
    <row r="52" spans="1:5" x14ac:dyDescent="0.25">
      <c r="A52" s="3" t="s">
        <v>282</v>
      </c>
      <c r="B52" s="3" t="s">
        <v>175</v>
      </c>
      <c r="C52" s="3" t="s">
        <v>344</v>
      </c>
      <c r="D52" s="3"/>
      <c r="E52" s="3"/>
    </row>
    <row r="53" spans="1:5" x14ac:dyDescent="0.25">
      <c r="A53" s="3" t="s">
        <v>283</v>
      </c>
      <c r="B53" s="3" t="s">
        <v>175</v>
      </c>
      <c r="C53" s="3" t="s">
        <v>344</v>
      </c>
      <c r="D53" s="3"/>
      <c r="E53" s="3"/>
    </row>
    <row r="54" spans="1:5" x14ac:dyDescent="0.25">
      <c r="A54" s="3" t="s">
        <v>178</v>
      </c>
      <c r="B54" s="3" t="s">
        <v>179</v>
      </c>
      <c r="C54" s="3" t="s">
        <v>345</v>
      </c>
      <c r="D54" s="3" t="s">
        <v>354</v>
      </c>
      <c r="E54" s="6">
        <v>20214</v>
      </c>
    </row>
    <row r="55" spans="1:5" x14ac:dyDescent="0.25">
      <c r="A55" s="3" t="s">
        <v>155</v>
      </c>
      <c r="B55" s="3" t="s">
        <v>138</v>
      </c>
      <c r="C55" s="3" t="s">
        <v>345</v>
      </c>
      <c r="D55" s="3" t="s">
        <v>181</v>
      </c>
      <c r="E55" s="6">
        <v>26450</v>
      </c>
    </row>
    <row r="56" spans="1:5" x14ac:dyDescent="0.25">
      <c r="A56" s="3" t="s">
        <v>180</v>
      </c>
      <c r="B56" s="3" t="s">
        <v>181</v>
      </c>
      <c r="C56" s="3" t="s">
        <v>344</v>
      </c>
      <c r="D56" s="3"/>
      <c r="E56" s="3"/>
    </row>
    <row r="57" spans="1:5" x14ac:dyDescent="0.25">
      <c r="A57" s="3" t="s">
        <v>171</v>
      </c>
      <c r="B57" s="3" t="s">
        <v>172</v>
      </c>
      <c r="C57" s="3" t="s">
        <v>345</v>
      </c>
      <c r="D57" s="3" t="s">
        <v>355</v>
      </c>
      <c r="E57" s="6">
        <v>13767</v>
      </c>
    </row>
    <row r="58" spans="1:5" x14ac:dyDescent="0.25">
      <c r="A58" s="3" t="s">
        <v>182</v>
      </c>
      <c r="B58" s="3" t="s">
        <v>183</v>
      </c>
      <c r="C58" s="3" t="s">
        <v>344</v>
      </c>
      <c r="D58" s="3"/>
      <c r="E58" s="3"/>
    </row>
    <row r="59" spans="1:5" x14ac:dyDescent="0.25">
      <c r="A59" s="3" t="s">
        <v>284</v>
      </c>
      <c r="B59" s="3" t="s">
        <v>285</v>
      </c>
      <c r="C59" s="3" t="s">
        <v>344</v>
      </c>
      <c r="D59" s="3"/>
      <c r="E59" s="3"/>
    </row>
    <row r="60" spans="1:5" x14ac:dyDescent="0.25">
      <c r="A60" s="3" t="s">
        <v>286</v>
      </c>
      <c r="B60" s="3" t="s">
        <v>287</v>
      </c>
      <c r="C60" s="3" t="s">
        <v>344</v>
      </c>
      <c r="D60" s="3"/>
      <c r="E60" s="3"/>
    </row>
    <row r="61" spans="1:5" x14ac:dyDescent="0.25">
      <c r="A61" s="3" t="s">
        <v>184</v>
      </c>
      <c r="B61" s="3" t="s">
        <v>185</v>
      </c>
      <c r="C61" s="3" t="s">
        <v>344</v>
      </c>
      <c r="D61" s="3"/>
      <c r="E61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workbookViewId="0">
      <selection activeCell="A19" sqref="A19"/>
    </sheetView>
  </sheetViews>
  <sheetFormatPr defaultRowHeight="15" x14ac:dyDescent="0.25"/>
  <cols>
    <col min="1" max="1" width="65.140625" customWidth="1"/>
    <col min="2" max="2" width="49.85546875" customWidth="1"/>
    <col min="3" max="3" width="9.7109375" customWidth="1"/>
    <col min="4" max="4" width="46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341</v>
      </c>
      <c r="D1" s="2" t="s">
        <v>342</v>
      </c>
      <c r="E1" s="2" t="s">
        <v>343</v>
      </c>
      <c r="G1" s="3" t="s">
        <v>344</v>
      </c>
      <c r="H1" s="3">
        <f>COUNTIF(C:C,G1)</f>
        <v>41</v>
      </c>
    </row>
    <row r="2" spans="1:8" x14ac:dyDescent="0.25">
      <c r="A2" s="3" t="s">
        <v>186</v>
      </c>
      <c r="B2" s="3" t="s">
        <v>187</v>
      </c>
      <c r="C2" s="3" t="s">
        <v>344</v>
      </c>
      <c r="D2" s="3"/>
      <c r="E2" s="3"/>
      <c r="G2" s="3" t="s">
        <v>345</v>
      </c>
      <c r="H2" s="3">
        <f>COUNTIF(C:C,G2)</f>
        <v>5</v>
      </c>
    </row>
    <row r="3" spans="1:8" x14ac:dyDescent="0.25">
      <c r="A3" s="3" t="s">
        <v>188</v>
      </c>
      <c r="B3" s="3" t="s">
        <v>14</v>
      </c>
      <c r="C3" s="3" t="s">
        <v>344</v>
      </c>
      <c r="D3" s="3"/>
      <c r="E3" s="3"/>
      <c r="G3" s="3" t="s">
        <v>346</v>
      </c>
      <c r="H3" s="3">
        <f>H1/SUM(H1:H2)</f>
        <v>0.89130434782608692</v>
      </c>
    </row>
    <row r="4" spans="1:8" x14ac:dyDescent="0.25">
      <c r="A4" s="3" t="s">
        <v>23</v>
      </c>
      <c r="B4" s="3" t="s">
        <v>23</v>
      </c>
      <c r="C4" s="3" t="s">
        <v>344</v>
      </c>
      <c r="D4" s="3"/>
      <c r="E4" s="3"/>
    </row>
    <row r="5" spans="1:8" x14ac:dyDescent="0.25">
      <c r="A5" s="3" t="s">
        <v>189</v>
      </c>
      <c r="B5" s="3" t="s">
        <v>190</v>
      </c>
      <c r="C5" s="3" t="s">
        <v>344</v>
      </c>
      <c r="D5" s="3"/>
      <c r="E5" s="3"/>
    </row>
    <row r="6" spans="1:8" x14ac:dyDescent="0.25">
      <c r="A6" s="3" t="s">
        <v>191</v>
      </c>
      <c r="B6" s="3" t="s">
        <v>192</v>
      </c>
      <c r="C6" s="3" t="s">
        <v>344</v>
      </c>
      <c r="D6" s="3"/>
      <c r="E6" s="3"/>
    </row>
    <row r="7" spans="1:8" x14ac:dyDescent="0.25">
      <c r="A7" s="3" t="s">
        <v>193</v>
      </c>
      <c r="B7" s="3" t="s">
        <v>194</v>
      </c>
      <c r="C7" s="3" t="s">
        <v>344</v>
      </c>
      <c r="D7" s="3"/>
      <c r="E7" s="3"/>
    </row>
    <row r="8" spans="1:8" x14ac:dyDescent="0.25">
      <c r="A8" s="3" t="s">
        <v>195</v>
      </c>
      <c r="B8" s="3" t="s">
        <v>196</v>
      </c>
      <c r="C8" s="3" t="s">
        <v>345</v>
      </c>
      <c r="D8" s="3" t="s">
        <v>357</v>
      </c>
      <c r="E8" s="6">
        <v>30420</v>
      </c>
    </row>
    <row r="9" spans="1:8" x14ac:dyDescent="0.25">
      <c r="A9" s="3" t="s">
        <v>197</v>
      </c>
      <c r="B9" s="3" t="s">
        <v>198</v>
      </c>
      <c r="C9" s="3" t="s">
        <v>345</v>
      </c>
      <c r="D9" s="3" t="s">
        <v>357</v>
      </c>
      <c r="E9" s="6">
        <v>30420</v>
      </c>
    </row>
    <row r="10" spans="1:8" x14ac:dyDescent="0.25">
      <c r="A10" s="3" t="s">
        <v>199</v>
      </c>
      <c r="B10" s="3" t="s">
        <v>200</v>
      </c>
      <c r="C10" s="3" t="s">
        <v>344</v>
      </c>
      <c r="D10" s="3"/>
      <c r="E10" s="3"/>
    </row>
    <row r="11" spans="1:8" x14ac:dyDescent="0.25">
      <c r="A11" s="3" t="s">
        <v>201</v>
      </c>
      <c r="B11" s="3" t="s">
        <v>202</v>
      </c>
      <c r="C11" s="3" t="s">
        <v>344</v>
      </c>
      <c r="D11" s="3"/>
      <c r="E11" s="3"/>
    </row>
    <row r="12" spans="1:8" x14ac:dyDescent="0.25">
      <c r="A12" s="3" t="s">
        <v>22</v>
      </c>
      <c r="B12" s="3" t="s">
        <v>203</v>
      </c>
      <c r="C12" s="3" t="s">
        <v>344</v>
      </c>
      <c r="D12" s="3"/>
      <c r="E12" s="3"/>
    </row>
    <row r="13" spans="1:8" x14ac:dyDescent="0.25">
      <c r="A13" s="3" t="s">
        <v>204</v>
      </c>
      <c r="B13" s="3" t="s">
        <v>192</v>
      </c>
      <c r="C13" s="3" t="s">
        <v>345</v>
      </c>
      <c r="D13" s="3" t="s">
        <v>198</v>
      </c>
      <c r="E13" s="6">
        <v>17542</v>
      </c>
    </row>
    <row r="14" spans="1:8" x14ac:dyDescent="0.25">
      <c r="A14" s="3" t="s">
        <v>205</v>
      </c>
      <c r="B14" s="3" t="s">
        <v>206</v>
      </c>
      <c r="C14" s="3" t="s">
        <v>344</v>
      </c>
      <c r="D14" s="3"/>
      <c r="E14" s="3"/>
    </row>
    <row r="15" spans="1:8" x14ac:dyDescent="0.25">
      <c r="A15" s="3" t="s">
        <v>207</v>
      </c>
      <c r="B15" s="3" t="s">
        <v>208</v>
      </c>
      <c r="C15" s="3" t="s">
        <v>344</v>
      </c>
      <c r="D15" s="3"/>
      <c r="E15" s="3"/>
    </row>
    <row r="16" spans="1:8" x14ac:dyDescent="0.25">
      <c r="A16" s="3" t="s">
        <v>209</v>
      </c>
      <c r="B16" s="3" t="s">
        <v>14</v>
      </c>
      <c r="C16" s="3" t="s">
        <v>344</v>
      </c>
      <c r="D16" s="3"/>
      <c r="E16" s="3"/>
    </row>
    <row r="17" spans="1:5" x14ac:dyDescent="0.25">
      <c r="A17" s="3" t="s">
        <v>210</v>
      </c>
      <c r="B17" s="3" t="s">
        <v>171</v>
      </c>
      <c r="C17" s="3" t="s">
        <v>344</v>
      </c>
      <c r="D17" s="3"/>
      <c r="E17" s="3"/>
    </row>
    <row r="18" spans="1:5" x14ac:dyDescent="0.25">
      <c r="A18" s="3" t="s">
        <v>211</v>
      </c>
      <c r="B18" s="3" t="s">
        <v>212</v>
      </c>
      <c r="C18" s="3" t="s">
        <v>344</v>
      </c>
      <c r="D18" s="3"/>
      <c r="E18" s="3"/>
    </row>
    <row r="19" spans="1:5" x14ac:dyDescent="0.25">
      <c r="A19" s="3" t="s">
        <v>213</v>
      </c>
      <c r="B19" s="3" t="s">
        <v>214</v>
      </c>
      <c r="C19" s="3" t="s">
        <v>344</v>
      </c>
      <c r="D19" s="3"/>
      <c r="E19" s="3"/>
    </row>
    <row r="20" spans="1:5" x14ac:dyDescent="0.25">
      <c r="A20" s="3" t="s">
        <v>215</v>
      </c>
      <c r="B20" s="3" t="s">
        <v>216</v>
      </c>
      <c r="C20" s="3" t="s">
        <v>344</v>
      </c>
      <c r="D20" s="3"/>
      <c r="E20" s="3"/>
    </row>
    <row r="21" spans="1:5" x14ac:dyDescent="0.25">
      <c r="A21" s="3" t="s">
        <v>217</v>
      </c>
      <c r="B21" s="3" t="s">
        <v>218</v>
      </c>
      <c r="C21" s="3" t="s">
        <v>344</v>
      </c>
      <c r="D21" s="3"/>
      <c r="E21" s="3"/>
    </row>
    <row r="22" spans="1:5" x14ac:dyDescent="0.25">
      <c r="A22" s="3" t="s">
        <v>219</v>
      </c>
      <c r="B22" s="3" t="s">
        <v>218</v>
      </c>
      <c r="C22" s="3" t="s">
        <v>345</v>
      </c>
      <c r="D22" s="3" t="s">
        <v>358</v>
      </c>
      <c r="E22" s="6">
        <v>30451</v>
      </c>
    </row>
    <row r="23" spans="1:5" x14ac:dyDescent="0.25">
      <c r="A23" s="3" t="s">
        <v>220</v>
      </c>
      <c r="B23" s="3" t="s">
        <v>221</v>
      </c>
      <c r="C23" s="3" t="s">
        <v>344</v>
      </c>
      <c r="D23" s="3"/>
      <c r="E23" s="3"/>
    </row>
    <row r="24" spans="1:5" x14ac:dyDescent="0.25">
      <c r="A24" s="3" t="s">
        <v>222</v>
      </c>
      <c r="B24" s="3" t="s">
        <v>146</v>
      </c>
      <c r="C24" s="3" t="s">
        <v>344</v>
      </c>
      <c r="D24" s="3"/>
      <c r="E24" s="3"/>
    </row>
    <row r="25" spans="1:5" x14ac:dyDescent="0.25">
      <c r="A25" s="3" t="s">
        <v>223</v>
      </c>
      <c r="B25" s="3" t="s">
        <v>223</v>
      </c>
      <c r="C25" s="3" t="s">
        <v>344</v>
      </c>
      <c r="D25" s="3"/>
      <c r="E25" s="3"/>
    </row>
    <row r="26" spans="1:5" x14ac:dyDescent="0.25">
      <c r="A26" s="3" t="s">
        <v>224</v>
      </c>
      <c r="B26" s="3" t="s">
        <v>225</v>
      </c>
      <c r="C26" s="3" t="s">
        <v>344</v>
      </c>
      <c r="D26" s="3"/>
      <c r="E26" s="3"/>
    </row>
    <row r="27" spans="1:5" x14ac:dyDescent="0.25">
      <c r="A27" s="3" t="s">
        <v>226</v>
      </c>
      <c r="B27" s="3" t="s">
        <v>227</v>
      </c>
      <c r="C27" s="3" t="s">
        <v>344</v>
      </c>
      <c r="D27" s="3"/>
      <c r="E27" s="3"/>
    </row>
    <row r="28" spans="1:5" x14ac:dyDescent="0.25">
      <c r="A28" s="3" t="s">
        <v>228</v>
      </c>
      <c r="B28" s="3" t="s">
        <v>14</v>
      </c>
      <c r="C28" s="3" t="s">
        <v>344</v>
      </c>
      <c r="D28" s="3"/>
      <c r="E28" s="3"/>
    </row>
    <row r="29" spans="1:5" x14ac:dyDescent="0.25">
      <c r="A29" s="3" t="s">
        <v>229</v>
      </c>
      <c r="B29" s="3" t="s">
        <v>230</v>
      </c>
      <c r="C29" s="3" t="s">
        <v>344</v>
      </c>
      <c r="D29" s="3"/>
      <c r="E29" s="3"/>
    </row>
    <row r="30" spans="1:5" x14ac:dyDescent="0.25">
      <c r="A30" s="3" t="s">
        <v>231</v>
      </c>
      <c r="B30" s="3" t="s">
        <v>232</v>
      </c>
      <c r="C30" s="3" t="s">
        <v>344</v>
      </c>
      <c r="D30" s="3"/>
      <c r="E30" s="3"/>
    </row>
    <row r="31" spans="1:5" x14ac:dyDescent="0.25">
      <c r="A31" s="3" t="s">
        <v>233</v>
      </c>
      <c r="B31" s="3" t="s">
        <v>234</v>
      </c>
      <c r="C31" s="3" t="s">
        <v>344</v>
      </c>
      <c r="D31" s="3"/>
      <c r="E31" s="3"/>
    </row>
    <row r="32" spans="1:5" x14ac:dyDescent="0.25">
      <c r="A32" s="3" t="s">
        <v>235</v>
      </c>
      <c r="B32" s="3" t="s">
        <v>234</v>
      </c>
      <c r="C32" s="3" t="s">
        <v>344</v>
      </c>
      <c r="D32" s="3"/>
      <c r="E32" s="3"/>
    </row>
    <row r="33" spans="1:5" x14ac:dyDescent="0.25">
      <c r="A33" s="3" t="s">
        <v>236</v>
      </c>
      <c r="B33" s="3" t="s">
        <v>237</v>
      </c>
      <c r="C33" s="3" t="s">
        <v>345</v>
      </c>
      <c r="D33" s="3" t="s">
        <v>359</v>
      </c>
      <c r="E33" s="6">
        <v>30492</v>
      </c>
    </row>
    <row r="34" spans="1:5" x14ac:dyDescent="0.25">
      <c r="A34" s="3" t="s">
        <v>238</v>
      </c>
      <c r="B34" s="3" t="s">
        <v>239</v>
      </c>
      <c r="C34" s="3" t="s">
        <v>344</v>
      </c>
      <c r="D34" s="3"/>
      <c r="E34" s="3"/>
    </row>
    <row r="35" spans="1:5" x14ac:dyDescent="0.25">
      <c r="A35" s="3" t="s">
        <v>240</v>
      </c>
      <c r="B35" s="3" t="s">
        <v>241</v>
      </c>
      <c r="C35" s="3" t="s">
        <v>344</v>
      </c>
      <c r="D35" s="3"/>
      <c r="E35" s="3"/>
    </row>
    <row r="36" spans="1:5" x14ac:dyDescent="0.25">
      <c r="A36" s="3" t="s">
        <v>206</v>
      </c>
      <c r="B36" s="3" t="s">
        <v>206</v>
      </c>
      <c r="C36" s="3" t="s">
        <v>344</v>
      </c>
      <c r="D36" s="3"/>
      <c r="E36" s="3"/>
    </row>
    <row r="37" spans="1:5" x14ac:dyDescent="0.25">
      <c r="A37" s="3" t="s">
        <v>242</v>
      </c>
      <c r="B37" s="3" t="s">
        <v>243</v>
      </c>
      <c r="C37" s="3" t="s">
        <v>344</v>
      </c>
      <c r="D37" s="3"/>
      <c r="E37" s="3"/>
    </row>
    <row r="38" spans="1:5" x14ac:dyDescent="0.25">
      <c r="A38" s="3" t="s">
        <v>244</v>
      </c>
      <c r="B38" s="3" t="s">
        <v>14</v>
      </c>
      <c r="C38" s="3" t="s">
        <v>344</v>
      </c>
      <c r="D38" s="3"/>
      <c r="E38" s="3"/>
    </row>
    <row r="39" spans="1:5" x14ac:dyDescent="0.25">
      <c r="A39" s="3" t="s">
        <v>245</v>
      </c>
      <c r="B39" s="3" t="s">
        <v>246</v>
      </c>
      <c r="C39" s="3" t="s">
        <v>344</v>
      </c>
      <c r="D39" s="3"/>
      <c r="E39" s="3"/>
    </row>
    <row r="40" spans="1:5" x14ac:dyDescent="0.25">
      <c r="A40" s="3" t="s">
        <v>247</v>
      </c>
      <c r="B40" s="3" t="s">
        <v>248</v>
      </c>
      <c r="C40" s="3" t="s">
        <v>344</v>
      </c>
      <c r="D40" s="3"/>
      <c r="E40" s="3"/>
    </row>
    <row r="41" spans="1:5" x14ac:dyDescent="0.25">
      <c r="A41" s="3" t="s">
        <v>249</v>
      </c>
      <c r="B41" s="3" t="s">
        <v>250</v>
      </c>
      <c r="C41" s="3" t="s">
        <v>344</v>
      </c>
      <c r="D41" s="3"/>
      <c r="E41" s="3"/>
    </row>
    <row r="42" spans="1:5" x14ac:dyDescent="0.25">
      <c r="A42" s="3" t="s">
        <v>251</v>
      </c>
      <c r="B42" s="3" t="s">
        <v>252</v>
      </c>
      <c r="C42" s="3" t="s">
        <v>344</v>
      </c>
      <c r="D42" s="3"/>
      <c r="E42" s="3"/>
    </row>
    <row r="43" spans="1:5" x14ac:dyDescent="0.25">
      <c r="A43" s="3" t="s">
        <v>253</v>
      </c>
      <c r="B43" s="3" t="s">
        <v>254</v>
      </c>
      <c r="C43" s="3" t="s">
        <v>344</v>
      </c>
      <c r="D43" s="3"/>
      <c r="E43" s="3"/>
    </row>
    <row r="44" spans="1:5" x14ac:dyDescent="0.25">
      <c r="A44" s="3" t="s">
        <v>255</v>
      </c>
      <c r="B44" s="3" t="s">
        <v>256</v>
      </c>
      <c r="C44" s="3" t="s">
        <v>344</v>
      </c>
      <c r="D44" s="3"/>
      <c r="E44" s="3"/>
    </row>
    <row r="45" spans="1:5" x14ac:dyDescent="0.25">
      <c r="A45" s="3" t="s">
        <v>257</v>
      </c>
      <c r="B45" s="3" t="s">
        <v>258</v>
      </c>
      <c r="C45" s="3" t="s">
        <v>344</v>
      </c>
      <c r="D45" s="3"/>
      <c r="E45" s="3"/>
    </row>
    <row r="46" spans="1:5" x14ac:dyDescent="0.25">
      <c r="A46" s="3" t="s">
        <v>259</v>
      </c>
      <c r="B46" s="3" t="s">
        <v>260</v>
      </c>
      <c r="C46" s="3" t="s">
        <v>344</v>
      </c>
      <c r="D46" s="3"/>
      <c r="E46" s="3"/>
    </row>
    <row r="47" spans="1:5" x14ac:dyDescent="0.25">
      <c r="A47" s="3" t="s">
        <v>261</v>
      </c>
      <c r="B47" s="3" t="s">
        <v>262</v>
      </c>
      <c r="C47" s="3" t="s">
        <v>344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B62" sqref="B62"/>
    </sheetView>
  </sheetViews>
  <sheetFormatPr defaultRowHeight="15" x14ac:dyDescent="0.25"/>
  <cols>
    <col min="1" max="1" width="78.7109375" customWidth="1"/>
    <col min="2" max="2" width="62" customWidth="1"/>
    <col min="3" max="3" width="14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341</v>
      </c>
      <c r="D1" s="2" t="s">
        <v>342</v>
      </c>
      <c r="E1" s="2" t="s">
        <v>343</v>
      </c>
      <c r="G1" s="3" t="s">
        <v>344</v>
      </c>
      <c r="H1" s="3">
        <f>COUNTIF(C:C,G1)</f>
        <v>49</v>
      </c>
    </row>
    <row r="2" spans="1:8" x14ac:dyDescent="0.25">
      <c r="A2" s="3" t="s">
        <v>31</v>
      </c>
      <c r="B2" s="3" t="s">
        <v>187</v>
      </c>
      <c r="C2" s="3" t="s">
        <v>344</v>
      </c>
      <c r="D2" s="3"/>
      <c r="E2" s="3"/>
      <c r="G2" s="3" t="s">
        <v>345</v>
      </c>
      <c r="H2" s="3">
        <f>COUNTIF(C:C,G2)</f>
        <v>7</v>
      </c>
    </row>
    <row r="3" spans="1:8" x14ac:dyDescent="0.25">
      <c r="A3" s="3" t="s">
        <v>288</v>
      </c>
      <c r="B3" s="3" t="s">
        <v>14</v>
      </c>
      <c r="C3" s="3" t="s">
        <v>344</v>
      </c>
      <c r="D3" s="3"/>
      <c r="E3" s="3"/>
      <c r="G3" s="3" t="s">
        <v>346</v>
      </c>
      <c r="H3" s="3">
        <f>H1/SUM(H1:H2)</f>
        <v>0.875</v>
      </c>
    </row>
    <row r="4" spans="1:8" x14ac:dyDescent="0.25">
      <c r="A4" s="3" t="s">
        <v>289</v>
      </c>
      <c r="B4" s="3" t="s">
        <v>23</v>
      </c>
      <c r="C4" s="3" t="s">
        <v>344</v>
      </c>
      <c r="D4" s="3"/>
      <c r="E4" s="3"/>
    </row>
    <row r="5" spans="1:8" x14ac:dyDescent="0.25">
      <c r="A5" s="3" t="s">
        <v>290</v>
      </c>
      <c r="B5" s="3" t="s">
        <v>14</v>
      </c>
      <c r="C5" s="3" t="s">
        <v>345</v>
      </c>
      <c r="D5" s="3" t="s">
        <v>198</v>
      </c>
      <c r="E5" s="6">
        <v>17542</v>
      </c>
    </row>
    <row r="6" spans="1:8" x14ac:dyDescent="0.25">
      <c r="A6" s="3" t="s">
        <v>189</v>
      </c>
      <c r="B6" s="3" t="s">
        <v>190</v>
      </c>
      <c r="C6" s="3" t="s">
        <v>344</v>
      </c>
      <c r="D6" s="3"/>
      <c r="E6" s="3"/>
    </row>
    <row r="7" spans="1:8" x14ac:dyDescent="0.25">
      <c r="A7" s="3" t="s">
        <v>291</v>
      </c>
      <c r="B7" s="3" t="s">
        <v>192</v>
      </c>
      <c r="C7" s="3" t="s">
        <v>344</v>
      </c>
      <c r="D7" s="3"/>
      <c r="E7" s="3"/>
    </row>
    <row r="8" spans="1:8" x14ac:dyDescent="0.25">
      <c r="A8" s="3" t="s">
        <v>292</v>
      </c>
      <c r="B8" s="3" t="s">
        <v>194</v>
      </c>
      <c r="C8" s="3" t="s">
        <v>344</v>
      </c>
      <c r="D8" s="3"/>
      <c r="E8" s="3"/>
    </row>
    <row r="9" spans="1:8" x14ac:dyDescent="0.25">
      <c r="A9" s="3" t="s">
        <v>293</v>
      </c>
      <c r="B9" s="3" t="s">
        <v>196</v>
      </c>
      <c r="C9" s="3" t="s">
        <v>345</v>
      </c>
      <c r="D9" s="3" t="s">
        <v>357</v>
      </c>
      <c r="E9" s="6">
        <v>30420</v>
      </c>
    </row>
    <row r="10" spans="1:8" x14ac:dyDescent="0.25">
      <c r="A10" s="3" t="s">
        <v>294</v>
      </c>
      <c r="B10" s="3" t="s">
        <v>200</v>
      </c>
      <c r="C10" s="3" t="s">
        <v>344</v>
      </c>
      <c r="D10" s="3"/>
      <c r="E10" s="3"/>
    </row>
    <row r="11" spans="1:8" x14ac:dyDescent="0.25">
      <c r="A11" s="3" t="s">
        <v>201</v>
      </c>
      <c r="B11" s="3" t="s">
        <v>202</v>
      </c>
      <c r="C11" s="3" t="s">
        <v>344</v>
      </c>
      <c r="D11" s="3"/>
      <c r="E11" s="3"/>
    </row>
    <row r="12" spans="1:8" x14ac:dyDescent="0.25">
      <c r="A12" s="3" t="s">
        <v>205</v>
      </c>
      <c r="B12" s="3" t="s">
        <v>206</v>
      </c>
      <c r="C12" s="3" t="s">
        <v>344</v>
      </c>
      <c r="D12" s="3"/>
      <c r="E12" s="3"/>
    </row>
    <row r="13" spans="1:8" x14ac:dyDescent="0.25">
      <c r="A13" s="3" t="s">
        <v>22</v>
      </c>
      <c r="B13" s="3" t="s">
        <v>203</v>
      </c>
      <c r="C13" s="3" t="s">
        <v>344</v>
      </c>
      <c r="D13" s="3"/>
      <c r="E13" s="3"/>
    </row>
    <row r="14" spans="1:8" x14ac:dyDescent="0.25">
      <c r="A14" s="3" t="s">
        <v>295</v>
      </c>
      <c r="B14" s="3" t="s">
        <v>296</v>
      </c>
      <c r="C14" s="3" t="s">
        <v>344</v>
      </c>
      <c r="D14" s="3"/>
      <c r="E14" s="3"/>
    </row>
    <row r="15" spans="1:8" x14ac:dyDescent="0.25">
      <c r="A15" s="3" t="s">
        <v>57</v>
      </c>
      <c r="B15" s="3" t="s">
        <v>297</v>
      </c>
      <c r="C15" s="3" t="s">
        <v>344</v>
      </c>
      <c r="D15" s="3"/>
      <c r="E15" s="3"/>
    </row>
    <row r="16" spans="1:8" x14ac:dyDescent="0.25">
      <c r="A16" s="3" t="s">
        <v>298</v>
      </c>
      <c r="B16" s="3" t="s">
        <v>237</v>
      </c>
      <c r="C16" s="3" t="s">
        <v>344</v>
      </c>
      <c r="D16" s="3"/>
      <c r="E16" s="3"/>
    </row>
    <row r="17" spans="1:5" x14ac:dyDescent="0.25">
      <c r="A17" s="3" t="s">
        <v>299</v>
      </c>
      <c r="B17" s="3" t="s">
        <v>198</v>
      </c>
      <c r="C17" s="3" t="s">
        <v>344</v>
      </c>
      <c r="D17" s="3"/>
      <c r="E17" s="3"/>
    </row>
    <row r="18" spans="1:5" x14ac:dyDescent="0.25">
      <c r="A18" s="3" t="s">
        <v>207</v>
      </c>
      <c r="B18" s="3" t="s">
        <v>208</v>
      </c>
      <c r="C18" s="3" t="s">
        <v>344</v>
      </c>
      <c r="D18" s="3"/>
      <c r="E18" s="3"/>
    </row>
    <row r="19" spans="1:5" x14ac:dyDescent="0.25">
      <c r="A19" s="3" t="s">
        <v>209</v>
      </c>
      <c r="B19" s="3" t="s">
        <v>14</v>
      </c>
      <c r="C19" s="3" t="s">
        <v>344</v>
      </c>
      <c r="D19" s="3"/>
      <c r="E19" s="3"/>
    </row>
    <row r="20" spans="1:5" x14ac:dyDescent="0.25">
      <c r="A20" s="3" t="s">
        <v>300</v>
      </c>
      <c r="B20" s="3" t="s">
        <v>301</v>
      </c>
      <c r="C20" s="3" t="s">
        <v>345</v>
      </c>
      <c r="D20" s="3" t="s">
        <v>171</v>
      </c>
      <c r="E20" s="6">
        <v>30627</v>
      </c>
    </row>
    <row r="21" spans="1:5" x14ac:dyDescent="0.25">
      <c r="A21" s="3" t="s">
        <v>302</v>
      </c>
      <c r="B21" s="3" t="s">
        <v>212</v>
      </c>
      <c r="C21" s="3" t="s">
        <v>344</v>
      </c>
      <c r="D21" s="3"/>
      <c r="E21" s="3"/>
    </row>
    <row r="22" spans="1:5" x14ac:dyDescent="0.25">
      <c r="A22" s="3" t="s">
        <v>303</v>
      </c>
      <c r="B22" s="3" t="s">
        <v>216</v>
      </c>
      <c r="C22" s="3" t="s">
        <v>344</v>
      </c>
      <c r="D22" s="3"/>
      <c r="E22" s="3"/>
    </row>
    <row r="23" spans="1:5" x14ac:dyDescent="0.25">
      <c r="A23" s="3" t="s">
        <v>304</v>
      </c>
      <c r="B23" s="3" t="s">
        <v>305</v>
      </c>
      <c r="C23" s="3" t="s">
        <v>344</v>
      </c>
      <c r="D23" s="3"/>
      <c r="E23" s="3"/>
    </row>
    <row r="24" spans="1:5" x14ac:dyDescent="0.25">
      <c r="A24" s="3" t="s">
        <v>220</v>
      </c>
      <c r="B24" s="3" t="s">
        <v>221</v>
      </c>
      <c r="C24" s="3" t="s">
        <v>344</v>
      </c>
      <c r="D24" s="3"/>
      <c r="E24" s="3"/>
    </row>
    <row r="25" spans="1:5" x14ac:dyDescent="0.25">
      <c r="A25" s="3" t="s">
        <v>222</v>
      </c>
      <c r="B25" s="3" t="s">
        <v>146</v>
      </c>
      <c r="C25" s="3" t="s">
        <v>344</v>
      </c>
      <c r="D25" s="3"/>
      <c r="E25" s="3"/>
    </row>
    <row r="26" spans="1:5" x14ac:dyDescent="0.25">
      <c r="A26" s="3" t="s">
        <v>223</v>
      </c>
      <c r="B26" s="3" t="s">
        <v>223</v>
      </c>
      <c r="C26" s="3" t="s">
        <v>344</v>
      </c>
      <c r="D26" s="3"/>
      <c r="E26" s="3"/>
    </row>
    <row r="27" spans="1:5" x14ac:dyDescent="0.25">
      <c r="A27" s="3" t="s">
        <v>306</v>
      </c>
      <c r="B27" s="3" t="s">
        <v>225</v>
      </c>
      <c r="C27" s="3" t="s">
        <v>344</v>
      </c>
      <c r="D27" s="3"/>
      <c r="E27" s="3"/>
    </row>
    <row r="28" spans="1:5" x14ac:dyDescent="0.25">
      <c r="A28" s="3" t="s">
        <v>307</v>
      </c>
      <c r="B28" s="3" t="s">
        <v>227</v>
      </c>
      <c r="C28" s="3"/>
      <c r="D28" s="3" t="s">
        <v>351</v>
      </c>
      <c r="E28" s="6"/>
    </row>
    <row r="29" spans="1:5" x14ac:dyDescent="0.25">
      <c r="A29" s="3" t="s">
        <v>226</v>
      </c>
      <c r="B29" s="3" t="s">
        <v>227</v>
      </c>
      <c r="C29" s="3" t="s">
        <v>344</v>
      </c>
      <c r="D29" s="3"/>
      <c r="E29" s="3"/>
    </row>
    <row r="30" spans="1:5" x14ac:dyDescent="0.25">
      <c r="A30" s="3" t="s">
        <v>228</v>
      </c>
      <c r="B30" s="3" t="s">
        <v>14</v>
      </c>
      <c r="C30" s="3" t="s">
        <v>344</v>
      </c>
      <c r="D30" s="3"/>
      <c r="E30" s="3"/>
    </row>
    <row r="31" spans="1:5" x14ac:dyDescent="0.25">
      <c r="A31" s="3" t="s">
        <v>308</v>
      </c>
      <c r="B31" s="3" t="s">
        <v>230</v>
      </c>
      <c r="C31" s="3" t="s">
        <v>344</v>
      </c>
      <c r="D31" s="3"/>
      <c r="E31" s="3"/>
    </row>
    <row r="32" spans="1:5" x14ac:dyDescent="0.25">
      <c r="A32" s="3" t="s">
        <v>231</v>
      </c>
      <c r="B32" s="3" t="s">
        <v>232</v>
      </c>
      <c r="C32" s="3" t="s">
        <v>344</v>
      </c>
      <c r="D32" s="3"/>
      <c r="E32" s="3"/>
    </row>
    <row r="33" spans="1:5" x14ac:dyDescent="0.25">
      <c r="A33" s="3" t="s">
        <v>309</v>
      </c>
      <c r="B33" s="3" t="s">
        <v>234</v>
      </c>
      <c r="C33" s="3" t="s">
        <v>344</v>
      </c>
      <c r="D33" s="3"/>
      <c r="E33" s="3"/>
    </row>
    <row r="34" spans="1:5" x14ac:dyDescent="0.25">
      <c r="A34" s="3" t="s">
        <v>310</v>
      </c>
      <c r="B34" s="3" t="s">
        <v>311</v>
      </c>
      <c r="C34" s="3" t="s">
        <v>345</v>
      </c>
      <c r="D34" s="3" t="s">
        <v>359</v>
      </c>
      <c r="E34" s="6">
        <v>30492</v>
      </c>
    </row>
    <row r="35" spans="1:5" x14ac:dyDescent="0.25">
      <c r="A35" s="3" t="s">
        <v>312</v>
      </c>
      <c r="B35" s="3" t="s">
        <v>313</v>
      </c>
      <c r="C35" s="3" t="s">
        <v>344</v>
      </c>
      <c r="D35" s="3"/>
      <c r="E35" s="3"/>
    </row>
    <row r="36" spans="1:5" x14ac:dyDescent="0.25">
      <c r="A36" s="3" t="s">
        <v>235</v>
      </c>
      <c r="B36" s="3" t="s">
        <v>234</v>
      </c>
      <c r="C36" s="3" t="s">
        <v>344</v>
      </c>
      <c r="D36" s="3"/>
      <c r="E36" s="3"/>
    </row>
    <row r="37" spans="1:5" x14ac:dyDescent="0.25">
      <c r="A37" s="3" t="s">
        <v>314</v>
      </c>
      <c r="B37" s="3" t="s">
        <v>239</v>
      </c>
      <c r="C37" s="3" t="s">
        <v>344</v>
      </c>
      <c r="D37" s="3"/>
      <c r="E37" s="3"/>
    </row>
    <row r="38" spans="1:5" x14ac:dyDescent="0.25">
      <c r="A38" s="3" t="s">
        <v>315</v>
      </c>
      <c r="B38" s="3" t="s">
        <v>316</v>
      </c>
      <c r="C38" s="3" t="s">
        <v>344</v>
      </c>
      <c r="D38" s="3"/>
      <c r="E38" s="3"/>
    </row>
    <row r="39" spans="1:5" x14ac:dyDescent="0.25">
      <c r="A39" s="3" t="s">
        <v>317</v>
      </c>
      <c r="B39" s="3" t="s">
        <v>200</v>
      </c>
      <c r="C39" s="3" t="s">
        <v>344</v>
      </c>
      <c r="D39" s="3"/>
      <c r="E39" s="3"/>
    </row>
    <row r="40" spans="1:5" x14ac:dyDescent="0.25">
      <c r="A40" s="3" t="s">
        <v>240</v>
      </c>
      <c r="B40" s="3" t="s">
        <v>241</v>
      </c>
      <c r="C40" s="3" t="s">
        <v>344</v>
      </c>
      <c r="D40" s="3"/>
      <c r="E40" s="3"/>
    </row>
    <row r="41" spans="1:5" x14ac:dyDescent="0.25">
      <c r="A41" s="3" t="s">
        <v>318</v>
      </c>
      <c r="B41" s="3" t="s">
        <v>243</v>
      </c>
      <c r="C41" s="3"/>
      <c r="D41" s="3" t="s">
        <v>351</v>
      </c>
      <c r="E41" s="6"/>
    </row>
    <row r="42" spans="1:5" x14ac:dyDescent="0.25">
      <c r="A42" s="3" t="s">
        <v>319</v>
      </c>
      <c r="B42" s="3" t="s">
        <v>206</v>
      </c>
      <c r="C42" s="3" t="s">
        <v>344</v>
      </c>
      <c r="D42" s="3"/>
      <c r="E42" s="3"/>
    </row>
    <row r="43" spans="1:5" x14ac:dyDescent="0.25">
      <c r="A43" s="3" t="s">
        <v>320</v>
      </c>
      <c r="B43" s="3" t="s">
        <v>243</v>
      </c>
      <c r="C43" s="3" t="s">
        <v>344</v>
      </c>
      <c r="D43" s="3"/>
      <c r="E43" s="3"/>
    </row>
    <row r="44" spans="1:5" x14ac:dyDescent="0.25">
      <c r="A44" s="3" t="s">
        <v>244</v>
      </c>
      <c r="B44" s="3" t="s">
        <v>14</v>
      </c>
      <c r="C44" s="3" t="s">
        <v>344</v>
      </c>
      <c r="D44" s="3"/>
      <c r="E44" s="3"/>
    </row>
    <row r="45" spans="1:5" x14ac:dyDescent="0.25">
      <c r="A45" s="3" t="s">
        <v>321</v>
      </c>
      <c r="B45" s="3" t="s">
        <v>322</v>
      </c>
      <c r="C45" s="3" t="s">
        <v>344</v>
      </c>
      <c r="D45" s="3"/>
      <c r="E45" s="3"/>
    </row>
    <row r="46" spans="1:5" x14ac:dyDescent="0.25">
      <c r="A46" s="3" t="s">
        <v>323</v>
      </c>
      <c r="B46" s="3" t="s">
        <v>246</v>
      </c>
      <c r="C46" s="3" t="s">
        <v>344</v>
      </c>
      <c r="D46" s="3"/>
      <c r="E46" s="3"/>
    </row>
    <row r="47" spans="1:5" x14ac:dyDescent="0.25">
      <c r="A47" s="3" t="s">
        <v>324</v>
      </c>
      <c r="B47" s="3" t="s">
        <v>246</v>
      </c>
      <c r="C47" s="3" t="s">
        <v>345</v>
      </c>
      <c r="D47" s="3" t="s">
        <v>322</v>
      </c>
      <c r="E47" s="6">
        <v>17543</v>
      </c>
    </row>
    <row r="48" spans="1:5" x14ac:dyDescent="0.25">
      <c r="A48" s="3" t="s">
        <v>325</v>
      </c>
      <c r="B48" s="3" t="s">
        <v>326</v>
      </c>
      <c r="C48" s="3" t="s">
        <v>344</v>
      </c>
      <c r="D48" s="3"/>
      <c r="E48" s="3"/>
    </row>
    <row r="49" spans="1:5" x14ac:dyDescent="0.25">
      <c r="A49" s="3" t="s">
        <v>327</v>
      </c>
      <c r="B49" s="3" t="s">
        <v>328</v>
      </c>
      <c r="C49" s="3" t="s">
        <v>344</v>
      </c>
      <c r="D49" s="3"/>
      <c r="E49" s="3"/>
    </row>
    <row r="50" spans="1:5" x14ac:dyDescent="0.25">
      <c r="A50" s="3" t="s">
        <v>329</v>
      </c>
      <c r="B50" s="3" t="s">
        <v>248</v>
      </c>
      <c r="C50" s="3" t="s">
        <v>344</v>
      </c>
      <c r="D50" s="3"/>
      <c r="E50" s="3"/>
    </row>
    <row r="51" spans="1:5" x14ac:dyDescent="0.25">
      <c r="A51" s="3" t="s">
        <v>330</v>
      </c>
      <c r="B51" s="3" t="s">
        <v>246</v>
      </c>
      <c r="C51" s="3" t="s">
        <v>345</v>
      </c>
      <c r="D51" s="3" t="s">
        <v>361</v>
      </c>
      <c r="E51" s="6">
        <v>30620</v>
      </c>
    </row>
    <row r="52" spans="1:5" x14ac:dyDescent="0.25">
      <c r="A52" s="3" t="s">
        <v>331</v>
      </c>
      <c r="B52" s="3" t="s">
        <v>250</v>
      </c>
      <c r="C52" s="3" t="s">
        <v>344</v>
      </c>
      <c r="D52" s="3"/>
      <c r="E52" s="3"/>
    </row>
    <row r="53" spans="1:5" x14ac:dyDescent="0.25">
      <c r="A53" s="3" t="s">
        <v>251</v>
      </c>
      <c r="B53" s="3" t="s">
        <v>252</v>
      </c>
      <c r="C53" s="3" t="s">
        <v>344</v>
      </c>
      <c r="D53" s="3"/>
      <c r="E53" s="3"/>
    </row>
    <row r="54" spans="1:5" x14ac:dyDescent="0.25">
      <c r="A54" s="3" t="s">
        <v>253</v>
      </c>
      <c r="B54" s="3" t="s">
        <v>254</v>
      </c>
      <c r="C54" s="3" t="s">
        <v>344</v>
      </c>
      <c r="D54" s="3"/>
      <c r="E54" s="3"/>
    </row>
    <row r="55" spans="1:5" x14ac:dyDescent="0.25">
      <c r="A55" s="3" t="s">
        <v>332</v>
      </c>
      <c r="B55" s="3" t="s">
        <v>246</v>
      </c>
      <c r="C55" s="3" t="s">
        <v>345</v>
      </c>
      <c r="D55" s="3" t="s">
        <v>322</v>
      </c>
      <c r="E55" s="6">
        <v>17543</v>
      </c>
    </row>
    <row r="56" spans="1:5" x14ac:dyDescent="0.25">
      <c r="A56" s="3" t="s">
        <v>333</v>
      </c>
      <c r="B56" s="3" t="s">
        <v>256</v>
      </c>
      <c r="C56" s="3"/>
      <c r="D56" s="3" t="s">
        <v>351</v>
      </c>
      <c r="E56" s="6"/>
    </row>
    <row r="57" spans="1:5" x14ac:dyDescent="0.25">
      <c r="A57" s="3" t="s">
        <v>334</v>
      </c>
      <c r="B57" s="3" t="s">
        <v>256</v>
      </c>
      <c r="C57" s="3" t="s">
        <v>344</v>
      </c>
      <c r="D57" s="3"/>
      <c r="E57" s="3"/>
    </row>
    <row r="58" spans="1:5" x14ac:dyDescent="0.25">
      <c r="A58" s="3" t="s">
        <v>258</v>
      </c>
      <c r="B58" s="3" t="s">
        <v>335</v>
      </c>
      <c r="C58" s="3" t="s">
        <v>344</v>
      </c>
      <c r="D58" s="3"/>
      <c r="E58" s="3"/>
    </row>
    <row r="59" spans="1:5" x14ac:dyDescent="0.25">
      <c r="A59" s="3" t="s">
        <v>260</v>
      </c>
      <c r="B59" s="3" t="s">
        <v>260</v>
      </c>
      <c r="C59" s="3" t="s">
        <v>344</v>
      </c>
      <c r="D59" s="3"/>
      <c r="E59" s="3"/>
    </row>
    <row r="60" spans="1:5" x14ac:dyDescent="0.25">
      <c r="A60" s="3" t="s">
        <v>336</v>
      </c>
      <c r="B60" s="3" t="s">
        <v>262</v>
      </c>
      <c r="C60" s="3" t="s">
        <v>344</v>
      </c>
      <c r="D60" s="3"/>
      <c r="E60" s="3"/>
    </row>
    <row r="61" spans="1:5" x14ac:dyDescent="0.25">
      <c r="A61" s="3" t="s">
        <v>337</v>
      </c>
      <c r="B61" s="3" t="s">
        <v>14</v>
      </c>
      <c r="C61" s="3"/>
      <c r="D61" s="3" t="s">
        <v>351</v>
      </c>
      <c r="E61" s="3"/>
    </row>
    <row r="62" spans="1:5" x14ac:dyDescent="0.25">
      <c r="A62" s="3" t="s">
        <v>338</v>
      </c>
      <c r="B62" s="3" t="s">
        <v>14</v>
      </c>
      <c r="C62" s="3"/>
      <c r="D62" s="3" t="s">
        <v>351</v>
      </c>
      <c r="E62" s="3"/>
    </row>
    <row r="63" spans="1:5" x14ac:dyDescent="0.25">
      <c r="A63" s="3" t="s">
        <v>339</v>
      </c>
      <c r="B63" s="3" t="s">
        <v>340</v>
      </c>
      <c r="C63" s="3"/>
      <c r="D63" s="3" t="s">
        <v>351</v>
      </c>
      <c r="E63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5" t="s">
        <v>347</v>
      </c>
    </row>
    <row r="2" spans="1:3" x14ac:dyDescent="0.25">
      <c r="A2" t="s">
        <v>90</v>
      </c>
      <c r="B2" t="s">
        <v>14</v>
      </c>
    </row>
    <row r="3" spans="1:3" x14ac:dyDescent="0.25">
      <c r="A3" t="s">
        <v>91</v>
      </c>
      <c r="B3" t="s">
        <v>14</v>
      </c>
    </row>
    <row r="4" spans="1:3" x14ac:dyDescent="0.25">
      <c r="A4" t="s">
        <v>92</v>
      </c>
      <c r="B4" t="s">
        <v>93</v>
      </c>
    </row>
    <row r="5" spans="1:3" x14ac:dyDescent="0.25">
      <c r="A5" t="s">
        <v>101</v>
      </c>
      <c r="B5" t="s">
        <v>3</v>
      </c>
    </row>
    <row r="6" spans="1:3" x14ac:dyDescent="0.25">
      <c r="A6" t="s">
        <v>102</v>
      </c>
      <c r="B6" t="s">
        <v>14</v>
      </c>
    </row>
    <row r="7" spans="1:3" x14ac:dyDescent="0.25">
      <c r="A7" t="s">
        <v>36</v>
      </c>
      <c r="B7" t="s">
        <v>14</v>
      </c>
    </row>
    <row r="8" spans="1:3" x14ac:dyDescent="0.25">
      <c r="A8" t="s">
        <v>103</v>
      </c>
      <c r="B8" t="s">
        <v>14</v>
      </c>
    </row>
    <row r="9" spans="1:3" x14ac:dyDescent="0.25">
      <c r="A9" t="s">
        <v>6</v>
      </c>
      <c r="B9" t="s">
        <v>7</v>
      </c>
    </row>
    <row r="10" spans="1:3" x14ac:dyDescent="0.25">
      <c r="A10" t="s">
        <v>104</v>
      </c>
      <c r="B10" t="s">
        <v>14</v>
      </c>
    </row>
    <row r="11" spans="1:3" x14ac:dyDescent="0.25">
      <c r="A11" t="s">
        <v>90</v>
      </c>
      <c r="B11" t="s">
        <v>14</v>
      </c>
    </row>
    <row r="12" spans="1:3" x14ac:dyDescent="0.25">
      <c r="A12" t="s">
        <v>91</v>
      </c>
      <c r="B12" t="s">
        <v>14</v>
      </c>
    </row>
    <row r="13" spans="1:3" x14ac:dyDescent="0.25">
      <c r="A13" t="s">
        <v>92</v>
      </c>
      <c r="B13" t="s">
        <v>93</v>
      </c>
    </row>
    <row r="14" spans="1:3" x14ac:dyDescent="0.25">
      <c r="A14" t="s">
        <v>101</v>
      </c>
      <c r="B14" t="s">
        <v>3</v>
      </c>
    </row>
    <row r="15" spans="1:3" x14ac:dyDescent="0.25">
      <c r="A15" t="s">
        <v>36</v>
      </c>
      <c r="B15" t="s">
        <v>14</v>
      </c>
    </row>
    <row r="16" spans="1:3" x14ac:dyDescent="0.25">
      <c r="A16" t="s">
        <v>22</v>
      </c>
      <c r="B16" t="s">
        <v>22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10</v>
      </c>
      <c r="B18" t="s">
        <v>11</v>
      </c>
    </row>
    <row r="19" spans="1:2" x14ac:dyDescent="0.25">
      <c r="A19" t="s">
        <v>108</v>
      </c>
      <c r="B19" t="s">
        <v>11</v>
      </c>
    </row>
    <row r="20" spans="1:2" x14ac:dyDescent="0.25">
      <c r="A20" t="s">
        <v>109</v>
      </c>
      <c r="B20" t="s">
        <v>32</v>
      </c>
    </row>
    <row r="21" spans="1:2" x14ac:dyDescent="0.25">
      <c r="A21" t="s">
        <v>110</v>
      </c>
      <c r="B21" t="s">
        <v>14</v>
      </c>
    </row>
    <row r="22" spans="1:2" x14ac:dyDescent="0.25">
      <c r="A22" t="s">
        <v>90</v>
      </c>
      <c r="B22" t="s">
        <v>14</v>
      </c>
    </row>
    <row r="23" spans="1:2" x14ac:dyDescent="0.25">
      <c r="A23" t="s">
        <v>91</v>
      </c>
      <c r="B23" t="s">
        <v>14</v>
      </c>
    </row>
    <row r="24" spans="1:2" x14ac:dyDescent="0.25">
      <c r="A24" t="s">
        <v>92</v>
      </c>
      <c r="B24" t="s">
        <v>93</v>
      </c>
    </row>
    <row r="25" spans="1:2" x14ac:dyDescent="0.25">
      <c r="A25" t="s">
        <v>101</v>
      </c>
      <c r="B25" t="s">
        <v>3</v>
      </c>
    </row>
    <row r="26" spans="1:2" x14ac:dyDescent="0.25">
      <c r="A26" t="s">
        <v>112</v>
      </c>
      <c r="B26" t="s">
        <v>53</v>
      </c>
    </row>
    <row r="27" spans="1:2" x14ac:dyDescent="0.25">
      <c r="A27" t="s">
        <v>113</v>
      </c>
      <c r="B27" t="s">
        <v>33</v>
      </c>
    </row>
    <row r="28" spans="1:2" x14ac:dyDescent="0.25">
      <c r="A28" t="s">
        <v>36</v>
      </c>
      <c r="B28" t="s">
        <v>14</v>
      </c>
    </row>
    <row r="29" spans="1:2" x14ac:dyDescent="0.25">
      <c r="A29" t="s">
        <v>114</v>
      </c>
      <c r="B29" t="s">
        <v>14</v>
      </c>
    </row>
    <row r="30" spans="1:2" x14ac:dyDescent="0.25">
      <c r="A30" t="s">
        <v>90</v>
      </c>
      <c r="B30" t="s">
        <v>14</v>
      </c>
    </row>
    <row r="31" spans="1:2" x14ac:dyDescent="0.25">
      <c r="A31" t="s">
        <v>91</v>
      </c>
      <c r="B31" t="s">
        <v>14</v>
      </c>
    </row>
    <row r="32" spans="1:2" x14ac:dyDescent="0.25">
      <c r="A32" t="s">
        <v>92</v>
      </c>
      <c r="B32" t="s">
        <v>93</v>
      </c>
    </row>
    <row r="33" spans="1:2" x14ac:dyDescent="0.25">
      <c r="A33" t="s">
        <v>101</v>
      </c>
      <c r="B33" t="s">
        <v>3</v>
      </c>
    </row>
    <row r="34" spans="1:2" x14ac:dyDescent="0.25">
      <c r="A34" t="s">
        <v>116</v>
      </c>
      <c r="B34" t="s">
        <v>14</v>
      </c>
    </row>
    <row r="35" spans="1:2" x14ac:dyDescent="0.25">
      <c r="A35" t="s">
        <v>117</v>
      </c>
      <c r="B35" t="s">
        <v>14</v>
      </c>
    </row>
    <row r="36" spans="1:2" x14ac:dyDescent="0.25">
      <c r="A36" t="s">
        <v>36</v>
      </c>
      <c r="B36" t="s">
        <v>14</v>
      </c>
    </row>
    <row r="37" spans="1:2" x14ac:dyDescent="0.25">
      <c r="A37" t="s">
        <v>118</v>
      </c>
      <c r="B37" t="s">
        <v>60</v>
      </c>
    </row>
    <row r="38" spans="1:2" x14ac:dyDescent="0.25">
      <c r="A38" t="s">
        <v>90</v>
      </c>
      <c r="B38" t="s">
        <v>14</v>
      </c>
    </row>
    <row r="39" spans="1:2" x14ac:dyDescent="0.25">
      <c r="A39" t="s">
        <v>91</v>
      </c>
      <c r="B39" t="s">
        <v>14</v>
      </c>
    </row>
    <row r="40" spans="1:2" x14ac:dyDescent="0.25">
      <c r="A40" t="s">
        <v>92</v>
      </c>
      <c r="B40" t="s">
        <v>93</v>
      </c>
    </row>
    <row r="41" spans="1:2" x14ac:dyDescent="0.25">
      <c r="A41" t="s">
        <v>101</v>
      </c>
      <c r="B41" t="s">
        <v>3</v>
      </c>
    </row>
    <row r="42" spans="1:2" x14ac:dyDescent="0.25">
      <c r="A42" t="s">
        <v>121</v>
      </c>
      <c r="B42" t="s">
        <v>14</v>
      </c>
    </row>
    <row r="43" spans="1:2" x14ac:dyDescent="0.25">
      <c r="A43" t="s">
        <v>36</v>
      </c>
      <c r="B43" t="s">
        <v>14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7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5" t="s">
        <v>347</v>
      </c>
    </row>
    <row r="2" spans="1:3" x14ac:dyDescent="0.25">
      <c r="A2" t="s">
        <v>90</v>
      </c>
      <c r="B2" t="s">
        <v>14</v>
      </c>
    </row>
    <row r="3" spans="1:3" x14ac:dyDescent="0.25">
      <c r="A3" t="s">
        <v>91</v>
      </c>
      <c r="B3" t="s">
        <v>14</v>
      </c>
    </row>
    <row r="4" spans="1:3" x14ac:dyDescent="0.25">
      <c r="A4" t="s">
        <v>92</v>
      </c>
      <c r="B4" t="s">
        <v>93</v>
      </c>
    </row>
    <row r="5" spans="1:3" x14ac:dyDescent="0.25">
      <c r="A5" t="s">
        <v>94</v>
      </c>
      <c r="B5" t="s">
        <v>25</v>
      </c>
    </row>
    <row r="6" spans="1:3" x14ac:dyDescent="0.25">
      <c r="A6" t="s">
        <v>95</v>
      </c>
      <c r="B6" t="s">
        <v>96</v>
      </c>
    </row>
    <row r="7" spans="1:3" x14ac:dyDescent="0.25">
      <c r="A7" t="s">
        <v>97</v>
      </c>
      <c r="B7" t="s">
        <v>25</v>
      </c>
    </row>
    <row r="8" spans="1:3" x14ac:dyDescent="0.25">
      <c r="A8" t="s">
        <v>98</v>
      </c>
      <c r="B8" t="s">
        <v>11</v>
      </c>
    </row>
    <row r="9" spans="1:3" x14ac:dyDescent="0.25">
      <c r="A9" t="s">
        <v>99</v>
      </c>
      <c r="B9" t="s">
        <v>33</v>
      </c>
    </row>
    <row r="10" spans="1:3" x14ac:dyDescent="0.25">
      <c r="A10" t="s">
        <v>100</v>
      </c>
      <c r="B10" t="s">
        <v>14</v>
      </c>
    </row>
    <row r="11" spans="1:3" x14ac:dyDescent="0.25">
      <c r="A11" t="s">
        <v>101</v>
      </c>
      <c r="B11" t="s">
        <v>3</v>
      </c>
    </row>
    <row r="12" spans="1:3" x14ac:dyDescent="0.25">
      <c r="A12" t="s">
        <v>102</v>
      </c>
      <c r="B12" t="s">
        <v>14</v>
      </c>
    </row>
    <row r="13" spans="1:3" x14ac:dyDescent="0.25">
      <c r="A13" t="s">
        <v>36</v>
      </c>
      <c r="B13" t="s">
        <v>14</v>
      </c>
    </row>
    <row r="14" spans="1:3" x14ac:dyDescent="0.25">
      <c r="A14" t="s">
        <v>103</v>
      </c>
      <c r="B14" t="s">
        <v>14</v>
      </c>
    </row>
    <row r="15" spans="1:3" x14ac:dyDescent="0.25">
      <c r="A15" t="s">
        <v>6</v>
      </c>
      <c r="B15" t="s">
        <v>7</v>
      </c>
    </row>
    <row r="16" spans="1:3" x14ac:dyDescent="0.25">
      <c r="A16" t="s">
        <v>104</v>
      </c>
      <c r="B16" t="s">
        <v>14</v>
      </c>
    </row>
    <row r="17" spans="1:2" x14ac:dyDescent="0.25">
      <c r="A17" t="s">
        <v>90</v>
      </c>
      <c r="B17" t="s">
        <v>14</v>
      </c>
    </row>
    <row r="18" spans="1:2" x14ac:dyDescent="0.25">
      <c r="A18" t="s">
        <v>91</v>
      </c>
      <c r="B18" t="s">
        <v>14</v>
      </c>
    </row>
    <row r="19" spans="1:2" x14ac:dyDescent="0.25">
      <c r="A19" t="s">
        <v>92</v>
      </c>
      <c r="B19" t="s">
        <v>93</v>
      </c>
    </row>
    <row r="20" spans="1:2" x14ac:dyDescent="0.25">
      <c r="A20" t="s">
        <v>105</v>
      </c>
      <c r="B20" t="s">
        <v>11</v>
      </c>
    </row>
    <row r="21" spans="1:2" x14ac:dyDescent="0.25">
      <c r="A21" t="s">
        <v>95</v>
      </c>
      <c r="B21" t="s">
        <v>96</v>
      </c>
    </row>
    <row r="22" spans="1:2" x14ac:dyDescent="0.25">
      <c r="A22" t="s">
        <v>97</v>
      </c>
      <c r="B22" t="s">
        <v>25</v>
      </c>
    </row>
    <row r="23" spans="1:2" x14ac:dyDescent="0.25">
      <c r="A23" t="s">
        <v>98</v>
      </c>
      <c r="B23" t="s">
        <v>11</v>
      </c>
    </row>
    <row r="24" spans="1:2" x14ac:dyDescent="0.25">
      <c r="A24" t="s">
        <v>99</v>
      </c>
      <c r="B24" t="s">
        <v>33</v>
      </c>
    </row>
    <row r="25" spans="1:2" x14ac:dyDescent="0.25">
      <c r="A25" t="s">
        <v>100</v>
      </c>
      <c r="B25" t="s">
        <v>14</v>
      </c>
    </row>
    <row r="26" spans="1:2" x14ac:dyDescent="0.25">
      <c r="A26" t="s">
        <v>101</v>
      </c>
      <c r="B26" t="s">
        <v>3</v>
      </c>
    </row>
    <row r="27" spans="1:2" x14ac:dyDescent="0.25">
      <c r="A27" t="s">
        <v>36</v>
      </c>
      <c r="B27" t="s">
        <v>14</v>
      </c>
    </row>
    <row r="28" spans="1:2" x14ac:dyDescent="0.25">
      <c r="A28" t="s">
        <v>22</v>
      </c>
      <c r="B28" t="s">
        <v>22</v>
      </c>
    </row>
    <row r="29" spans="1:2" x14ac:dyDescent="0.25">
      <c r="A29" t="s">
        <v>29</v>
      </c>
      <c r="B29" t="s">
        <v>30</v>
      </c>
    </row>
    <row r="30" spans="1:2" x14ac:dyDescent="0.25">
      <c r="A30" t="s">
        <v>106</v>
      </c>
      <c r="B30" t="s">
        <v>107</v>
      </c>
    </row>
    <row r="31" spans="1:2" x14ac:dyDescent="0.25">
      <c r="A31" t="s">
        <v>108</v>
      </c>
      <c r="B31" t="s">
        <v>11</v>
      </c>
    </row>
    <row r="32" spans="1:2" x14ac:dyDescent="0.25">
      <c r="A32" t="s">
        <v>109</v>
      </c>
      <c r="B32" t="s">
        <v>32</v>
      </c>
    </row>
    <row r="33" spans="1:2" x14ac:dyDescent="0.25">
      <c r="A33" t="s">
        <v>110</v>
      </c>
      <c r="B33" t="s">
        <v>14</v>
      </c>
    </row>
    <row r="34" spans="1:2" x14ac:dyDescent="0.25">
      <c r="A34" t="s">
        <v>90</v>
      </c>
      <c r="B34" t="s">
        <v>14</v>
      </c>
    </row>
    <row r="35" spans="1:2" x14ac:dyDescent="0.25">
      <c r="A35" t="s">
        <v>91</v>
      </c>
      <c r="B35" t="s">
        <v>14</v>
      </c>
    </row>
    <row r="36" spans="1:2" x14ac:dyDescent="0.25">
      <c r="A36" t="s">
        <v>92</v>
      </c>
      <c r="B36" t="s">
        <v>93</v>
      </c>
    </row>
    <row r="37" spans="1:2" x14ac:dyDescent="0.25">
      <c r="A37" t="s">
        <v>94</v>
      </c>
      <c r="B37" t="s">
        <v>25</v>
      </c>
    </row>
    <row r="38" spans="1:2" x14ac:dyDescent="0.25">
      <c r="A38" t="s">
        <v>95</v>
      </c>
      <c r="B38" t="s">
        <v>96</v>
      </c>
    </row>
    <row r="39" spans="1:2" x14ac:dyDescent="0.25">
      <c r="A39" t="s">
        <v>97</v>
      </c>
      <c r="B39" t="s">
        <v>25</v>
      </c>
    </row>
    <row r="40" spans="1:2" x14ac:dyDescent="0.25">
      <c r="A40" t="s">
        <v>98</v>
      </c>
      <c r="B40" t="s">
        <v>11</v>
      </c>
    </row>
    <row r="41" spans="1:2" x14ac:dyDescent="0.25">
      <c r="A41" t="s">
        <v>99</v>
      </c>
      <c r="B41" t="s">
        <v>33</v>
      </c>
    </row>
    <row r="42" spans="1:2" x14ac:dyDescent="0.25">
      <c r="A42" t="s">
        <v>100</v>
      </c>
      <c r="B42" t="s">
        <v>14</v>
      </c>
    </row>
    <row r="43" spans="1:2" x14ac:dyDescent="0.25">
      <c r="A43" t="s">
        <v>101</v>
      </c>
      <c r="B43" t="s">
        <v>3</v>
      </c>
    </row>
    <row r="44" spans="1:2" x14ac:dyDescent="0.25">
      <c r="A44" t="s">
        <v>111</v>
      </c>
      <c r="B44" t="s">
        <v>14</v>
      </c>
    </row>
    <row r="45" spans="1:2" x14ac:dyDescent="0.25">
      <c r="A45" t="s">
        <v>112</v>
      </c>
      <c r="B45" t="s">
        <v>53</v>
      </c>
    </row>
    <row r="46" spans="1:2" x14ac:dyDescent="0.25">
      <c r="A46" t="s">
        <v>113</v>
      </c>
      <c r="B46" t="s">
        <v>33</v>
      </c>
    </row>
    <row r="47" spans="1:2" x14ac:dyDescent="0.25">
      <c r="A47" t="s">
        <v>36</v>
      </c>
      <c r="B47" t="s">
        <v>14</v>
      </c>
    </row>
    <row r="48" spans="1:2" x14ac:dyDescent="0.25">
      <c r="A48" t="s">
        <v>114</v>
      </c>
      <c r="B48" t="s">
        <v>14</v>
      </c>
    </row>
    <row r="49" spans="1:2" x14ac:dyDescent="0.25">
      <c r="A49" t="s">
        <v>90</v>
      </c>
      <c r="B49" t="s">
        <v>14</v>
      </c>
    </row>
    <row r="50" spans="1:2" x14ac:dyDescent="0.25">
      <c r="A50" t="s">
        <v>91</v>
      </c>
      <c r="B50" t="s">
        <v>14</v>
      </c>
    </row>
    <row r="51" spans="1:2" x14ac:dyDescent="0.25">
      <c r="A51" t="s">
        <v>92</v>
      </c>
      <c r="B51" t="s">
        <v>93</v>
      </c>
    </row>
    <row r="52" spans="1:2" x14ac:dyDescent="0.25">
      <c r="A52" t="s">
        <v>115</v>
      </c>
      <c r="B52" t="s">
        <v>11</v>
      </c>
    </row>
    <row r="53" spans="1:2" x14ac:dyDescent="0.25">
      <c r="A53" t="s">
        <v>95</v>
      </c>
      <c r="B53" t="s">
        <v>96</v>
      </c>
    </row>
    <row r="54" spans="1:2" x14ac:dyDescent="0.25">
      <c r="A54" t="s">
        <v>97</v>
      </c>
      <c r="B54" t="s">
        <v>25</v>
      </c>
    </row>
    <row r="55" spans="1:2" x14ac:dyDescent="0.25">
      <c r="A55" t="s">
        <v>98</v>
      </c>
      <c r="B55" t="s">
        <v>11</v>
      </c>
    </row>
    <row r="56" spans="1:2" x14ac:dyDescent="0.25">
      <c r="A56" t="s">
        <v>99</v>
      </c>
      <c r="B56" t="s">
        <v>33</v>
      </c>
    </row>
    <row r="57" spans="1:2" x14ac:dyDescent="0.25">
      <c r="A57" t="s">
        <v>100</v>
      </c>
      <c r="B57" t="s">
        <v>14</v>
      </c>
    </row>
    <row r="58" spans="1:2" x14ac:dyDescent="0.25">
      <c r="A58" t="s">
        <v>101</v>
      </c>
      <c r="B58" t="s">
        <v>3</v>
      </c>
    </row>
    <row r="59" spans="1:2" x14ac:dyDescent="0.25">
      <c r="A59" t="s">
        <v>111</v>
      </c>
      <c r="B59" t="s">
        <v>14</v>
      </c>
    </row>
    <row r="60" spans="1:2" x14ac:dyDescent="0.25">
      <c r="A60" t="s">
        <v>116</v>
      </c>
      <c r="B60" t="s">
        <v>14</v>
      </c>
    </row>
    <row r="61" spans="1:2" x14ac:dyDescent="0.25">
      <c r="A61" t="s">
        <v>117</v>
      </c>
      <c r="B61" t="s">
        <v>14</v>
      </c>
    </row>
    <row r="62" spans="1:2" x14ac:dyDescent="0.25">
      <c r="A62" t="s">
        <v>36</v>
      </c>
      <c r="B62" t="s">
        <v>14</v>
      </c>
    </row>
    <row r="63" spans="1:2" x14ac:dyDescent="0.25">
      <c r="A63" t="s">
        <v>118</v>
      </c>
      <c r="B63" t="s">
        <v>60</v>
      </c>
    </row>
    <row r="64" spans="1:2" x14ac:dyDescent="0.25">
      <c r="A64" t="s">
        <v>90</v>
      </c>
      <c r="B64" t="s">
        <v>14</v>
      </c>
    </row>
    <row r="65" spans="1:2" x14ac:dyDescent="0.25">
      <c r="A65" t="s">
        <v>91</v>
      </c>
      <c r="B65" t="s">
        <v>14</v>
      </c>
    </row>
    <row r="66" spans="1:2" x14ac:dyDescent="0.25">
      <c r="A66" t="s">
        <v>92</v>
      </c>
      <c r="B66" t="s">
        <v>93</v>
      </c>
    </row>
    <row r="67" spans="1:2" x14ac:dyDescent="0.25">
      <c r="A67" t="s">
        <v>94</v>
      </c>
      <c r="B67" t="s">
        <v>25</v>
      </c>
    </row>
    <row r="68" spans="1:2" x14ac:dyDescent="0.25">
      <c r="A68" t="s">
        <v>95</v>
      </c>
      <c r="B68" t="s">
        <v>96</v>
      </c>
    </row>
    <row r="69" spans="1:2" x14ac:dyDescent="0.25">
      <c r="A69" t="s">
        <v>97</v>
      </c>
      <c r="B69" t="s">
        <v>25</v>
      </c>
    </row>
    <row r="70" spans="1:2" x14ac:dyDescent="0.25">
      <c r="A70" t="s">
        <v>98</v>
      </c>
      <c r="B70" t="s">
        <v>11</v>
      </c>
    </row>
    <row r="71" spans="1:2" x14ac:dyDescent="0.25">
      <c r="A71" t="s">
        <v>99</v>
      </c>
      <c r="B71" t="s">
        <v>33</v>
      </c>
    </row>
    <row r="72" spans="1:2" x14ac:dyDescent="0.25">
      <c r="A72" t="s">
        <v>100</v>
      </c>
      <c r="B72" t="s">
        <v>14</v>
      </c>
    </row>
    <row r="73" spans="1:2" x14ac:dyDescent="0.25">
      <c r="A73" t="s">
        <v>101</v>
      </c>
      <c r="B73" t="s">
        <v>3</v>
      </c>
    </row>
    <row r="74" spans="1:2" x14ac:dyDescent="0.25">
      <c r="A74" t="s">
        <v>111</v>
      </c>
      <c r="B74" t="s">
        <v>14</v>
      </c>
    </row>
    <row r="75" spans="1:2" x14ac:dyDescent="0.25">
      <c r="A75" t="s">
        <v>119</v>
      </c>
      <c r="B75" t="s">
        <v>14</v>
      </c>
    </row>
    <row r="76" spans="1:2" x14ac:dyDescent="0.25">
      <c r="A76" t="s">
        <v>120</v>
      </c>
      <c r="B76" t="s">
        <v>38</v>
      </c>
    </row>
    <row r="77" spans="1:2" x14ac:dyDescent="0.25">
      <c r="A77" t="s">
        <v>36</v>
      </c>
      <c r="B77" t="s">
        <v>14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and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2026-03-24T14:58:11Z</dcterms:created>
  <dcterms:modified xsi:type="dcterms:W3CDTF">2026-04-02T06:40:51Z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2026-04-01T03:42:36Z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8ea38692-64eb-46b4-8613-294c1d35d432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