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3_20260325\"/>
    </mc:Choice>
  </mc:AlternateContent>
  <xr:revisionPtr revIDLastSave="0" documentId="13_ncr:1_{CD869568-2D67-47F3-9063-FAB06FE0CE1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andalone Profit &amp; Loss" sheetId="1" r:id="rId1"/>
    <sheet name="Consolidated Profit &amp; Los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1"/>
  <c r="H1" i="1"/>
  <c r="H3" i="2" l="1"/>
  <c r="H3" i="1"/>
</calcChain>
</file>

<file path=xl/sharedStrings.xml><?xml version="1.0" encoding="utf-8"?>
<sst xmlns="http://schemas.openxmlformats.org/spreadsheetml/2006/main" count="207" uniqueCount="72">
  <si>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</si>
  <si>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</si>
  <si>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</si>
  <si>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</si>
  <si>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</si>
  <si>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</si>
  <si>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</si>
  <si>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</si>
  <si>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</si>
  <si>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</si>
  <si>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</si>
  <si>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</si>
  <si>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</si>
  <si>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</si>
  <si>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</si>
  <si>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</si>
  <si>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</si>
  <si>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</si>
  <si>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</si>
  <si>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</si>
  <si>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</si>
  <si>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</si>
  <si>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</si>
  <si>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</si>
  <si>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Profit before exceptional item and tax</t>
  </si>
  <si>
    <t>Profit/(Loss) from Ordinary Activities after Finance Costs but before Exceptional Items</t>
  </si>
  <si>
    <t>Exceptional item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</si>
  <si>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</si>
  <si>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</si>
  <si>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</si>
  <si>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</si>
  <si>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</si>
  <si>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</si>
  <si>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</si>
  <si>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</si>
  <si>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Total Tax expense</t>
  </si>
  <si>
    <t>Total Field</t>
  </si>
  <si>
    <t>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</si>
  <si>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</si>
  <si>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</si>
  <si>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</si>
  <si>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</si>
  <si>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Remeasurement of post - employment benefit obligations</t>
  </si>
  <si>
    <t>Income tax relating to items that will not be reclassified to profit or loss</t>
  </si>
  <si>
    <t>Income Tax related to items that will not be reclassified to Profit or Loss</t>
  </si>
  <si>
    <t>Total comprehensive income for the period, net of tax</t>
  </si>
  <si>
    <t>Paid up equity share capital  (face value of INR 2/- each)</t>
  </si>
  <si>
    <t>Paid-Up Equity Share Capital</t>
  </si>
  <si>
    <t>Other equity ( excluding Revaluation Reserve ) as shown in the Audited Balance Sheet</t>
  </si>
  <si>
    <t>Reserve excluding Revaluation Reserves (as per Balance Sheet of Previous Accounting Year)</t>
  </si>
  <si>
    <t>Earnings per equity share (EPS) (face valve of INR 2/- each) (not annualised except for the year ended figure)</t>
  </si>
  <si>
    <t>Basic and Diluted ( INR )</t>
  </si>
  <si>
    <t>Basic EPS</t>
  </si>
  <si>
    <t>Changes in inventories of finished goods. work-in-progress and stock-in-trade</t>
  </si>
  <si>
    <t xml:space="preserve">Profit before share of net profit of associate, exceptional item and tax </t>
  </si>
  <si>
    <t>Profit/(Loss) from ordinary activities before finance costs and exceptional items</t>
  </si>
  <si>
    <t>Share of net profit of associate</t>
  </si>
  <si>
    <t>Share of Profit/(loss) of associates and Joint Ventures before ebt</t>
  </si>
  <si>
    <t>Share of Other comprehensive income of associate</t>
  </si>
  <si>
    <t xml:space="preserve">Paid up equity share capital (face value of INR 2/- each) </t>
  </si>
  <si>
    <t>Earnings per equity share (EPS) (face value of INR 2/- each) (not annualised except for the year ended figure)</t>
  </si>
  <si>
    <t>Status</t>
  </si>
  <si>
    <t>Correct Field Mapping</t>
  </si>
  <si>
    <t>Field id</t>
  </si>
  <si>
    <t>Correct</t>
  </si>
  <si>
    <t>Incorrect</t>
  </si>
  <si>
    <t>Accuracy %</t>
  </si>
  <si>
    <t>Ignore this field</t>
  </si>
  <si>
    <t>Label</t>
  </si>
  <si>
    <t>Total Comprehensive Gain (Loss) For the Year</t>
  </si>
  <si>
    <t>Basic EPS / Diluted EPS</t>
  </si>
  <si>
    <t>222 / 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</si>
</sst>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/>
  </sheetViews>
  <sheetFormatPr defaultRowHeight="15" x14ac:dyDescent="0.25"/>
  <cols>
    <col min="1" max="1" width="56.7109375" customWidth="1"/>
    <col min="2" max="2" width="62.42578125" customWidth="1"/>
    <col min="4" max="4" width="41.85546875" bestFit="1" customWidth="1"/>
  </cols>
  <sheetData>
    <row r="1" spans="1:8" x14ac:dyDescent="0.25">
      <c r="A1" s="1" t="s">
        <v>0</v>
      </c>
      <c r="B1" s="1" t="s">
        <v>1</v>
      </c>
      <c r="C1" s="2" t="s">
        <v>61</v>
      </c>
      <c r="D1" s="2" t="s">
        <v>62</v>
      </c>
      <c r="E1" s="3" t="s">
        <v>63</v>
      </c>
      <c r="G1" s="4" t="s">
        <v>64</v>
      </c>
      <c r="H1" s="5">
        <f>COUNTIF(C:C,G1)</f>
        <v>25</v>
      </c>
    </row>
    <row r="2" spans="1:8" x14ac:dyDescent="0.25">
      <c r="A2" s="10" t="s">
        <v>2</v>
      </c>
      <c r="B2" s="10" t="s">
        <v>3</v>
      </c>
      <c r="C2" s="10" t="s">
        <v>64</v>
      </c>
      <c r="D2" s="10"/>
      <c r="E2" s="10"/>
      <c r="G2" s="6" t="s">
        <v>65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64</v>
      </c>
      <c r="D3" s="10"/>
      <c r="E3" s="10"/>
      <c r="G3" s="8" t="s">
        <v>66</v>
      </c>
      <c r="H3" s="9">
        <f>H1/SUM(H1:H2)</f>
        <v>0.8928571428571429</v>
      </c>
    </row>
    <row r="4" spans="1:8" x14ac:dyDescent="0.25">
      <c r="A4" s="10" t="s">
        <v>6</v>
      </c>
      <c r="B4" s="10" t="s">
        <v>6</v>
      </c>
      <c r="C4" s="10" t="s">
        <v>64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64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64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64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64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64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64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64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64</v>
      </c>
      <c r="D12" s="10"/>
      <c r="E12" s="10"/>
    </row>
    <row r="13" spans="1:8" x14ac:dyDescent="0.25">
      <c r="A13" s="10" t="s">
        <v>23</v>
      </c>
      <c r="B13" s="10" t="s">
        <v>23</v>
      </c>
      <c r="C13" s="10" t="s">
        <v>64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64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64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64</v>
      </c>
      <c r="D16" s="10"/>
      <c r="E16" s="10"/>
    </row>
    <row r="17" spans="1:5" x14ac:dyDescent="0.25">
      <c r="A17" s="10" t="s">
        <v>30</v>
      </c>
      <c r="B17" s="10" t="s">
        <v>8</v>
      </c>
      <c r="C17" s="10" t="s">
        <v>64</v>
      </c>
      <c r="D17" s="10"/>
      <c r="E17" s="10"/>
    </row>
    <row r="18" spans="1:5" x14ac:dyDescent="0.25">
      <c r="A18" s="10" t="s">
        <v>31</v>
      </c>
      <c r="B18" s="10" t="s">
        <v>32</v>
      </c>
      <c r="C18" s="10" t="s">
        <v>64</v>
      </c>
      <c r="D18" s="10"/>
      <c r="E18" s="10"/>
    </row>
    <row r="19" spans="1:5" x14ac:dyDescent="0.25">
      <c r="A19" s="10" t="s">
        <v>33</v>
      </c>
      <c r="B19" s="10" t="s">
        <v>34</v>
      </c>
      <c r="C19" s="10" t="s">
        <v>64</v>
      </c>
      <c r="D19" s="10"/>
      <c r="E19" s="10"/>
    </row>
    <row r="20" spans="1:5" x14ac:dyDescent="0.25">
      <c r="A20" s="10" t="s">
        <v>35</v>
      </c>
      <c r="B20" s="10" t="s">
        <v>36</v>
      </c>
      <c r="C20" s="10"/>
      <c r="D20" s="10" t="s">
        <v>67</v>
      </c>
      <c r="E20" s="10"/>
    </row>
    <row r="21" spans="1:5" x14ac:dyDescent="0.25">
      <c r="A21" s="10" t="s">
        <v>37</v>
      </c>
      <c r="B21" s="10" t="s">
        <v>38</v>
      </c>
      <c r="C21" s="10" t="s">
        <v>64</v>
      </c>
      <c r="D21" s="10"/>
      <c r="E21" s="10"/>
    </row>
    <row r="22" spans="1:5" x14ac:dyDescent="0.25">
      <c r="A22" s="10" t="s">
        <v>39</v>
      </c>
      <c r="B22" s="10" t="s">
        <v>8</v>
      </c>
      <c r="C22" s="10" t="s">
        <v>64</v>
      </c>
      <c r="D22" s="10"/>
      <c r="E22" s="10"/>
    </row>
    <row r="23" spans="1:5" x14ac:dyDescent="0.25">
      <c r="A23" s="10" t="s">
        <v>40</v>
      </c>
      <c r="B23" s="10" t="s">
        <v>41</v>
      </c>
      <c r="C23" s="10" t="s">
        <v>65</v>
      </c>
      <c r="D23" s="10" t="s">
        <v>68</v>
      </c>
      <c r="E23" s="10"/>
    </row>
    <row r="24" spans="1:5" x14ac:dyDescent="0.25">
      <c r="A24" s="10" t="s">
        <v>42</v>
      </c>
      <c r="B24" s="10" t="s">
        <v>41</v>
      </c>
      <c r="C24" s="10" t="s">
        <v>64</v>
      </c>
      <c r="D24" s="10"/>
      <c r="E24" s="10"/>
    </row>
    <row r="25" spans="1:5" x14ac:dyDescent="0.25">
      <c r="A25" s="10" t="s">
        <v>43</v>
      </c>
      <c r="B25" s="10" t="s">
        <v>44</v>
      </c>
      <c r="C25" s="10" t="s">
        <v>64</v>
      </c>
      <c r="D25" s="10"/>
      <c r="E25" s="10"/>
    </row>
    <row r="26" spans="1:5" x14ac:dyDescent="0.25">
      <c r="A26" s="10" t="s">
        <v>45</v>
      </c>
      <c r="B26" s="10" t="s">
        <v>36</v>
      </c>
      <c r="C26" s="10" t="s">
        <v>65</v>
      </c>
      <c r="D26" s="10" t="s">
        <v>69</v>
      </c>
      <c r="E26" s="10">
        <v>20019</v>
      </c>
    </row>
    <row r="27" spans="1:5" x14ac:dyDescent="0.25">
      <c r="A27" s="10" t="s">
        <v>46</v>
      </c>
      <c r="B27" s="10" t="s">
        <v>47</v>
      </c>
      <c r="C27" s="10" t="s">
        <v>64</v>
      </c>
      <c r="D27" s="10"/>
      <c r="E27" s="10"/>
    </row>
    <row r="28" spans="1:5" x14ac:dyDescent="0.25">
      <c r="A28" s="10" t="s">
        <v>48</v>
      </c>
      <c r="B28" s="10" t="s">
        <v>49</v>
      </c>
      <c r="C28" s="10" t="s">
        <v>64</v>
      </c>
      <c r="D28" s="10"/>
      <c r="E28" s="10"/>
    </row>
    <row r="29" spans="1:5" x14ac:dyDescent="0.25">
      <c r="A29" s="10" t="s">
        <v>50</v>
      </c>
      <c r="B29" s="10" t="s">
        <v>8</v>
      </c>
      <c r="C29" s="10" t="s">
        <v>64</v>
      </c>
      <c r="D29" s="10"/>
      <c r="E29" s="10"/>
    </row>
    <row r="30" spans="1:5" x14ac:dyDescent="0.25">
      <c r="A30" s="10" t="s">
        <v>51</v>
      </c>
      <c r="B30" s="10" t="s">
        <v>52</v>
      </c>
      <c r="C30" s="10" t="s">
        <v>65</v>
      </c>
      <c r="D30" s="10" t="s">
        <v>70</v>
      </c>
      <c r="E30" s="10" t="s">
        <v>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abSelected="1" workbookViewId="0"/>
  </sheetViews>
  <sheetFormatPr defaultRowHeight="15" x14ac:dyDescent="0.25"/>
  <cols>
    <col min="1" max="2" width="7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61</v>
      </c>
      <c r="D1" s="2" t="s">
        <v>62</v>
      </c>
      <c r="E1" s="3" t="s">
        <v>63</v>
      </c>
      <c r="G1" s="4" t="s">
        <v>64</v>
      </c>
      <c r="H1" s="5">
        <f>COUNTIF(C:C,G1)</f>
        <v>27</v>
      </c>
    </row>
    <row r="2" spans="1:8" x14ac:dyDescent="0.25">
      <c r="A2" s="10" t="s">
        <v>2</v>
      </c>
      <c r="B2" s="10" t="s">
        <v>3</v>
      </c>
      <c r="C2" s="10" t="s">
        <v>64</v>
      </c>
      <c r="D2" s="10"/>
      <c r="E2" s="10"/>
      <c r="G2" s="6" t="s">
        <v>65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64</v>
      </c>
      <c r="D3" s="10"/>
      <c r="E3" s="10"/>
      <c r="G3" s="8" t="s">
        <v>66</v>
      </c>
      <c r="H3" s="9">
        <f>H1/SUM(H1:H2)</f>
        <v>0.9</v>
      </c>
    </row>
    <row r="4" spans="1:8" x14ac:dyDescent="0.25">
      <c r="A4" s="10" t="s">
        <v>6</v>
      </c>
      <c r="B4" s="10" t="s">
        <v>6</v>
      </c>
      <c r="C4" s="10" t="s">
        <v>64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64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64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64</v>
      </c>
      <c r="D7" s="10"/>
      <c r="E7" s="10"/>
    </row>
    <row r="8" spans="1:8" x14ac:dyDescent="0.25">
      <c r="A8" s="10" t="s">
        <v>53</v>
      </c>
      <c r="B8" s="10" t="s">
        <v>14</v>
      </c>
      <c r="C8" s="10" t="s">
        <v>64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64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64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64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64</v>
      </c>
      <c r="D12" s="10"/>
      <c r="E12" s="10"/>
    </row>
    <row r="13" spans="1:8" x14ac:dyDescent="0.25">
      <c r="A13" s="10" t="s">
        <v>23</v>
      </c>
      <c r="B13" s="10" t="s">
        <v>23</v>
      </c>
      <c r="C13" s="10" t="s">
        <v>64</v>
      </c>
      <c r="D13" s="10"/>
      <c r="E13" s="10"/>
    </row>
    <row r="14" spans="1:8" x14ac:dyDescent="0.25">
      <c r="A14" s="10" t="s">
        <v>54</v>
      </c>
      <c r="B14" s="10" t="s">
        <v>55</v>
      </c>
      <c r="C14" s="10"/>
      <c r="D14" s="10" t="s">
        <v>67</v>
      </c>
      <c r="E14" s="10"/>
    </row>
    <row r="15" spans="1:8" x14ac:dyDescent="0.25">
      <c r="A15" s="10" t="s">
        <v>56</v>
      </c>
      <c r="B15" s="10" t="s">
        <v>57</v>
      </c>
      <c r="C15" s="10" t="s">
        <v>64</v>
      </c>
      <c r="D15" s="10"/>
      <c r="E15" s="10"/>
    </row>
    <row r="16" spans="1:8" x14ac:dyDescent="0.25">
      <c r="A16" s="10" t="s">
        <v>24</v>
      </c>
      <c r="B16" s="10" t="s">
        <v>25</v>
      </c>
      <c r="C16" s="10" t="s">
        <v>64</v>
      </c>
      <c r="D16" s="10"/>
      <c r="E16" s="10"/>
    </row>
    <row r="17" spans="1:5" x14ac:dyDescent="0.25">
      <c r="A17" s="10" t="s">
        <v>26</v>
      </c>
      <c r="B17" s="10" t="s">
        <v>27</v>
      </c>
      <c r="C17" s="10" t="s">
        <v>64</v>
      </c>
      <c r="D17" s="10"/>
      <c r="E17" s="10"/>
    </row>
    <row r="18" spans="1:5" x14ac:dyDescent="0.25">
      <c r="A18" s="10" t="s">
        <v>28</v>
      </c>
      <c r="B18" s="10" t="s">
        <v>29</v>
      </c>
      <c r="C18" s="10" t="s">
        <v>64</v>
      </c>
      <c r="D18" s="10"/>
      <c r="E18" s="10"/>
    </row>
    <row r="19" spans="1:5" x14ac:dyDescent="0.25">
      <c r="A19" s="10" t="s">
        <v>30</v>
      </c>
      <c r="B19" s="10" t="s">
        <v>8</v>
      </c>
      <c r="C19" s="10" t="s">
        <v>64</v>
      </c>
      <c r="D19" s="10"/>
      <c r="E19" s="10"/>
    </row>
    <row r="20" spans="1:5" x14ac:dyDescent="0.25">
      <c r="A20" s="10" t="s">
        <v>31</v>
      </c>
      <c r="B20" s="10" t="s">
        <v>32</v>
      </c>
      <c r="C20" s="10" t="s">
        <v>64</v>
      </c>
      <c r="D20" s="10"/>
      <c r="E20" s="10"/>
    </row>
    <row r="21" spans="1:5" x14ac:dyDescent="0.25">
      <c r="A21" s="10" t="s">
        <v>33</v>
      </c>
      <c r="B21" s="10" t="s">
        <v>34</v>
      </c>
      <c r="C21" s="10" t="s">
        <v>64</v>
      </c>
      <c r="D21" s="10"/>
      <c r="E21" s="10"/>
    </row>
    <row r="22" spans="1:5" x14ac:dyDescent="0.25">
      <c r="A22" s="10" t="s">
        <v>35</v>
      </c>
      <c r="B22" s="10" t="s">
        <v>36</v>
      </c>
      <c r="C22" s="10"/>
      <c r="D22" s="10" t="s">
        <v>67</v>
      </c>
      <c r="E22" s="10"/>
    </row>
    <row r="23" spans="1:5" x14ac:dyDescent="0.25">
      <c r="A23" s="10" t="s">
        <v>37</v>
      </c>
      <c r="B23" s="10" t="s">
        <v>38</v>
      </c>
      <c r="C23" s="10" t="s">
        <v>64</v>
      </c>
      <c r="D23" s="10"/>
      <c r="E23" s="10"/>
    </row>
    <row r="24" spans="1:5" x14ac:dyDescent="0.25">
      <c r="A24" s="10" t="s">
        <v>39</v>
      </c>
      <c r="B24" s="10" t="s">
        <v>8</v>
      </c>
      <c r="C24" s="10" t="s">
        <v>64</v>
      </c>
      <c r="D24" s="10"/>
      <c r="E24" s="10"/>
    </row>
    <row r="25" spans="1:5" x14ac:dyDescent="0.25">
      <c r="A25" s="10" t="s">
        <v>40</v>
      </c>
      <c r="B25" s="10" t="s">
        <v>41</v>
      </c>
      <c r="C25" s="10" t="s">
        <v>65</v>
      </c>
      <c r="D25" s="10" t="s">
        <v>68</v>
      </c>
      <c r="E25" s="10"/>
    </row>
    <row r="26" spans="1:5" x14ac:dyDescent="0.25">
      <c r="A26" s="10" t="s">
        <v>42</v>
      </c>
      <c r="B26" s="10" t="s">
        <v>41</v>
      </c>
      <c r="C26" s="10" t="s">
        <v>64</v>
      </c>
      <c r="D26" s="10"/>
      <c r="E26" s="10"/>
    </row>
    <row r="27" spans="1:5" x14ac:dyDescent="0.25">
      <c r="A27" s="10" t="s">
        <v>43</v>
      </c>
      <c r="B27" s="10" t="s">
        <v>44</v>
      </c>
      <c r="C27" s="10" t="s">
        <v>64</v>
      </c>
      <c r="D27" s="10"/>
      <c r="E27" s="10"/>
    </row>
    <row r="28" spans="1:5" x14ac:dyDescent="0.25">
      <c r="A28" s="10" t="s">
        <v>58</v>
      </c>
      <c r="B28" s="10" t="s">
        <v>41</v>
      </c>
      <c r="C28" s="10" t="s">
        <v>64</v>
      </c>
      <c r="D28" s="10"/>
      <c r="E28" s="10"/>
    </row>
    <row r="29" spans="1:5" x14ac:dyDescent="0.25">
      <c r="A29" s="10" t="s">
        <v>45</v>
      </c>
      <c r="B29" s="10" t="s">
        <v>36</v>
      </c>
      <c r="C29" s="10" t="s">
        <v>65</v>
      </c>
      <c r="D29" s="10" t="s">
        <v>69</v>
      </c>
      <c r="E29" s="10">
        <v>20019</v>
      </c>
    </row>
    <row r="30" spans="1:5" x14ac:dyDescent="0.25">
      <c r="A30" s="10" t="s">
        <v>59</v>
      </c>
      <c r="B30" s="10" t="s">
        <v>47</v>
      </c>
      <c r="C30" s="10" t="s">
        <v>64</v>
      </c>
      <c r="D30" s="10"/>
      <c r="E30" s="10"/>
    </row>
    <row r="31" spans="1:5" x14ac:dyDescent="0.25">
      <c r="A31" s="10" t="s">
        <v>48</v>
      </c>
      <c r="B31" s="10" t="s">
        <v>49</v>
      </c>
      <c r="C31" s="10" t="s">
        <v>64</v>
      </c>
      <c r="D31" s="10"/>
      <c r="E31" s="10"/>
    </row>
    <row r="32" spans="1:5" x14ac:dyDescent="0.25">
      <c r="A32" s="10" t="s">
        <v>60</v>
      </c>
      <c r="B32" s="10" t="s">
        <v>8</v>
      </c>
      <c r="C32" s="10" t="s">
        <v>64</v>
      </c>
      <c r="D32" s="10"/>
      <c r="E32" s="10"/>
    </row>
    <row r="33" spans="1:5" x14ac:dyDescent="0.25">
      <c r="A33" s="10" t="s">
        <v>51</v>
      </c>
      <c r="B33" s="10" t="s">
        <v>52</v>
      </c>
      <c r="C33" s="10" t="s">
        <v>65</v>
      </c>
      <c r="D33" s="10" t="s">
        <v>70</v>
      </c>
      <c r="E33" s="10" t="s">
        <v>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Standalone Profit &amp; Loss</vt:lpstr>
      <vt:lpstr>Consolidated Profit &amp;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2026-03-24T14:37:44Z</dcterms:created>
  <dcterms:modified xsi:type="dcterms:W3CDTF">2026-03-30T09:43:25Z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2026-03-27T09:23:40Z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54670c88-e452-4748-9147-fefe2d22b552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