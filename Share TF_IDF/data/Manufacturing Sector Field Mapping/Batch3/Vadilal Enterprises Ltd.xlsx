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182728EE-F454-4162-BBC9-4BEB162AE3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3" l="1"/>
  <c r="H3" i="2"/>
  <c r="H3" i="1"/>
</calcChain>
</file>

<file path=xl/sharedStrings.xml><?xml version="1.0" encoding="utf-8"?>
<sst xmlns="http://schemas.openxmlformats.org/spreadsheetml/2006/main" count="400" uniqueCount="198">
  <si>
    <t>Particulars</t>
  </si>
  <si>
    <t>Cogencis Field</t>
  </si>
  <si>
    <t>Reserve excluding Revaluation Reserves (as per Balance Sheet of Previous Accounting Year)</t>
  </si>
  <si>
    <t>Lable</t>
  </si>
  <si>
    <t>Income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</si>
  <si>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</si>
  <si>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</si>
  <si>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</si>
  <si>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</si>
  <si>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</si>
  <si>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</si>
  <si>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Purchases of stock - in - trade</t>
  </si>
  <si>
    <t>Purchase of Stock-in-Trade</t>
  </si>
  <si>
    <t>Changes in inventories of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</si>
  <si>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</si>
  <si>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</si>
  <si>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</si>
  <si>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</si>
  <si>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</si>
  <si>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</si>
  <si>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</si>
  <si>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</si>
  <si>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</si>
  <si>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</si>
  <si>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Profit/ ( loss ) before tax</t>
  </si>
  <si>
    <t>Tax expense</t>
  </si>
  <si>
    <t>Current Tax</t>
  </si>
  <si>
    <t>Tax Expense</t>
  </si>
  <si>
    <t>Deferred Tax</t>
  </si>
  <si>
    <t>Total tax expense</t>
  </si>
  <si>
    <t>Net profit/(loss ) for the period / year</t>
  </si>
  <si>
    <t>Net Profit/(Loss) for the Period</t>
  </si>
  <si>
    <t>Other comprehensive income / ( expense ) ( net of tax )</t>
  </si>
  <si>
    <t>Remeasurement of defined benefit plans</t>
  </si>
  <si>
    <t>Items that will not be reclassified to Profit or Loss</t>
  </si>
  <si>
    <t>Tax expense on above items</t>
  </si>
  <si>
    <t>Fair value changes of cash flow hedges</t>
  </si>
  <si>
    <t>Items that will be reclassified to Profit or Loss</t>
  </si>
  <si>
    <t>Total Other comprehensive income / ( expense ) for the period/ year</t>
  </si>
  <si>
    <t>Other Comprehensive Income</t>
  </si>
  <si>
    <t>Total comprehensive income/(expense ) for the period/ year</t>
  </si>
  <si>
    <t>Total Comprehensive Gain (Loss) For the Year</t>
  </si>
  <si>
    <t>Paid - up equity share capital</t>
  </si>
  <si>
    <t>Paid-Up Equity Share Capital</t>
  </si>
  <si>
    <t>Other equity ( excluding revaluation reserves )</t>
  </si>
  <si>
    <t>Earnings per share ( not annualized except year end ):</t>
  </si>
  <si>
    <t>Basic and diluted</t>
  </si>
  <si>
    <t>Basic EPS</t>
  </si>
  <si>
    <t>Other Current Assets</t>
  </si>
  <si>
    <t>ASSETS</t>
  </si>
  <si>
    <t>Non - current assets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</si>
  <si>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</si>
  <si>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</si>
  <si>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</si>
  <si>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</si>
  <si>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</si>
  <si>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Other Intangible assets</t>
  </si>
  <si>
    <t>Other Intangible Assets</t>
  </si>
  <si>
    <t>Financial Assets</t>
  </si>
  <si>
    <t>Investments</t>
  </si>
  <si>
    <t>Non-Current Investments</t>
  </si>
  <si>
    <t>Loans</t>
  </si>
  <si>
    <t>Loans Non-Current</t>
  </si>
  <si>
    <t>Other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</si>
  <si>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</si>
  <si>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</si>
  <si>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</si>
  <si>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</si>
  <si>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</si>
  <si>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Total Non Current Assets</t>
  </si>
  <si>
    <t>Total Non-Current Assets</t>
  </si>
  <si>
    <t>Current assets</t>
  </si>
  <si>
    <t>Inventories</t>
  </si>
  <si>
    <t>Investment</t>
  </si>
  <si>
    <t>Trade Receivables</t>
  </si>
  <si>
    <t>Cash &amp; Cash Equivalents</t>
  </si>
  <si>
    <t>Cash And Cash Equivalents</t>
  </si>
  <si>
    <t>Bank balance other than cash and cash equivalents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</si>
  <si>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</si>
  <si>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</si>
  <si>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</si>
  <si>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</si>
  <si>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</si>
  <si>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</si>
  <si>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</si>
  <si>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</si>
  <si>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</si>
  <si>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</si>
  <si>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</si>
  <si>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current Liabilities</t>
  </si>
  <si>
    <t>Financial Liabilities</t>
  </si>
  <si>
    <t>Borrowings</t>
  </si>
  <si>
    <t>Lease Liabilities</t>
  </si>
  <si>
    <t>Lease liabilities</t>
  </si>
  <si>
    <t>Provisions</t>
  </si>
  <si>
    <t>Long-Term Provisions</t>
  </si>
  <si>
    <t>Total Non current Liabilities</t>
  </si>
  <si>
    <t>Total Non-Current Liabilities</t>
  </si>
  <si>
    <t>Current Liabilities</t>
  </si>
  <si>
    <t>Trade Payables</t>
  </si>
  <si>
    <t>Other Financial Liabilities</t>
  </si>
  <si>
    <t>Other Non Current Financial Liabilities</t>
  </si>
  <si>
    <t>Current Tax Liabilities ( Net )</t>
  </si>
  <si>
    <t>Current Tax Liabilities (Net)</t>
  </si>
  <si>
    <t>Other Current Liabilities</t>
  </si>
  <si>
    <t>Other liabilities</t>
  </si>
  <si>
    <t>Total Current Liabilities</t>
  </si>
  <si>
    <t>Total Equity and Liabilities</t>
  </si>
  <si>
    <t>Total Equity And Liabilities</t>
  </si>
  <si>
    <t>Cash and Cash Equivalents at the Beginning of the Year</t>
  </si>
  <si>
    <t>CASH FLOWS FROM OPERATING ACTIVITIES</t>
  </si>
  <si>
    <t>Profit before tax</t>
  </si>
  <si>
    <t>Net Profit Before Tax And Exceptional Item</t>
  </si>
  <si>
    <t>Adjustments for :</t>
  </si>
  <si>
    <t>Depreciation and Amortisation Expense</t>
  </si>
  <si>
    <t>Loss on sale of property plant &amp; equipment ( net )</t>
  </si>
  <si>
    <t>Loss On Sale Of Fixed Assets</t>
  </si>
  <si>
    <t>Interest income</t>
  </si>
  <si>
    <t>Interest Received</t>
  </si>
  <si>
    <t>Interest Expense</t>
  </si>
  <si>
    <t>Loss/(profit ) from sale of current investments</t>
  </si>
  <si>
    <t>Profit On Sale Of Investments</t>
  </si>
  <si>
    <t>Unrealised ( gain)/ loss on investment</t>
  </si>
  <si>
    <t>Provision For Dimunition In Investments</t>
  </si>
  <si>
    <t>Expected credit loss</t>
  </si>
  <si>
    <t>Provision For Doubtful Debts</t>
  </si>
  <si>
    <t>Excess provision for trade receivables written off</t>
  </si>
  <si>
    <t>Bad debts written off</t>
  </si>
  <si>
    <t>Bad Debts Written Off</t>
  </si>
  <si>
    <t>Operating profit before working capital changes</t>
  </si>
  <si>
    <t>Operating Profit Before Working Capital Changes</t>
  </si>
  <si>
    <t>Changes in working capital :</t>
  </si>
  <si>
    <t>Decrease in inventories</t>
  </si>
  <si>
    <t>Trade And Other Receivables</t>
  </si>
  <si>
    <t>Increase in trade payables financial liabilities other liabilities and provisions</t>
  </si>
  <si>
    <t>Trade Payables And Others</t>
  </si>
  <si>
    <t>Cash generated from operations</t>
  </si>
  <si>
    <t>Cash Generated From Operations</t>
  </si>
  <si>
    <t>Income tax paid ( net )</t>
  </si>
  <si>
    <t>Income Tax Paid</t>
  </si>
  <si>
    <t>Net cash generated from operating activities</t>
  </si>
  <si>
    <t>Net Cash Flow From Operating Activities</t>
  </si>
  <si>
    <t>CASH FLOWS FROM INVESTING ACTIVITIES</t>
  </si>
  <si>
    <t>Capital expenditure on property plant &amp; equipment &amp; intangible asset</t>
  </si>
  <si>
    <t>Purchase Of Fixed Assets (Tangible / Intangible)</t>
  </si>
  <si>
    <t>Proceeds from sale of property plant &amp; equipment</t>
  </si>
  <si>
    <t>Sale Of Fixed Assets (Tangible / Intangible)</t>
  </si>
  <si>
    <t>Proceeds from sale of / ( purchase of ) current investment ( net )</t>
  </si>
  <si>
    <t>Sale Of Investments</t>
  </si>
  <si>
    <t>Interest received</t>
  </si>
  <si>
    <t>Interest Income</t>
  </si>
  <si>
    <t>Net Cash ( used In ) Investing Activities</t>
  </si>
  <si>
    <t>Net Cash Flow From Investing Activities</t>
  </si>
  <si>
    <t>CASH FLOWS FROM FINANCING ACTIVITIES</t>
  </si>
  <si>
    <t>Proceeds from non current borrowings</t>
  </si>
  <si>
    <t>Proceeds From Long Term Borrowings</t>
  </si>
  <si>
    <t>Repayment of non current borrowings</t>
  </si>
  <si>
    <t>Repayment Of Long Term Borrowings</t>
  </si>
  <si>
    <t>Proceeds from current borrowings ( net )</t>
  </si>
  <si>
    <t>Proceeds From Short Term Borrowings</t>
  </si>
  <si>
    <t>Payment of lease liabilities</t>
  </si>
  <si>
    <t>Payments of lease liabilities</t>
  </si>
  <si>
    <t>Interest paid</t>
  </si>
  <si>
    <t>Interest Paid</t>
  </si>
  <si>
    <t>Net cash generated from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</si>
  <si>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</si>
  <si>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</si>
  <si>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</si>
  <si>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period</t>
  </si>
  <si>
    <t>Cash and cash equivalents at the end of the period</t>
  </si>
  <si>
    <t>Cash and Cash Equivalents at the End of the Year</t>
  </si>
  <si>
    <t>Property Plant and Equipment</t>
  </si>
  <si>
    <t>Bank balance other than above</t>
  </si>
  <si>
    <t>total outstanding dues of micro enterprises and small enterprises</t>
  </si>
  <si>
    <t xml:space="preserve">Trade Payables  </t>
  </si>
  <si>
    <t>total outstanding dues of creditors other than micro enterprises and small enterprises</t>
  </si>
  <si>
    <t>Excess provision / credit balance / deposits written back</t>
  </si>
  <si>
    <t>(Increase)/decrease in trade receivables financial assets and other assets</t>
  </si>
  <si>
    <t>Status</t>
  </si>
  <si>
    <t>Revised Field Mapping</t>
  </si>
  <si>
    <t>Field ID</t>
  </si>
  <si>
    <t>Correct</t>
  </si>
  <si>
    <t>Incorrect</t>
  </si>
  <si>
    <t>Accuracy %</t>
  </si>
  <si>
    <t>Profit/(Loss) From Ordinary Activities before Tax</t>
  </si>
  <si>
    <t>Calculated Field</t>
  </si>
  <si>
    <t>Income Tax related to items that will not be reclassified to Profit or Loss</t>
  </si>
  <si>
    <t>Basic EPS/Diluted EPS</t>
  </si>
  <si>
    <t>222/234</t>
  </si>
  <si>
    <t>Current Investments</t>
  </si>
  <si>
    <t>Loans, Current</t>
  </si>
  <si>
    <t>Other Current Financial Assets</t>
  </si>
  <si>
    <t>Label</t>
  </si>
  <si>
    <t>Short-Term Provisions</t>
  </si>
  <si>
    <t>Other Current Financial Liabilities</t>
  </si>
  <si>
    <t>Others-Before Working Capital Changes</t>
  </si>
  <si>
    <t>Purchase Of Investments</t>
  </si>
  <si>
    <t>Other Provisions Written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</si>
</sst>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defaultRowHeight="15" x14ac:dyDescent="0.25"/>
  <cols>
    <col min="1" max="1" width="47.28515625" customWidth="1"/>
    <col min="2" max="2" width="65.5703125" customWidth="1"/>
    <col min="3" max="3" width="10.140625" customWidth="1"/>
    <col min="4" max="4" width="20.28515625" bestFit="1" customWidth="1"/>
    <col min="5" max="5" width="7.85546875" bestFit="1" customWidth="1"/>
  </cols>
  <sheetData>
    <row r="1" spans="1:8" x14ac:dyDescent="0.25">
      <c r="A1" s="1" t="s">
        <v>0</v>
      </c>
      <c r="B1" s="1" t="s">
        <v>1</v>
      </c>
      <c r="C1" s="2" t="s">
        <v>178</v>
      </c>
      <c r="D1" s="2" t="s">
        <v>179</v>
      </c>
      <c r="E1" s="2" t="s">
        <v>180</v>
      </c>
      <c r="G1" s="3" t="s">
        <v>181</v>
      </c>
      <c r="H1" s="4">
        <f>COUNTIF(C:C,G1)</f>
        <v>23</v>
      </c>
    </row>
    <row r="2" spans="1:8" x14ac:dyDescent="0.25">
      <c r="A2" s="9" t="s">
        <v>4</v>
      </c>
      <c r="B2" s="9" t="s">
        <v>3</v>
      </c>
      <c r="C2" s="9" t="s">
        <v>181</v>
      </c>
      <c r="D2" s="9"/>
      <c r="E2" s="9"/>
      <c r="G2" s="5" t="s">
        <v>182</v>
      </c>
      <c r="H2" s="6">
        <f>COUNTIF(C:C,G2)</f>
        <v>5</v>
      </c>
    </row>
    <row r="3" spans="1:8" ht="15.75" thickBot="1" x14ac:dyDescent="0.3">
      <c r="A3" s="9" t="s">
        <v>5</v>
      </c>
      <c r="B3" s="9" t="s">
        <v>6</v>
      </c>
      <c r="C3" s="9" t="s">
        <v>181</v>
      </c>
      <c r="D3" s="9"/>
      <c r="E3" s="9"/>
      <c r="G3" s="7" t="s">
        <v>183</v>
      </c>
      <c r="H3" s="8">
        <f>H1/SUM(H1:H2)</f>
        <v>0.8214285714285714</v>
      </c>
    </row>
    <row r="4" spans="1:8" x14ac:dyDescent="0.25">
      <c r="A4" s="9" t="s">
        <v>7</v>
      </c>
      <c r="B4" s="9" t="s">
        <v>8</v>
      </c>
      <c r="C4" s="9" t="s">
        <v>181</v>
      </c>
      <c r="D4" s="9"/>
      <c r="E4" s="9"/>
    </row>
    <row r="5" spans="1:8" x14ac:dyDescent="0.25">
      <c r="A5" s="9" t="s">
        <v>9</v>
      </c>
      <c r="B5" s="9" t="s">
        <v>9</v>
      </c>
      <c r="C5" s="9" t="s">
        <v>181</v>
      </c>
      <c r="D5" s="9"/>
      <c r="E5" s="9"/>
    </row>
    <row r="6" spans="1:8" x14ac:dyDescent="0.25">
      <c r="A6" s="9" t="s">
        <v>10</v>
      </c>
      <c r="B6" s="9" t="s">
        <v>3</v>
      </c>
      <c r="C6" s="9" t="s">
        <v>181</v>
      </c>
      <c r="D6" s="9"/>
      <c r="E6" s="9"/>
    </row>
    <row r="7" spans="1:8" x14ac:dyDescent="0.25">
      <c r="A7" s="9" t="s">
        <v>11</v>
      </c>
      <c r="B7" s="9" t="s">
        <v>12</v>
      </c>
      <c r="C7" s="9" t="s">
        <v>181</v>
      </c>
      <c r="D7" s="9"/>
      <c r="E7" s="9"/>
    </row>
    <row r="8" spans="1:8" x14ac:dyDescent="0.25">
      <c r="A8" s="9" t="s">
        <v>13</v>
      </c>
      <c r="B8" s="9" t="s">
        <v>14</v>
      </c>
      <c r="C8" s="9" t="s">
        <v>181</v>
      </c>
      <c r="D8" s="9"/>
      <c r="E8" s="9"/>
    </row>
    <row r="9" spans="1:8" x14ac:dyDescent="0.25">
      <c r="A9" s="9" t="s">
        <v>15</v>
      </c>
      <c r="B9" s="9" t="s">
        <v>16</v>
      </c>
      <c r="C9" s="9" t="s">
        <v>181</v>
      </c>
      <c r="D9" s="9"/>
      <c r="E9" s="9"/>
    </row>
    <row r="10" spans="1:8" x14ac:dyDescent="0.25">
      <c r="A10" s="9" t="s">
        <v>17</v>
      </c>
      <c r="B10" s="9" t="s">
        <v>18</v>
      </c>
      <c r="C10" s="9" t="s">
        <v>181</v>
      </c>
      <c r="D10" s="9"/>
      <c r="E10" s="9"/>
    </row>
    <row r="11" spans="1:8" x14ac:dyDescent="0.25">
      <c r="A11" s="9" t="s">
        <v>19</v>
      </c>
      <c r="B11" s="9" t="s">
        <v>20</v>
      </c>
      <c r="C11" s="9" t="s">
        <v>181</v>
      </c>
      <c r="D11" s="9"/>
      <c r="E11" s="9"/>
    </row>
    <row r="12" spans="1:8" x14ac:dyDescent="0.25">
      <c r="A12" s="9" t="s">
        <v>21</v>
      </c>
      <c r="B12" s="9" t="s">
        <v>22</v>
      </c>
      <c r="C12" s="9" t="s">
        <v>181</v>
      </c>
      <c r="D12" s="9"/>
      <c r="E12" s="9"/>
    </row>
    <row r="13" spans="1:8" x14ac:dyDescent="0.25">
      <c r="A13" s="9" t="s">
        <v>23</v>
      </c>
      <c r="B13" s="9" t="s">
        <v>23</v>
      </c>
      <c r="C13" s="9" t="s">
        <v>181</v>
      </c>
      <c r="D13" s="9"/>
      <c r="E13" s="9"/>
    </row>
    <row r="14" spans="1:8" x14ac:dyDescent="0.25">
      <c r="A14" s="9" t="s">
        <v>24</v>
      </c>
      <c r="B14" s="9" t="s">
        <v>3</v>
      </c>
      <c r="C14" s="9" t="s">
        <v>182</v>
      </c>
      <c r="D14" s="9" t="s">
        <v>184</v>
      </c>
      <c r="E14" s="10">
        <v>296</v>
      </c>
    </row>
    <row r="15" spans="1:8" x14ac:dyDescent="0.25">
      <c r="A15" s="9" t="s">
        <v>25</v>
      </c>
      <c r="B15" s="9" t="s">
        <v>3</v>
      </c>
      <c r="C15" s="9" t="s">
        <v>181</v>
      </c>
      <c r="D15" s="9"/>
      <c r="E15" s="9"/>
    </row>
    <row r="16" spans="1:8" x14ac:dyDescent="0.25">
      <c r="A16" s="9" t="s">
        <v>26</v>
      </c>
      <c r="B16" s="9" t="s">
        <v>27</v>
      </c>
      <c r="C16" s="9" t="s">
        <v>181</v>
      </c>
      <c r="D16" s="9"/>
      <c r="E16" s="9"/>
    </row>
    <row r="17" spans="1:5" x14ac:dyDescent="0.25">
      <c r="A17" s="9" t="s">
        <v>28</v>
      </c>
      <c r="B17" s="9" t="s">
        <v>28</v>
      </c>
      <c r="C17" s="9" t="s">
        <v>181</v>
      </c>
      <c r="D17" s="9"/>
      <c r="E17" s="9"/>
    </row>
    <row r="18" spans="1:5" x14ac:dyDescent="0.25">
      <c r="A18" s="9" t="s">
        <v>29</v>
      </c>
      <c r="B18" s="9" t="s">
        <v>3</v>
      </c>
      <c r="C18" s="9"/>
      <c r="D18" s="9" t="s">
        <v>185</v>
      </c>
      <c r="E18" s="9"/>
    </row>
    <row r="19" spans="1:5" x14ac:dyDescent="0.25">
      <c r="A19" s="9" t="s">
        <v>30</v>
      </c>
      <c r="B19" s="9" t="s">
        <v>31</v>
      </c>
      <c r="C19" s="9" t="s">
        <v>181</v>
      </c>
      <c r="D19" s="9"/>
      <c r="E19" s="9"/>
    </row>
    <row r="20" spans="1:5" x14ac:dyDescent="0.25">
      <c r="A20" s="9" t="s">
        <v>32</v>
      </c>
      <c r="B20" s="9" t="s">
        <v>3</v>
      </c>
      <c r="C20" s="9" t="s">
        <v>181</v>
      </c>
      <c r="D20" s="9"/>
      <c r="E20" s="9"/>
    </row>
    <row r="21" spans="1:5" x14ac:dyDescent="0.25">
      <c r="A21" s="9" t="s">
        <v>33</v>
      </c>
      <c r="B21" s="9" t="s">
        <v>34</v>
      </c>
      <c r="C21" s="9" t="s">
        <v>181</v>
      </c>
      <c r="D21" s="9"/>
      <c r="E21" s="9"/>
    </row>
    <row r="22" spans="1:5" x14ac:dyDescent="0.25">
      <c r="A22" s="9" t="s">
        <v>35</v>
      </c>
      <c r="B22" s="9" t="s">
        <v>27</v>
      </c>
      <c r="C22" s="9" t="s">
        <v>182</v>
      </c>
      <c r="D22" s="9" t="s">
        <v>186</v>
      </c>
      <c r="E22" s="10">
        <v>22295</v>
      </c>
    </row>
    <row r="23" spans="1:5" x14ac:dyDescent="0.25">
      <c r="A23" s="9" t="s">
        <v>36</v>
      </c>
      <c r="B23" s="9" t="s">
        <v>37</v>
      </c>
      <c r="C23" s="9" t="s">
        <v>182</v>
      </c>
      <c r="D23" s="9" t="s">
        <v>34</v>
      </c>
      <c r="E23" s="10">
        <v>22293</v>
      </c>
    </row>
    <row r="24" spans="1:5" x14ac:dyDescent="0.25">
      <c r="A24" s="9" t="s">
        <v>35</v>
      </c>
      <c r="B24" s="9" t="s">
        <v>27</v>
      </c>
      <c r="C24" s="9" t="s">
        <v>182</v>
      </c>
      <c r="D24" s="9" t="s">
        <v>186</v>
      </c>
      <c r="E24" s="10">
        <v>22295</v>
      </c>
    </row>
    <row r="25" spans="1:5" x14ac:dyDescent="0.25">
      <c r="A25" s="9" t="s">
        <v>38</v>
      </c>
      <c r="B25" s="9" t="s">
        <v>39</v>
      </c>
      <c r="C25" s="9" t="s">
        <v>181</v>
      </c>
      <c r="D25" s="9"/>
      <c r="E25" s="9"/>
    </row>
    <row r="26" spans="1:5" x14ac:dyDescent="0.25">
      <c r="A26" s="9" t="s">
        <v>40</v>
      </c>
      <c r="B26" s="9" t="s">
        <v>41</v>
      </c>
      <c r="C26" s="9" t="s">
        <v>181</v>
      </c>
      <c r="D26" s="9"/>
      <c r="E26" s="9"/>
    </row>
    <row r="27" spans="1:5" x14ac:dyDescent="0.25">
      <c r="A27" s="9" t="s">
        <v>42</v>
      </c>
      <c r="B27" s="9" t="s">
        <v>43</v>
      </c>
      <c r="C27" s="9" t="s">
        <v>181</v>
      </c>
      <c r="D27" s="9"/>
      <c r="E27" s="9"/>
    </row>
    <row r="28" spans="1:5" x14ac:dyDescent="0.25">
      <c r="A28" s="9" t="s">
        <v>44</v>
      </c>
      <c r="B28" s="9" t="s">
        <v>2</v>
      </c>
      <c r="C28" s="9" t="s">
        <v>181</v>
      </c>
      <c r="D28" s="9"/>
      <c r="E28" s="9"/>
    </row>
    <row r="29" spans="1:5" x14ac:dyDescent="0.25">
      <c r="A29" s="9" t="s">
        <v>45</v>
      </c>
      <c r="B29" s="9" t="s">
        <v>3</v>
      </c>
      <c r="C29" s="9" t="s">
        <v>181</v>
      </c>
      <c r="D29" s="9"/>
      <c r="E29" s="9"/>
    </row>
    <row r="30" spans="1:5" x14ac:dyDescent="0.25">
      <c r="A30" s="9" t="s">
        <v>46</v>
      </c>
      <c r="B30" s="9" t="s">
        <v>47</v>
      </c>
      <c r="C30" s="9" t="s">
        <v>182</v>
      </c>
      <c r="D30" s="9" t="s">
        <v>187</v>
      </c>
      <c r="E30" s="10" t="s">
        <v>188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defaultRowHeight="15" x14ac:dyDescent="0.25"/>
  <cols>
    <col min="1" max="1" width="44" customWidth="1"/>
    <col min="2" max="2" width="42.28515625" customWidth="1"/>
    <col min="3" max="3" width="8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178</v>
      </c>
      <c r="D1" s="2" t="s">
        <v>179</v>
      </c>
      <c r="E1" s="2" t="s">
        <v>180</v>
      </c>
      <c r="G1" s="3" t="s">
        <v>181</v>
      </c>
      <c r="H1" s="4">
        <f>COUNTIF(C:C,G1)</f>
        <v>44</v>
      </c>
    </row>
    <row r="2" spans="1:8" x14ac:dyDescent="0.25">
      <c r="A2" s="9" t="s">
        <v>49</v>
      </c>
      <c r="B2" s="9" t="s">
        <v>3</v>
      </c>
      <c r="C2" s="9" t="s">
        <v>181</v>
      </c>
      <c r="D2" s="9"/>
      <c r="E2" s="9"/>
      <c r="G2" s="5" t="s">
        <v>182</v>
      </c>
      <c r="H2" s="6">
        <f>COUNTIF(C:C,G2)</f>
        <v>6</v>
      </c>
    </row>
    <row r="3" spans="1:8" ht="15.75" thickBot="1" x14ac:dyDescent="0.3">
      <c r="A3" s="9" t="s">
        <v>50</v>
      </c>
      <c r="B3" s="9" t="s">
        <v>3</v>
      </c>
      <c r="C3" s="9" t="s">
        <v>181</v>
      </c>
      <c r="D3" s="9"/>
      <c r="E3" s="9"/>
      <c r="G3" s="7" t="s">
        <v>183</v>
      </c>
      <c r="H3" s="8">
        <f>H1/SUM(H1:H2)</f>
        <v>0.88</v>
      </c>
    </row>
    <row r="4" spans="1:8" x14ac:dyDescent="0.25">
      <c r="A4" s="9" t="s">
        <v>171</v>
      </c>
      <c r="B4" s="9" t="s">
        <v>51</v>
      </c>
      <c r="C4" s="9" t="s">
        <v>181</v>
      </c>
      <c r="D4" s="9"/>
      <c r="E4" s="9"/>
    </row>
    <row r="5" spans="1:8" x14ac:dyDescent="0.25">
      <c r="A5" s="9" t="s">
        <v>52</v>
      </c>
      <c r="B5" s="9" t="s">
        <v>53</v>
      </c>
      <c r="C5" s="9" t="s">
        <v>181</v>
      </c>
      <c r="D5" s="9"/>
      <c r="E5" s="9"/>
    </row>
    <row r="6" spans="1:8" x14ac:dyDescent="0.25">
      <c r="A6" s="9" t="s">
        <v>54</v>
      </c>
      <c r="B6" s="9" t="s">
        <v>55</v>
      </c>
      <c r="C6" s="9" t="s">
        <v>181</v>
      </c>
      <c r="D6" s="9"/>
      <c r="E6" s="9"/>
    </row>
    <row r="7" spans="1:8" x14ac:dyDescent="0.25">
      <c r="A7" s="9" t="s">
        <v>56</v>
      </c>
      <c r="B7" s="9" t="s">
        <v>57</v>
      </c>
      <c r="C7" s="9" t="s">
        <v>181</v>
      </c>
      <c r="D7" s="9"/>
      <c r="E7" s="9"/>
    </row>
    <row r="8" spans="1:8" x14ac:dyDescent="0.25">
      <c r="A8" s="9" t="s">
        <v>58</v>
      </c>
      <c r="B8" s="9" t="s">
        <v>3</v>
      </c>
      <c r="C8" s="9" t="s">
        <v>181</v>
      </c>
      <c r="D8" s="9"/>
      <c r="E8" s="9"/>
    </row>
    <row r="9" spans="1:8" x14ac:dyDescent="0.25">
      <c r="A9" s="9" t="s">
        <v>59</v>
      </c>
      <c r="B9" s="9" t="s">
        <v>60</v>
      </c>
      <c r="C9" s="9" t="s">
        <v>181</v>
      </c>
      <c r="D9" s="9" t="s">
        <v>60</v>
      </c>
      <c r="E9" s="10">
        <v>13748</v>
      </c>
    </row>
    <row r="10" spans="1:8" x14ac:dyDescent="0.25">
      <c r="A10" s="9" t="s">
        <v>61</v>
      </c>
      <c r="B10" s="9" t="s">
        <v>62</v>
      </c>
      <c r="C10" s="9" t="s">
        <v>181</v>
      </c>
      <c r="D10" s="9" t="s">
        <v>62</v>
      </c>
      <c r="E10" s="10">
        <v>20217</v>
      </c>
    </row>
    <row r="11" spans="1:8" x14ac:dyDescent="0.25">
      <c r="A11" s="9" t="s">
        <v>63</v>
      </c>
      <c r="B11" s="9" t="s">
        <v>64</v>
      </c>
      <c r="C11" s="9" t="s">
        <v>181</v>
      </c>
      <c r="D11" s="9"/>
      <c r="E11" s="9"/>
    </row>
    <row r="12" spans="1:8" x14ac:dyDescent="0.25">
      <c r="A12" s="9" t="s">
        <v>65</v>
      </c>
      <c r="B12" s="9" t="s">
        <v>66</v>
      </c>
      <c r="C12" s="9" t="s">
        <v>181</v>
      </c>
      <c r="D12" s="9"/>
      <c r="E12" s="9"/>
    </row>
    <row r="13" spans="1:8" x14ac:dyDescent="0.25">
      <c r="A13" s="9" t="s">
        <v>67</v>
      </c>
      <c r="B13" s="9" t="s">
        <v>68</v>
      </c>
      <c r="C13" s="9" t="s">
        <v>181</v>
      </c>
      <c r="D13" s="9"/>
      <c r="E13" s="9"/>
    </row>
    <row r="14" spans="1:8" x14ac:dyDescent="0.25">
      <c r="A14" s="9" t="s">
        <v>69</v>
      </c>
      <c r="B14" s="9" t="s">
        <v>70</v>
      </c>
      <c r="C14" s="9" t="s">
        <v>181</v>
      </c>
      <c r="D14" s="9"/>
      <c r="E14" s="9"/>
    </row>
    <row r="15" spans="1:8" x14ac:dyDescent="0.25">
      <c r="A15" s="9" t="s">
        <v>71</v>
      </c>
      <c r="B15" s="9" t="s">
        <v>3</v>
      </c>
      <c r="C15" s="9" t="s">
        <v>181</v>
      </c>
      <c r="D15" s="9"/>
      <c r="E15" s="9"/>
    </row>
    <row r="16" spans="1:8" x14ac:dyDescent="0.25">
      <c r="A16" s="9" t="s">
        <v>72</v>
      </c>
      <c r="B16" s="9" t="s">
        <v>72</v>
      </c>
      <c r="C16" s="9" t="s">
        <v>181</v>
      </c>
      <c r="D16" s="9"/>
      <c r="E16" s="9"/>
    </row>
    <row r="17" spans="1:5" x14ac:dyDescent="0.25">
      <c r="A17" s="9" t="s">
        <v>58</v>
      </c>
      <c r="B17" s="9" t="s">
        <v>3</v>
      </c>
      <c r="C17" s="9" t="s">
        <v>181</v>
      </c>
      <c r="D17" s="9"/>
      <c r="E17" s="9"/>
    </row>
    <row r="18" spans="1:5" x14ac:dyDescent="0.25">
      <c r="A18" s="9" t="s">
        <v>73</v>
      </c>
      <c r="B18" s="9" t="s">
        <v>60</v>
      </c>
      <c r="C18" s="9" t="s">
        <v>182</v>
      </c>
      <c r="D18" s="9" t="s">
        <v>189</v>
      </c>
      <c r="E18" s="10">
        <v>13724</v>
      </c>
    </row>
    <row r="19" spans="1:5" x14ac:dyDescent="0.25">
      <c r="A19" s="9" t="s">
        <v>74</v>
      </c>
      <c r="B19" s="9" t="s">
        <v>74</v>
      </c>
      <c r="C19" s="9" t="s">
        <v>181</v>
      </c>
      <c r="D19" s="9" t="s">
        <v>74</v>
      </c>
      <c r="E19" s="10">
        <v>13780</v>
      </c>
    </row>
    <row r="20" spans="1:5" x14ac:dyDescent="0.25">
      <c r="A20" s="9" t="s">
        <v>75</v>
      </c>
      <c r="B20" s="9" t="s">
        <v>76</v>
      </c>
      <c r="C20" s="9" t="s">
        <v>181</v>
      </c>
      <c r="D20" s="9"/>
      <c r="E20" s="9"/>
    </row>
    <row r="21" spans="1:5" x14ac:dyDescent="0.25">
      <c r="A21" s="9" t="s">
        <v>172</v>
      </c>
      <c r="B21" s="9" t="s">
        <v>77</v>
      </c>
      <c r="C21" s="9" t="s">
        <v>181</v>
      </c>
      <c r="D21" s="9"/>
      <c r="E21" s="9"/>
    </row>
    <row r="22" spans="1:5" x14ac:dyDescent="0.25">
      <c r="A22" s="9" t="s">
        <v>61</v>
      </c>
      <c r="B22" s="9" t="s">
        <v>62</v>
      </c>
      <c r="C22" s="9" t="s">
        <v>182</v>
      </c>
      <c r="D22" s="9" t="s">
        <v>190</v>
      </c>
      <c r="E22" s="10">
        <v>20230</v>
      </c>
    </row>
    <row r="23" spans="1:5" x14ac:dyDescent="0.25">
      <c r="A23" s="9" t="s">
        <v>63</v>
      </c>
      <c r="B23" s="9" t="s">
        <v>64</v>
      </c>
      <c r="C23" s="9" t="s">
        <v>182</v>
      </c>
      <c r="D23" s="9" t="s">
        <v>191</v>
      </c>
      <c r="E23" s="10">
        <v>20231</v>
      </c>
    </row>
    <row r="24" spans="1:5" x14ac:dyDescent="0.25">
      <c r="A24" s="9" t="s">
        <v>48</v>
      </c>
      <c r="B24" s="9" t="s">
        <v>48</v>
      </c>
      <c r="C24" s="9" t="s">
        <v>181</v>
      </c>
      <c r="D24" s="9"/>
      <c r="E24" s="9"/>
    </row>
    <row r="25" spans="1:5" x14ac:dyDescent="0.25">
      <c r="A25" s="9" t="s">
        <v>78</v>
      </c>
      <c r="B25" s="9" t="s">
        <v>78</v>
      </c>
      <c r="C25" s="9" t="s">
        <v>181</v>
      </c>
      <c r="D25" s="9"/>
      <c r="E25" s="9"/>
    </row>
    <row r="26" spans="1:5" x14ac:dyDescent="0.25">
      <c r="A26" s="9" t="s">
        <v>79</v>
      </c>
      <c r="B26" s="9" t="s">
        <v>79</v>
      </c>
      <c r="C26" s="9" t="s">
        <v>181</v>
      </c>
      <c r="D26" s="9"/>
      <c r="E26" s="9"/>
    </row>
    <row r="27" spans="1:5" x14ac:dyDescent="0.25">
      <c r="A27" s="9" t="s">
        <v>80</v>
      </c>
      <c r="B27" s="9" t="s">
        <v>3</v>
      </c>
      <c r="C27" s="9" t="s">
        <v>181</v>
      </c>
      <c r="D27" s="9"/>
      <c r="E27" s="9"/>
    </row>
    <row r="28" spans="1:5" x14ac:dyDescent="0.25">
      <c r="A28" s="9" t="s">
        <v>81</v>
      </c>
      <c r="B28" s="9" t="s">
        <v>3</v>
      </c>
      <c r="C28" s="9" t="s">
        <v>181</v>
      </c>
      <c r="D28" s="9"/>
      <c r="E28" s="9"/>
    </row>
    <row r="29" spans="1:5" x14ac:dyDescent="0.25">
      <c r="A29" s="9" t="s">
        <v>82</v>
      </c>
      <c r="B29" s="9" t="s">
        <v>83</v>
      </c>
      <c r="C29" s="9" t="s">
        <v>181</v>
      </c>
      <c r="D29" s="9"/>
      <c r="E29" s="9"/>
    </row>
    <row r="30" spans="1:5" x14ac:dyDescent="0.25">
      <c r="A30" s="9" t="s">
        <v>84</v>
      </c>
      <c r="B30" s="9" t="s">
        <v>85</v>
      </c>
      <c r="C30" s="9" t="s">
        <v>181</v>
      </c>
      <c r="D30" s="9"/>
      <c r="E30" s="9"/>
    </row>
    <row r="31" spans="1:5" x14ac:dyDescent="0.25">
      <c r="A31" s="9" t="s">
        <v>86</v>
      </c>
      <c r="B31" s="9" t="s">
        <v>87</v>
      </c>
      <c r="C31" s="9" t="s">
        <v>181</v>
      </c>
      <c r="D31" s="9"/>
      <c r="E31" s="9"/>
    </row>
    <row r="32" spans="1:5" x14ac:dyDescent="0.25">
      <c r="A32" s="9" t="s">
        <v>88</v>
      </c>
      <c r="B32" s="9" t="s">
        <v>3</v>
      </c>
      <c r="C32" s="9" t="s">
        <v>181</v>
      </c>
      <c r="D32" s="9"/>
      <c r="E32" s="9"/>
    </row>
    <row r="33" spans="1:5" x14ac:dyDescent="0.25">
      <c r="A33" s="9" t="s">
        <v>89</v>
      </c>
      <c r="B33" s="9" t="s">
        <v>3</v>
      </c>
      <c r="C33" s="9" t="s">
        <v>181</v>
      </c>
      <c r="D33" s="9"/>
      <c r="E33" s="9"/>
    </row>
    <row r="34" spans="1:5" x14ac:dyDescent="0.25">
      <c r="A34" s="9" t="s">
        <v>90</v>
      </c>
      <c r="B34" s="9" t="s">
        <v>3</v>
      </c>
      <c r="C34" s="9" t="s">
        <v>181</v>
      </c>
      <c r="D34" s="9"/>
      <c r="E34" s="9"/>
    </row>
    <row r="35" spans="1:5" x14ac:dyDescent="0.25">
      <c r="A35" s="9" t="s">
        <v>91</v>
      </c>
      <c r="B35" s="9" t="s">
        <v>91</v>
      </c>
      <c r="C35" s="9" t="s">
        <v>181</v>
      </c>
      <c r="D35" s="9" t="s">
        <v>91</v>
      </c>
      <c r="E35" s="10">
        <v>20223</v>
      </c>
    </row>
    <row r="36" spans="1:5" x14ac:dyDescent="0.25">
      <c r="A36" s="9" t="s">
        <v>92</v>
      </c>
      <c r="B36" s="9" t="s">
        <v>93</v>
      </c>
      <c r="C36" s="9" t="s">
        <v>181</v>
      </c>
      <c r="D36" s="9" t="s">
        <v>93</v>
      </c>
      <c r="E36" s="10">
        <v>30340</v>
      </c>
    </row>
    <row r="37" spans="1:5" x14ac:dyDescent="0.25">
      <c r="A37" s="9" t="s">
        <v>94</v>
      </c>
      <c r="B37" s="9" t="s">
        <v>95</v>
      </c>
      <c r="C37" s="9" t="s">
        <v>181</v>
      </c>
      <c r="D37" s="9" t="s">
        <v>95</v>
      </c>
      <c r="E37" s="10">
        <v>13743</v>
      </c>
    </row>
    <row r="38" spans="1:5" x14ac:dyDescent="0.25">
      <c r="A38" s="9" t="s">
        <v>96</v>
      </c>
      <c r="B38" s="9" t="s">
        <v>97</v>
      </c>
      <c r="C38" s="9" t="s">
        <v>181</v>
      </c>
      <c r="D38" s="9"/>
      <c r="E38" s="9"/>
    </row>
    <row r="39" spans="1:5" x14ac:dyDescent="0.25">
      <c r="A39" s="9" t="s">
        <v>98</v>
      </c>
      <c r="B39" s="9" t="s">
        <v>3</v>
      </c>
      <c r="C39" s="9" t="s">
        <v>181</v>
      </c>
      <c r="D39" s="9"/>
      <c r="E39" s="9"/>
    </row>
    <row r="40" spans="1:5" x14ac:dyDescent="0.25">
      <c r="A40" s="9" t="s">
        <v>90</v>
      </c>
      <c r="B40" s="9" t="s">
        <v>3</v>
      </c>
      <c r="C40" s="9" t="s">
        <v>181</v>
      </c>
      <c r="D40" s="9"/>
      <c r="E40" s="9"/>
    </row>
    <row r="41" spans="1:5" x14ac:dyDescent="0.25">
      <c r="A41" s="9" t="s">
        <v>91</v>
      </c>
      <c r="B41" s="9" t="s">
        <v>91</v>
      </c>
      <c r="C41" s="9" t="s">
        <v>181</v>
      </c>
      <c r="D41" s="9" t="s">
        <v>91</v>
      </c>
      <c r="E41" s="10">
        <v>20209</v>
      </c>
    </row>
    <row r="42" spans="1:5" x14ac:dyDescent="0.25">
      <c r="A42" s="9" t="s">
        <v>92</v>
      </c>
      <c r="B42" s="9" t="s">
        <v>93</v>
      </c>
      <c r="C42" s="9" t="s">
        <v>181</v>
      </c>
      <c r="D42" s="9" t="s">
        <v>93</v>
      </c>
      <c r="E42" s="10">
        <v>25716</v>
      </c>
    </row>
    <row r="43" spans="1:5" x14ac:dyDescent="0.25">
      <c r="A43" s="9" t="s">
        <v>174</v>
      </c>
      <c r="B43" s="9" t="s">
        <v>99</v>
      </c>
      <c r="C43" s="9" t="s">
        <v>182</v>
      </c>
      <c r="D43" s="9" t="s">
        <v>192</v>
      </c>
      <c r="E43" s="9"/>
    </row>
    <row r="44" spans="1:5" x14ac:dyDescent="0.25">
      <c r="A44" s="9" t="s">
        <v>173</v>
      </c>
      <c r="B44" s="9" t="s">
        <v>99</v>
      </c>
      <c r="C44" s="9" t="s">
        <v>181</v>
      </c>
      <c r="D44" s="9" t="s">
        <v>99</v>
      </c>
      <c r="E44" s="10">
        <v>13779</v>
      </c>
    </row>
    <row r="45" spans="1:5" x14ac:dyDescent="0.25">
      <c r="A45" s="9" t="s">
        <v>175</v>
      </c>
      <c r="B45" s="9" t="s">
        <v>99</v>
      </c>
      <c r="C45" s="9" t="s">
        <v>181</v>
      </c>
      <c r="D45" s="9" t="s">
        <v>99</v>
      </c>
      <c r="E45" s="10">
        <v>13779</v>
      </c>
    </row>
    <row r="46" spans="1:5" x14ac:dyDescent="0.25">
      <c r="A46" s="9" t="s">
        <v>100</v>
      </c>
      <c r="B46" s="9" t="s">
        <v>101</v>
      </c>
      <c r="C46" s="9" t="s">
        <v>182</v>
      </c>
      <c r="D46" s="9" t="s">
        <v>194</v>
      </c>
      <c r="E46" s="10">
        <v>20214</v>
      </c>
    </row>
    <row r="47" spans="1:5" x14ac:dyDescent="0.25">
      <c r="A47" s="9" t="s">
        <v>94</v>
      </c>
      <c r="B47" s="9" t="s">
        <v>95</v>
      </c>
      <c r="C47" s="9" t="s">
        <v>182</v>
      </c>
      <c r="D47" s="9" t="s">
        <v>193</v>
      </c>
      <c r="E47" s="10">
        <v>13767</v>
      </c>
    </row>
    <row r="48" spans="1:5" x14ac:dyDescent="0.25">
      <c r="A48" s="9" t="s">
        <v>102</v>
      </c>
      <c r="B48" s="9" t="s">
        <v>103</v>
      </c>
      <c r="C48" s="9" t="s">
        <v>181</v>
      </c>
      <c r="D48" s="9"/>
      <c r="E48" s="9"/>
    </row>
    <row r="49" spans="1:5" x14ac:dyDescent="0.25">
      <c r="A49" s="9" t="s">
        <v>104</v>
      </c>
      <c r="B49" s="9" t="s">
        <v>105</v>
      </c>
      <c r="C49" s="9" t="s">
        <v>181</v>
      </c>
      <c r="D49" s="9"/>
      <c r="E49" s="9"/>
    </row>
    <row r="50" spans="1:5" x14ac:dyDescent="0.25">
      <c r="A50" s="9" t="s">
        <v>106</v>
      </c>
      <c r="B50" s="9" t="s">
        <v>106</v>
      </c>
      <c r="C50" s="9" t="s">
        <v>181</v>
      </c>
      <c r="D50" s="9"/>
      <c r="E50" s="9"/>
    </row>
    <row r="51" spans="1:5" x14ac:dyDescent="0.25">
      <c r="A51" s="9" t="s">
        <v>107</v>
      </c>
      <c r="B51" s="9" t="s">
        <v>108</v>
      </c>
      <c r="C51" s="9" t="s">
        <v>181</v>
      </c>
      <c r="D51" s="9"/>
      <c r="E5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/>
  </sheetViews>
  <sheetFormatPr defaultRowHeight="15" x14ac:dyDescent="0.25"/>
  <cols>
    <col min="1" max="1" width="60.7109375" customWidth="1"/>
    <col min="2" max="2" width="40.42578125" customWidth="1"/>
    <col min="3" max="3" width="8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178</v>
      </c>
      <c r="D1" s="2" t="s">
        <v>179</v>
      </c>
      <c r="E1" s="2" t="s">
        <v>180</v>
      </c>
      <c r="G1" s="3" t="s">
        <v>181</v>
      </c>
      <c r="H1" s="4">
        <f>COUNTIF(C:C,G1)</f>
        <v>31</v>
      </c>
    </row>
    <row r="2" spans="1:8" x14ac:dyDescent="0.25">
      <c r="A2" s="9" t="s">
        <v>110</v>
      </c>
      <c r="B2" s="9" t="s">
        <v>3</v>
      </c>
      <c r="C2" s="9" t="s">
        <v>181</v>
      </c>
      <c r="D2" s="9"/>
      <c r="E2" s="9"/>
      <c r="G2" s="5" t="s">
        <v>182</v>
      </c>
      <c r="H2" s="6">
        <f>COUNTIF(C:C,G2)</f>
        <v>6</v>
      </c>
    </row>
    <row r="3" spans="1:8" ht="15.75" thickBot="1" x14ac:dyDescent="0.3">
      <c r="A3" s="9" t="s">
        <v>111</v>
      </c>
      <c r="B3" s="9" t="s">
        <v>112</v>
      </c>
      <c r="C3" s="9" t="s">
        <v>181</v>
      </c>
      <c r="D3" s="9"/>
      <c r="E3" s="9"/>
      <c r="G3" s="7" t="s">
        <v>183</v>
      </c>
      <c r="H3" s="8">
        <f>H1/SUM(H1:H2)</f>
        <v>0.83783783783783783</v>
      </c>
    </row>
    <row r="4" spans="1:8" x14ac:dyDescent="0.25">
      <c r="A4" s="9" t="s">
        <v>113</v>
      </c>
      <c r="B4" s="9" t="s">
        <v>3</v>
      </c>
      <c r="C4" s="9" t="s">
        <v>181</v>
      </c>
      <c r="D4" s="9"/>
      <c r="E4" s="9"/>
    </row>
    <row r="5" spans="1:8" x14ac:dyDescent="0.25">
      <c r="A5" s="9" t="s">
        <v>19</v>
      </c>
      <c r="B5" s="9" t="s">
        <v>114</v>
      </c>
      <c r="C5" s="9" t="s">
        <v>181</v>
      </c>
      <c r="D5" s="9"/>
      <c r="E5" s="9"/>
    </row>
    <row r="6" spans="1:8" x14ac:dyDescent="0.25">
      <c r="A6" s="9" t="s">
        <v>115</v>
      </c>
      <c r="B6" s="9" t="s">
        <v>116</v>
      </c>
      <c r="C6" s="9" t="s">
        <v>181</v>
      </c>
      <c r="D6" s="9"/>
      <c r="E6" s="9"/>
    </row>
    <row r="7" spans="1:8" x14ac:dyDescent="0.25">
      <c r="A7" s="9" t="s">
        <v>117</v>
      </c>
      <c r="B7" s="9" t="s">
        <v>118</v>
      </c>
      <c r="C7" s="9" t="s">
        <v>182</v>
      </c>
      <c r="D7" s="9" t="s">
        <v>150</v>
      </c>
      <c r="E7" s="10">
        <v>30481</v>
      </c>
    </row>
    <row r="8" spans="1:8" x14ac:dyDescent="0.25">
      <c r="A8" s="9" t="s">
        <v>17</v>
      </c>
      <c r="B8" s="9" t="s">
        <v>119</v>
      </c>
      <c r="C8" s="9" t="s">
        <v>181</v>
      </c>
      <c r="D8" s="9"/>
      <c r="E8" s="9"/>
    </row>
    <row r="9" spans="1:8" x14ac:dyDescent="0.25">
      <c r="A9" s="9" t="s">
        <v>120</v>
      </c>
      <c r="B9" s="9" t="s">
        <v>121</v>
      </c>
      <c r="C9" s="9" t="s">
        <v>181</v>
      </c>
      <c r="D9" s="9"/>
      <c r="E9" s="9"/>
    </row>
    <row r="10" spans="1:8" x14ac:dyDescent="0.25">
      <c r="A10" s="9" t="s">
        <v>122</v>
      </c>
      <c r="B10" s="9" t="s">
        <v>123</v>
      </c>
      <c r="C10" s="9" t="s">
        <v>182</v>
      </c>
      <c r="D10" s="9" t="s">
        <v>195</v>
      </c>
      <c r="E10" s="10">
        <v>17542</v>
      </c>
    </row>
    <row r="11" spans="1:8" x14ac:dyDescent="0.25">
      <c r="A11" s="9" t="s">
        <v>124</v>
      </c>
      <c r="B11" s="9" t="s">
        <v>125</v>
      </c>
      <c r="C11" s="9" t="s">
        <v>181</v>
      </c>
      <c r="D11" s="9"/>
      <c r="E11" s="9"/>
    </row>
    <row r="12" spans="1:8" x14ac:dyDescent="0.25">
      <c r="A12" s="9" t="s">
        <v>176</v>
      </c>
      <c r="B12" s="9" t="s">
        <v>125</v>
      </c>
      <c r="C12" s="9" t="s">
        <v>182</v>
      </c>
      <c r="D12" s="9" t="s">
        <v>197</v>
      </c>
      <c r="E12" s="10">
        <v>30520</v>
      </c>
    </row>
    <row r="13" spans="1:8" x14ac:dyDescent="0.25">
      <c r="A13" s="9" t="s">
        <v>126</v>
      </c>
      <c r="B13" s="9" t="s">
        <v>125</v>
      </c>
      <c r="C13" s="9" t="s">
        <v>182</v>
      </c>
      <c r="D13" s="9" t="s">
        <v>197</v>
      </c>
      <c r="E13" s="10">
        <v>30520</v>
      </c>
    </row>
    <row r="14" spans="1:8" x14ac:dyDescent="0.25">
      <c r="A14" s="9" t="s">
        <v>127</v>
      </c>
      <c r="B14" s="9" t="s">
        <v>128</v>
      </c>
      <c r="C14" s="9" t="s">
        <v>181</v>
      </c>
      <c r="D14" s="9"/>
      <c r="E14" s="9"/>
    </row>
    <row r="15" spans="1:8" x14ac:dyDescent="0.25">
      <c r="A15" s="9" t="s">
        <v>129</v>
      </c>
      <c r="B15" s="9" t="s">
        <v>130</v>
      </c>
      <c r="C15" s="9" t="s">
        <v>181</v>
      </c>
      <c r="D15" s="9"/>
      <c r="E15" s="9"/>
    </row>
    <row r="16" spans="1:8" x14ac:dyDescent="0.25">
      <c r="A16" s="9" t="s">
        <v>131</v>
      </c>
      <c r="B16" s="9" t="s">
        <v>3</v>
      </c>
      <c r="C16" s="9" t="s">
        <v>181</v>
      </c>
      <c r="D16" s="9"/>
      <c r="E16" s="9"/>
    </row>
    <row r="17" spans="1:5" x14ac:dyDescent="0.25">
      <c r="A17" s="9" t="s">
        <v>132</v>
      </c>
      <c r="B17" s="9" t="s">
        <v>72</v>
      </c>
      <c r="C17" s="9" t="s">
        <v>181</v>
      </c>
      <c r="D17" s="9"/>
      <c r="E17" s="9"/>
    </row>
    <row r="18" spans="1:5" x14ac:dyDescent="0.25">
      <c r="A18" s="9" t="s">
        <v>177</v>
      </c>
      <c r="B18" s="9" t="s">
        <v>133</v>
      </c>
      <c r="C18" s="9" t="s">
        <v>181</v>
      </c>
      <c r="D18" s="9"/>
      <c r="E18" s="9"/>
    </row>
    <row r="19" spans="1:5" x14ac:dyDescent="0.25">
      <c r="A19" s="9" t="s">
        <v>134</v>
      </c>
      <c r="B19" s="9" t="s">
        <v>135</v>
      </c>
      <c r="C19" s="9" t="s">
        <v>181</v>
      </c>
      <c r="D19" s="9"/>
      <c r="E19" s="9"/>
    </row>
    <row r="20" spans="1:5" x14ac:dyDescent="0.25">
      <c r="A20" s="9" t="s">
        <v>136</v>
      </c>
      <c r="B20" s="9" t="s">
        <v>137</v>
      </c>
      <c r="C20" s="9" t="s">
        <v>181</v>
      </c>
      <c r="D20" s="9"/>
      <c r="E20" s="9"/>
    </row>
    <row r="21" spans="1:5" x14ac:dyDescent="0.25">
      <c r="A21" s="9" t="s">
        <v>138</v>
      </c>
      <c r="B21" s="9" t="s">
        <v>139</v>
      </c>
      <c r="C21" s="9" t="s">
        <v>181</v>
      </c>
      <c r="D21" s="9"/>
      <c r="E21" s="9"/>
    </row>
    <row r="22" spans="1:5" x14ac:dyDescent="0.25">
      <c r="A22" s="9" t="s">
        <v>140</v>
      </c>
      <c r="B22" s="9" t="s">
        <v>141</v>
      </c>
      <c r="C22" s="9" t="s">
        <v>181</v>
      </c>
      <c r="D22" s="9"/>
      <c r="E22" s="9"/>
    </row>
    <row r="23" spans="1:5" x14ac:dyDescent="0.25">
      <c r="A23" s="9" t="s">
        <v>142</v>
      </c>
      <c r="B23" s="9" t="s">
        <v>3</v>
      </c>
      <c r="C23" s="9" t="s">
        <v>181</v>
      </c>
      <c r="D23" s="9"/>
      <c r="E23" s="9"/>
    </row>
    <row r="24" spans="1:5" x14ac:dyDescent="0.25">
      <c r="A24" s="9" t="s">
        <v>143</v>
      </c>
      <c r="B24" s="9" t="s">
        <v>144</v>
      </c>
      <c r="C24" s="9" t="s">
        <v>181</v>
      </c>
      <c r="D24" s="9"/>
      <c r="E24" s="9"/>
    </row>
    <row r="25" spans="1:5" x14ac:dyDescent="0.25">
      <c r="A25" s="9" t="s">
        <v>145</v>
      </c>
      <c r="B25" s="9" t="s">
        <v>146</v>
      </c>
      <c r="C25" s="9" t="s">
        <v>181</v>
      </c>
      <c r="D25" s="9"/>
      <c r="E25" s="9"/>
    </row>
    <row r="26" spans="1:5" x14ac:dyDescent="0.25">
      <c r="A26" s="9" t="s">
        <v>147</v>
      </c>
      <c r="B26" s="9" t="s">
        <v>148</v>
      </c>
      <c r="C26" s="9" t="s">
        <v>182</v>
      </c>
      <c r="D26" s="9" t="s">
        <v>196</v>
      </c>
      <c r="E26" s="10">
        <v>17557</v>
      </c>
    </row>
    <row r="27" spans="1:5" x14ac:dyDescent="0.25">
      <c r="A27" s="9" t="s">
        <v>149</v>
      </c>
      <c r="B27" s="9" t="s">
        <v>150</v>
      </c>
      <c r="C27" s="9" t="s">
        <v>182</v>
      </c>
      <c r="D27" s="9" t="s">
        <v>118</v>
      </c>
      <c r="E27" s="10">
        <v>30485</v>
      </c>
    </row>
    <row r="28" spans="1:5" x14ac:dyDescent="0.25">
      <c r="A28" s="9" t="s">
        <v>151</v>
      </c>
      <c r="B28" s="9" t="s">
        <v>152</v>
      </c>
      <c r="C28" s="9" t="s">
        <v>181</v>
      </c>
      <c r="D28" s="9"/>
      <c r="E28" s="9"/>
    </row>
    <row r="29" spans="1:5" x14ac:dyDescent="0.25">
      <c r="A29" s="9" t="s">
        <v>153</v>
      </c>
      <c r="B29" s="9" t="s">
        <v>3</v>
      </c>
      <c r="C29" s="9" t="s">
        <v>181</v>
      </c>
      <c r="D29" s="9"/>
      <c r="E29" s="9"/>
    </row>
    <row r="30" spans="1:5" x14ac:dyDescent="0.25">
      <c r="A30" s="9" t="s">
        <v>154</v>
      </c>
      <c r="B30" s="9" t="s">
        <v>155</v>
      </c>
      <c r="C30" s="9" t="s">
        <v>181</v>
      </c>
      <c r="D30" s="9"/>
      <c r="E30" s="9"/>
    </row>
    <row r="31" spans="1:5" x14ac:dyDescent="0.25">
      <c r="A31" s="9" t="s">
        <v>156</v>
      </c>
      <c r="B31" s="9" t="s">
        <v>157</v>
      </c>
      <c r="C31" s="9" t="s">
        <v>181</v>
      </c>
      <c r="D31" s="9"/>
      <c r="E31" s="9"/>
    </row>
    <row r="32" spans="1:5" x14ac:dyDescent="0.25">
      <c r="A32" s="9" t="s">
        <v>158</v>
      </c>
      <c r="B32" s="9" t="s">
        <v>159</v>
      </c>
      <c r="C32" s="9" t="s">
        <v>181</v>
      </c>
      <c r="D32" s="9"/>
      <c r="E32" s="9"/>
    </row>
    <row r="33" spans="1:5" x14ac:dyDescent="0.25">
      <c r="A33" s="9" t="s">
        <v>160</v>
      </c>
      <c r="B33" s="9" t="s">
        <v>161</v>
      </c>
      <c r="C33" s="9" t="s">
        <v>181</v>
      </c>
      <c r="D33" s="9"/>
      <c r="E33" s="9"/>
    </row>
    <row r="34" spans="1:5" x14ac:dyDescent="0.25">
      <c r="A34" s="9" t="s">
        <v>162</v>
      </c>
      <c r="B34" s="9" t="s">
        <v>163</v>
      </c>
      <c r="C34" s="9" t="s">
        <v>181</v>
      </c>
      <c r="D34" s="9"/>
      <c r="E34" s="9"/>
    </row>
    <row r="35" spans="1:5" x14ac:dyDescent="0.25">
      <c r="A35" s="9" t="s">
        <v>164</v>
      </c>
      <c r="B35" s="9" t="s">
        <v>165</v>
      </c>
      <c r="C35" s="9" t="s">
        <v>181</v>
      </c>
      <c r="D35" s="9"/>
      <c r="E35" s="9"/>
    </row>
    <row r="36" spans="1:5" x14ac:dyDescent="0.25">
      <c r="A36" s="9" t="s">
        <v>166</v>
      </c>
      <c r="B36" s="9" t="s">
        <v>167</v>
      </c>
      <c r="C36" s="9" t="s">
        <v>181</v>
      </c>
      <c r="D36" s="9"/>
      <c r="E36" s="9"/>
    </row>
    <row r="37" spans="1:5" x14ac:dyDescent="0.25">
      <c r="A37" s="9" t="s">
        <v>168</v>
      </c>
      <c r="B37" s="9" t="s">
        <v>109</v>
      </c>
      <c r="C37" s="9" t="s">
        <v>181</v>
      </c>
      <c r="D37" s="9"/>
      <c r="E37" s="9"/>
    </row>
    <row r="38" spans="1:5" x14ac:dyDescent="0.25">
      <c r="A38" s="9" t="s">
        <v>169</v>
      </c>
      <c r="B38" s="9" t="s">
        <v>170</v>
      </c>
      <c r="C38" s="9" t="s">
        <v>181</v>
      </c>
      <c r="D38" s="9"/>
      <c r="E38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2026-03-19T03:01:34Z</dcterms:created>
  <dcterms:modified xsi:type="dcterms:W3CDTF">2026-04-02T07:29:59Z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2026-04-01T03:55:47Z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b6e932c4-5265-48a4-862e-136b03fe145d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