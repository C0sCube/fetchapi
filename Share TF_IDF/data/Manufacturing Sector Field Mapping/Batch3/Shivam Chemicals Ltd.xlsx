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Manufacturing\Datewise\30-03-2026\"/>
    </mc:Choice>
  </mc:AlternateContent>
  <xr:revisionPtr revIDLastSave="0" documentId="13_ncr:1_{E515065B-8E32-41C8-9945-B9A41843F210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Standalone Profit &amp; Loss" sheetId="4" r:id="rId1"/>
    <sheet name="Consolidated Profit &amp; Loss" sheetId="1" r:id="rId2"/>
    <sheet name="Standalone Balance Sheet" sheetId="5" r:id="rId3"/>
    <sheet name="Consolidated Balance Sheet" sheetId="2" r:id="rId4"/>
    <sheet name="Standalone Cash Flow" sheetId="6" r:id="rId5"/>
    <sheet name="Consolidated Cash Flow" sheetId="3" r:id="rId6"/>
  </sheets>
  <definedNames>
    <definedName name="_xlnm._FilterDatabase" localSheetId="0" hidden="1">'Standalone Profit &amp; Loss'!$A$1:$H$1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6" l="1"/>
  <c r="H1" i="6"/>
  <c r="H2" i="5"/>
  <c r="H1" i="5"/>
  <c r="H2" i="4"/>
  <c r="H1" i="4"/>
  <c r="H2" i="2"/>
  <c r="H1" i="2"/>
  <c r="H2" i="1"/>
  <c r="H1" i="1"/>
  <c r="H2" i="3" l="1"/>
  <c r="H1" i="3"/>
  <c r="H3" i="6"/>
  <c r="H3" i="2"/>
  <c r="H3" i="5"/>
  <c r="H3" i="1"/>
  <c r="H3" i="4"/>
  <c r="H3" i="3" l="1"/>
</calcChain>
</file>

<file path=xl/sharedStrings.xml><?xml version="1.0" encoding="utf-8"?>
<sst xmlns="http://schemas.openxmlformats.org/spreadsheetml/2006/main" count="654" uniqueCount="191">
  <si>
    <t>Particulars</t>
  </si>
  <si>
    <t>Cogencis Field</t>
  </si>
  <si>
    <t>Revenue from Operations</t>
  </si>
  <si>
    <t>Gross Sales/Income from Operations</t>
  </si>
  <si>
    <t>Other Income</t>
  </si>
  <si>
    <t>Miscellaneous Income</t>
  </si>
  <si>
    <t>Total Revenue</t>
  </si>
  <si>
    <t>Total Income</t>
  </si>
  <si>
    <t>EXPENSES</t>
  </si>
  <si>
    <t>Lable</t>
  </si>
  <si>
    <t>Cost of Material Consumed</t>
  </si>
  <si>
    <t>Cost of Materials Consumed</t>
  </si>
  <si>
    <t>Purchase of Traded Goods / Stock in Trade</t>
  </si>
  <si>
    <t>Purchase of Stock-in-Trade</t>
  </si>
  <si>
    <t>Change in inventories of Finished Goods, Work-in-Progress &amp; Stock in Trade</t>
  </si>
  <si>
    <t>Changes in Inventories of Finished Goods, Work-In-Progress and Stock-In-Trade</t>
  </si>
  <si>
    <t>Employee Benefit Expenses</t>
  </si>
  <si>
    <t>Employee Benefit Expense</t>
  </si>
  <si>
    <t>Finance Cost</t>
  </si>
  <si>
    <t>Finance Costs</t>
  </si>
  <si>
    <t>Depreciation &amp; Amortization Expense</t>
  </si>
  <si>
    <t>Depreciation, Depletion and Amortisation Expense</t>
  </si>
  <si>
    <t>Other Expenses</t>
  </si>
  <si>
    <t>TOTAL EXPENSES</t>
  </si>
  <si>
    <t>Total Expenses</t>
  </si>
  <si>
    <t>Profit before Exceptional &amp; Extraordinary Items and tax</t>
  </si>
  <si>
    <t>Profit/(Loss) from Ordinary Activities after Finance Costs but before Exceptional Items</t>
  </si>
  <si>
    <t>Exceptional Items</t>
  </si>
  <si>
    <t>Other Exceptional Items</t>
  </si>
  <si>
    <t>Profit before Extraordinary Items and tax</t>
  </si>
  <si>
    <t>Extraordinary Items</t>
  </si>
  <si>
    <t>Profit before tax</t>
  </si>
  <si>
    <t>Profit/(Loss) From Ordinary Activities before Tax</t>
  </si>
  <si>
    <t>Tax Expenses</t>
  </si>
  <si>
    <t>Current Tax</t>
  </si>
  <si>
    <t>Tax Expense</t>
  </si>
  <si>
    <t>Deferred Tax</t>
  </si>
  <si>
    <t>Tax Related to earlier years</t>
  </si>
  <si>
    <t>TOTAL TAX EXPENSES</t>
  </si>
  <si>
    <t>Total Field</t>
  </si>
  <si>
    <t>Profit/(Loss ) for the period from continuing operations</t>
  </si>
  <si>
    <t>Profit/(Loss) for the Period from Continuing Operations</t>
  </si>
  <si>
    <t>Profit/(Loss ) from discontinuing operation</t>
  </si>
  <si>
    <t>Profit/(Loss) from Discontinuing Operations</t>
  </si>
  <si>
    <t>Tax Expenses of discontinuing operations</t>
  </si>
  <si>
    <t>Tax Expense of Discontinuing Operations</t>
  </si>
  <si>
    <t>Profit/(Loss ) from discontinuing operation after tax</t>
  </si>
  <si>
    <t>Net Profit From Discontinuing Operations (After Tax)</t>
  </si>
  <si>
    <t>Profit/(Loss ) for the Period</t>
  </si>
  <si>
    <t>Net Profit/(Loss) for the Period</t>
  </si>
  <si>
    <t>Paid up Equity Share Capital</t>
  </si>
  <si>
    <t>Paid-Up Equity Share Capital</t>
  </si>
  <si>
    <t>Reserves &amp; Surplus</t>
  </si>
  <si>
    <t>Reserve excluding Revaluation Reserves (as per Balance Sheet of Previous Accounting Year)</t>
  </si>
  <si>
    <t>Earnings per equity share</t>
  </si>
  <si>
    <t>Basic</t>
  </si>
  <si>
    <t>Diluted</t>
  </si>
  <si>
    <t>Shareholders ' funds</t>
  </si>
  <si>
    <t>Share capital</t>
  </si>
  <si>
    <t>Share Capital</t>
  </si>
  <si>
    <t>Reserves and surplus</t>
  </si>
  <si>
    <t>Reserves And Surplus/Other Equity</t>
  </si>
  <si>
    <t>Non - current liabilities</t>
  </si>
  <si>
    <t>Long Term Borrowings</t>
  </si>
  <si>
    <t>Borrowings</t>
  </si>
  <si>
    <t>Long Term Provisions</t>
  </si>
  <si>
    <t>Long-Term Provisions</t>
  </si>
  <si>
    <t>Deferred Tax Liabilities ( Net )</t>
  </si>
  <si>
    <t>Deferred Tax Liability (Net)</t>
  </si>
  <si>
    <t>Current liabilities</t>
  </si>
  <si>
    <t>Short Term Borrowings</t>
  </si>
  <si>
    <t>Trade Payables</t>
  </si>
  <si>
    <t>Outstanding dues of Micro, Small and Medium Enterprises</t>
  </si>
  <si>
    <t>Outstanding dues of Creditors other than Micro, Small and Medium Enterprises</t>
  </si>
  <si>
    <t>Other Current Liabilities</t>
  </si>
  <si>
    <t>Other liabilities</t>
  </si>
  <si>
    <t>Short term Provisions</t>
  </si>
  <si>
    <t>Short-Term Provisions</t>
  </si>
  <si>
    <t>TOTAL</t>
  </si>
  <si>
    <t>Total Equity And Liabilities</t>
  </si>
  <si>
    <t>ASSETS</t>
  </si>
  <si>
    <t>Non - current assets</t>
  </si>
  <si>
    <t>Property Plant &amp; Equipments &amp; Intangible Assets</t>
  </si>
  <si>
    <t>Fixed assets</t>
  </si>
  <si>
    <t>Property Plant &amp; Equipment</t>
  </si>
  <si>
    <t>Property, Plant &amp; Equipment</t>
  </si>
  <si>
    <t>Intangible Assets</t>
  </si>
  <si>
    <t>Other Intangible Assets</t>
  </si>
  <si>
    <t>Non Current Assets</t>
  </si>
  <si>
    <t>Current assets</t>
  </si>
  <si>
    <t>Inventories</t>
  </si>
  <si>
    <t>Trade Receivables</t>
  </si>
  <si>
    <t>Cash and cash equivalents</t>
  </si>
  <si>
    <t>Cash And Cash Equivalents</t>
  </si>
  <si>
    <t>Short Term Loans &amp; Advances</t>
  </si>
  <si>
    <t>Loans, Current</t>
  </si>
  <si>
    <t>Other Current Assets</t>
  </si>
  <si>
    <t>Profit before taxation</t>
  </si>
  <si>
    <t>Net Profit Before Tax And Exceptional Item</t>
  </si>
  <si>
    <t>Adjustments for :</t>
  </si>
  <si>
    <t>Depreciation</t>
  </si>
  <si>
    <t>Depreciation and Amortisation Expense</t>
  </si>
  <si>
    <t>Interest Expense</t>
  </si>
  <si>
    <t>Provision for Gratuity</t>
  </si>
  <si>
    <t>Provision For Gratuity,Leave Encashment And Pensions</t>
  </si>
  <si>
    <t>Exchange difference on translation of foreign currency cash and cash equivalents</t>
  </si>
  <si>
    <t>Effect of Exchange Fluctuation Translation Reserve</t>
  </si>
  <si>
    <t>Interest Income</t>
  </si>
  <si>
    <t>Interest Received</t>
  </si>
  <si>
    <t>Working capital changes :</t>
  </si>
  <si>
    <t>(Increase)/Decrease in Inventories</t>
  </si>
  <si>
    <t>(Increase)/Decrease in Trade Receivables</t>
  </si>
  <si>
    <t>Trade And Other Receivables</t>
  </si>
  <si>
    <t>(Increase)/Decrease in Short Term Loans &amp; Advances</t>
  </si>
  <si>
    <t>Short Term Loans And Advances</t>
  </si>
  <si>
    <t>(Increase)/Decrease in Other Current Assets</t>
  </si>
  <si>
    <t>Other Current and Non Current Assets</t>
  </si>
  <si>
    <t>Increase/(Decrease ) in Short Term Provisions</t>
  </si>
  <si>
    <t>Provisions</t>
  </si>
  <si>
    <t>Increase/(Decrease ) in Short Term Borrowings</t>
  </si>
  <si>
    <t>Proceeds From Short Term Borrowings</t>
  </si>
  <si>
    <t>Increase/(Decrease ) in Trade Payables</t>
  </si>
  <si>
    <t>Trade Payables And Others</t>
  </si>
  <si>
    <t>Increase/(Decrease ) in Other Current Liabilities</t>
  </si>
  <si>
    <t>Other Current and Non Current Liabilities</t>
  </si>
  <si>
    <t>Cash generated from operations</t>
  </si>
  <si>
    <t>Cash Generated From Operations</t>
  </si>
  <si>
    <t>Payment / Adjustment on Account of Tax Expenses</t>
  </si>
  <si>
    <t>Others-From Operations</t>
  </si>
  <si>
    <t>Net cash from operating activities</t>
  </si>
  <si>
    <t>Net Cash Flow From Operating Activities</t>
  </si>
  <si>
    <t>Cash flows from investing activities</t>
  </si>
  <si>
    <t>Purchase of property plant and equipment</t>
  </si>
  <si>
    <t>Purchase Of Fixed Assets (Tangible / Intangible)</t>
  </si>
  <si>
    <t>Proceeds from Sale of Assets</t>
  </si>
  <si>
    <t>Sale Of Fixed Assets (Tangible / Intangible)</t>
  </si>
  <si>
    <t>Net cash used in investing activities</t>
  </si>
  <si>
    <t>Net Cash Flow From Investing Activities</t>
  </si>
  <si>
    <t>Cash flows from financing activities</t>
  </si>
  <si>
    <t>Interest &amp; Finance Charges paid</t>
  </si>
  <si>
    <t>Interest Paid</t>
  </si>
  <si>
    <t>Changes in Non - Current Assets</t>
  </si>
  <si>
    <t>Others-Investing Activities</t>
  </si>
  <si>
    <t>Proceeds from Issue of Shares</t>
  </si>
  <si>
    <t>Proceeds From Issue Of Equity Shares (Inclu Share Premium)</t>
  </si>
  <si>
    <t>Share Issue Expenses</t>
  </si>
  <si>
    <t>Others-Financing Activities</t>
  </si>
  <si>
    <t>Proceeds from Long Term Borrowings</t>
  </si>
  <si>
    <t>Proceeds From Long Term Borrowings</t>
  </si>
  <si>
    <t>Repayment of Long Term Borrowing</t>
  </si>
  <si>
    <t>Repayment Of Long Term Borrowings</t>
  </si>
  <si>
    <t>Increase/(Decrease ) in Short Term Borrowing</t>
  </si>
  <si>
    <t>Increase/(Decrease ) in Long Term Provisions</t>
  </si>
  <si>
    <t>Net cash used in financing activities</t>
  </si>
  <si>
    <t>Net Cash Flow From Financing Activities</t>
  </si>
  <si>
    <t>Net increase in cash and cash equivalents</t>
  </si>
  <si>
    <t>Net increase (decrease) in cash and cash equivalents before effect of exchange rate changes</t>
  </si>
  <si>
    <t>Cash and cash equivalents at beginning of period</t>
  </si>
  <si>
    <t>Cash and Cash Equivalents at the Beginning of the Year</t>
  </si>
  <si>
    <t>Cash and cash equivalents at end of period</t>
  </si>
  <si>
    <t>Cash and Cash Equivalents at the End of the Year</t>
  </si>
  <si>
    <t>Total expenses</t>
  </si>
  <si>
    <t>Total Tax Expenses</t>
  </si>
  <si>
    <t>Long Term Provision</t>
  </si>
  <si>
    <t>Deferred Tax Liability ( Net )</t>
  </si>
  <si>
    <t>other Current Liabilities</t>
  </si>
  <si>
    <t>Non Current Investments</t>
  </si>
  <si>
    <t>Non-Current Investments</t>
  </si>
  <si>
    <t>Deferred Tax Assets ( Net )</t>
  </si>
  <si>
    <t>Deferred Tax Assets (Net)</t>
  </si>
  <si>
    <t>Increase/(Decrease ) in Other current Liabilities</t>
  </si>
  <si>
    <t>Decrease/(Increase ) in Trade receivables</t>
  </si>
  <si>
    <t>Decrease/(Increase ) in Inventories</t>
  </si>
  <si>
    <t>Decrease/(Increase ) in Short Term Loans &amp; Advances</t>
  </si>
  <si>
    <t>Decrease/(Increase ) in Other Current Assets</t>
  </si>
  <si>
    <t>(Increase ) in Non Current Investments</t>
  </si>
  <si>
    <t>Sale Of Investments</t>
  </si>
  <si>
    <t>Proceeds from Issuance of Shares</t>
  </si>
  <si>
    <t>Status</t>
  </si>
  <si>
    <t>Correct Field Mapping</t>
  </si>
  <si>
    <t>Field id</t>
  </si>
  <si>
    <t>Correct</t>
  </si>
  <si>
    <t>Incorrect</t>
  </si>
  <si>
    <t>Accuracy %</t>
  </si>
  <si>
    <t>Basic EPS</t>
  </si>
  <si>
    <t>Diluted EPS</t>
  </si>
  <si>
    <t>Foreign Exchange Gain / Loss</t>
  </si>
  <si>
    <t>Income Tax Paid</t>
  </si>
  <si>
    <t>Ignore this field</t>
  </si>
  <si>
    <t xml:space="preserve">Ignore rhis field </t>
  </si>
  <si>
    <t>Purchase Of Investments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</si>
</sst>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0" fontId="0" fillId="0" borderId="1" xfId="0" applyBorder="1"/>
    <xf numFmtId="0" fontId="2" fillId="0" borderId="1" xfId="0" applyFont="1" applyBorder="1"/>
    <xf numFmtId="0" fontId="0" fillId="2" borderId="1" xfId="0" applyFill="1" applyBorder="1"/>
    <xf numFmtId="9" fontId="0" fillId="0" borderId="1" xfId="1" applyFont="1" applyBorder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2"/>
  <sheetViews>
    <sheetView workbookViewId="0"/>
  </sheetViews>
  <sheetFormatPr defaultRowHeight="15" x14ac:dyDescent="0.25"/>
  <cols>
    <col min="1" max="1" width="63.28515625" bestFit="1" customWidth="1"/>
    <col min="2" max="2" width="76.42578125" bestFit="1" customWidth="1"/>
    <col min="3" max="3" width="10.85546875" customWidth="1"/>
    <col min="4" max="4" width="19.7109375" bestFit="1" customWidth="1"/>
    <col min="5" max="5" width="6.85546875" bestFit="1" customWidth="1"/>
  </cols>
  <sheetData>
    <row r="1" spans="1:8" x14ac:dyDescent="0.25">
      <c r="A1" s="1" t="s">
        <v>0</v>
      </c>
      <c r="B1" s="1" t="s">
        <v>1</v>
      </c>
      <c r="C1" s="2" t="s">
        <v>178</v>
      </c>
      <c r="D1" s="2" t="s">
        <v>179</v>
      </c>
      <c r="E1" s="2" t="s">
        <v>180</v>
      </c>
      <c r="G1" s="3" t="s">
        <v>181</v>
      </c>
      <c r="H1" s="3">
        <f>COUNTIF(C:C,G1)</f>
        <v>26</v>
      </c>
    </row>
    <row r="2" spans="1:8" x14ac:dyDescent="0.25">
      <c r="A2" s="3" t="s">
        <v>2</v>
      </c>
      <c r="B2" s="3" t="s">
        <v>3</v>
      </c>
      <c r="C2" s="3" t="s">
        <v>181</v>
      </c>
      <c r="D2" s="3"/>
      <c r="E2" s="3"/>
      <c r="G2" s="3" t="s">
        <v>182</v>
      </c>
      <c r="H2" s="3">
        <f>COUNTIF(C:C,G2)</f>
        <v>3</v>
      </c>
    </row>
    <row r="3" spans="1:8" x14ac:dyDescent="0.25">
      <c r="A3" s="3" t="s">
        <v>4</v>
      </c>
      <c r="B3" s="3" t="s">
        <v>5</v>
      </c>
      <c r="C3" s="3" t="s">
        <v>181</v>
      </c>
      <c r="D3" s="3"/>
      <c r="E3" s="3"/>
      <c r="G3" s="3" t="s">
        <v>183</v>
      </c>
      <c r="H3" s="6">
        <f>H1/SUM(H1:H2)</f>
        <v>0.89655172413793105</v>
      </c>
    </row>
    <row r="4" spans="1:8" x14ac:dyDescent="0.25">
      <c r="A4" s="3" t="s">
        <v>6</v>
      </c>
      <c r="B4" s="3" t="s">
        <v>7</v>
      </c>
      <c r="C4" s="3" t="s">
        <v>181</v>
      </c>
      <c r="D4" s="3"/>
      <c r="E4" s="3"/>
    </row>
    <row r="5" spans="1:8" x14ac:dyDescent="0.25">
      <c r="A5" s="3" t="s">
        <v>8</v>
      </c>
      <c r="B5" s="3" t="s">
        <v>9</v>
      </c>
      <c r="C5" s="3" t="s">
        <v>181</v>
      </c>
      <c r="D5" s="3"/>
      <c r="E5" s="3"/>
    </row>
    <row r="6" spans="1:8" x14ac:dyDescent="0.25">
      <c r="A6" s="3" t="s">
        <v>12</v>
      </c>
      <c r="B6" s="3" t="s">
        <v>13</v>
      </c>
      <c r="C6" s="3" t="s">
        <v>181</v>
      </c>
      <c r="D6" s="3"/>
      <c r="E6" s="3"/>
    </row>
    <row r="7" spans="1:8" x14ac:dyDescent="0.25">
      <c r="A7" s="3" t="s">
        <v>14</v>
      </c>
      <c r="B7" s="3" t="s">
        <v>15</v>
      </c>
      <c r="C7" s="3" t="s">
        <v>181</v>
      </c>
      <c r="D7" s="3"/>
      <c r="E7" s="3"/>
    </row>
    <row r="8" spans="1:8" x14ac:dyDescent="0.25">
      <c r="A8" s="3" t="s">
        <v>16</v>
      </c>
      <c r="B8" s="3" t="s">
        <v>17</v>
      </c>
      <c r="C8" s="3" t="s">
        <v>181</v>
      </c>
      <c r="D8" s="3"/>
      <c r="E8" s="3"/>
    </row>
    <row r="9" spans="1:8" x14ac:dyDescent="0.25">
      <c r="A9" s="3" t="s">
        <v>18</v>
      </c>
      <c r="B9" s="3" t="s">
        <v>19</v>
      </c>
      <c r="C9" s="3" t="s">
        <v>181</v>
      </c>
      <c r="D9" s="3"/>
      <c r="E9" s="3"/>
    </row>
    <row r="10" spans="1:8" x14ac:dyDescent="0.25">
      <c r="A10" s="3" t="s">
        <v>20</v>
      </c>
      <c r="B10" s="3" t="s">
        <v>21</v>
      </c>
      <c r="C10" s="3" t="s">
        <v>181</v>
      </c>
      <c r="D10" s="3"/>
      <c r="E10" s="3"/>
    </row>
    <row r="11" spans="1:8" x14ac:dyDescent="0.25">
      <c r="A11" s="3" t="s">
        <v>22</v>
      </c>
      <c r="B11" s="3" t="s">
        <v>22</v>
      </c>
      <c r="C11" s="3" t="s">
        <v>181</v>
      </c>
      <c r="D11" s="3"/>
      <c r="E11" s="3"/>
    </row>
    <row r="12" spans="1:8" x14ac:dyDescent="0.25">
      <c r="A12" s="3" t="s">
        <v>161</v>
      </c>
      <c r="B12" s="3" t="s">
        <v>24</v>
      </c>
      <c r="C12" s="3" t="s">
        <v>181</v>
      </c>
      <c r="D12" s="3"/>
      <c r="E12" s="3"/>
    </row>
    <row r="13" spans="1:8" x14ac:dyDescent="0.25">
      <c r="A13" s="3" t="s">
        <v>25</v>
      </c>
      <c r="B13" s="3" t="s">
        <v>26</v>
      </c>
      <c r="C13" s="3" t="s">
        <v>181</v>
      </c>
      <c r="D13" s="3"/>
      <c r="E13" s="3"/>
    </row>
    <row r="14" spans="1:8" x14ac:dyDescent="0.25">
      <c r="A14" s="3" t="s">
        <v>27</v>
      </c>
      <c r="B14" s="3" t="s">
        <v>28</v>
      </c>
      <c r="C14" s="3" t="s">
        <v>181</v>
      </c>
      <c r="D14" s="3"/>
      <c r="E14" s="3"/>
    </row>
    <row r="15" spans="1:8" x14ac:dyDescent="0.25">
      <c r="A15" s="3" t="s">
        <v>29</v>
      </c>
      <c r="B15" s="3" t="s">
        <v>26</v>
      </c>
      <c r="C15" s="3" t="s">
        <v>182</v>
      </c>
      <c r="D15" s="3" t="s">
        <v>32</v>
      </c>
      <c r="E15" s="3">
        <v>296</v>
      </c>
    </row>
    <row r="16" spans="1:8" x14ac:dyDescent="0.25">
      <c r="A16" s="3" t="s">
        <v>30</v>
      </c>
      <c r="B16" s="3" t="s">
        <v>30</v>
      </c>
      <c r="C16" s="3" t="s">
        <v>181</v>
      </c>
      <c r="D16" s="3"/>
      <c r="E16" s="3"/>
    </row>
    <row r="17" spans="1:5" x14ac:dyDescent="0.25">
      <c r="A17" s="4" t="s">
        <v>31</v>
      </c>
      <c r="B17" s="4" t="s">
        <v>32</v>
      </c>
      <c r="C17" s="3"/>
      <c r="D17" s="3" t="s">
        <v>188</v>
      </c>
      <c r="E17" s="3"/>
    </row>
    <row r="18" spans="1:5" x14ac:dyDescent="0.25">
      <c r="A18" s="3" t="s">
        <v>33</v>
      </c>
      <c r="B18" s="3" t="s">
        <v>9</v>
      </c>
      <c r="C18" s="3" t="s">
        <v>181</v>
      </c>
      <c r="D18" s="3"/>
      <c r="E18" s="3"/>
    </row>
    <row r="19" spans="1:5" x14ac:dyDescent="0.25">
      <c r="A19" s="3" t="s">
        <v>34</v>
      </c>
      <c r="B19" s="3" t="s">
        <v>35</v>
      </c>
      <c r="C19" s="3" t="s">
        <v>181</v>
      </c>
      <c r="D19" s="3"/>
      <c r="E19" s="3"/>
    </row>
    <row r="20" spans="1:5" x14ac:dyDescent="0.25">
      <c r="A20" s="3" t="s">
        <v>36</v>
      </c>
      <c r="B20" s="3" t="s">
        <v>36</v>
      </c>
      <c r="C20" s="3" t="s">
        <v>181</v>
      </c>
      <c r="D20" s="3"/>
      <c r="E20" s="3"/>
    </row>
    <row r="21" spans="1:5" x14ac:dyDescent="0.25">
      <c r="A21" s="3" t="s">
        <v>37</v>
      </c>
      <c r="B21" s="3" t="s">
        <v>35</v>
      </c>
      <c r="C21" s="3" t="s">
        <v>181</v>
      </c>
      <c r="D21" s="3"/>
      <c r="E21" s="3"/>
    </row>
    <row r="22" spans="1:5" x14ac:dyDescent="0.25">
      <c r="A22" s="3" t="s">
        <v>162</v>
      </c>
      <c r="B22" s="3" t="s">
        <v>39</v>
      </c>
      <c r="C22" s="3"/>
      <c r="D22" s="3" t="s">
        <v>188</v>
      </c>
      <c r="E22" s="3"/>
    </row>
    <row r="23" spans="1:5" x14ac:dyDescent="0.25">
      <c r="A23" s="4" t="s">
        <v>40</v>
      </c>
      <c r="B23" s="3" t="s">
        <v>41</v>
      </c>
      <c r="C23" s="3" t="s">
        <v>181</v>
      </c>
      <c r="D23" s="3"/>
      <c r="E23" s="3"/>
    </row>
    <row r="24" spans="1:5" x14ac:dyDescent="0.25">
      <c r="A24" s="3" t="s">
        <v>42</v>
      </c>
      <c r="B24" s="3" t="s">
        <v>43</v>
      </c>
      <c r="C24" s="3" t="s">
        <v>181</v>
      </c>
      <c r="D24" s="3"/>
      <c r="E24" s="3"/>
    </row>
    <row r="25" spans="1:5" x14ac:dyDescent="0.25">
      <c r="A25" s="3" t="s">
        <v>44</v>
      </c>
      <c r="B25" s="3" t="s">
        <v>45</v>
      </c>
      <c r="C25" s="3" t="s">
        <v>181</v>
      </c>
      <c r="D25" s="3"/>
      <c r="E25" s="3"/>
    </row>
    <row r="26" spans="1:5" x14ac:dyDescent="0.25">
      <c r="A26" s="3" t="s">
        <v>46</v>
      </c>
      <c r="B26" s="3" t="s">
        <v>47</v>
      </c>
      <c r="C26" s="3" t="s">
        <v>181</v>
      </c>
      <c r="D26" s="3"/>
      <c r="E26" s="3"/>
    </row>
    <row r="27" spans="1:5" x14ac:dyDescent="0.25">
      <c r="A27" s="3" t="s">
        <v>48</v>
      </c>
      <c r="B27" s="3" t="s">
        <v>49</v>
      </c>
      <c r="C27" s="3" t="s">
        <v>181</v>
      </c>
      <c r="D27" s="3"/>
      <c r="E27" s="3"/>
    </row>
    <row r="28" spans="1:5" x14ac:dyDescent="0.25">
      <c r="A28" s="3" t="s">
        <v>50</v>
      </c>
      <c r="B28" s="3" t="s">
        <v>51</v>
      </c>
      <c r="C28" s="3" t="s">
        <v>181</v>
      </c>
      <c r="D28" s="3"/>
      <c r="E28" s="3"/>
    </row>
    <row r="29" spans="1:5" x14ac:dyDescent="0.25">
      <c r="A29" s="3" t="s">
        <v>52</v>
      </c>
      <c r="B29" s="3" t="s">
        <v>53</v>
      </c>
      <c r="C29" s="3" t="s">
        <v>181</v>
      </c>
      <c r="D29" s="3"/>
      <c r="E29" s="3"/>
    </row>
    <row r="30" spans="1:5" x14ac:dyDescent="0.25">
      <c r="A30" s="3" t="s">
        <v>54</v>
      </c>
      <c r="B30" s="3" t="s">
        <v>9</v>
      </c>
      <c r="C30" s="3" t="s">
        <v>181</v>
      </c>
      <c r="D30" s="3"/>
      <c r="E30" s="3"/>
    </row>
    <row r="31" spans="1:5" x14ac:dyDescent="0.25">
      <c r="A31" s="3" t="s">
        <v>55</v>
      </c>
      <c r="B31" s="3" t="s">
        <v>9</v>
      </c>
      <c r="C31" s="3" t="s">
        <v>182</v>
      </c>
      <c r="D31" s="3" t="s">
        <v>184</v>
      </c>
      <c r="E31" s="5">
        <v>222</v>
      </c>
    </row>
    <row r="32" spans="1:5" x14ac:dyDescent="0.25">
      <c r="A32" s="3" t="s">
        <v>56</v>
      </c>
      <c r="B32" s="3" t="s">
        <v>9</v>
      </c>
      <c r="C32" s="3" t="s">
        <v>182</v>
      </c>
      <c r="D32" s="3" t="s">
        <v>185</v>
      </c>
      <c r="E32" s="5">
        <v>234</v>
      </c>
    </row>
  </sheetData>
  <autoFilter ref="A1:H1" xr:uid="{00000000-0001-0000-0300-000000000000}"/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3"/>
  <sheetViews>
    <sheetView workbookViewId="0"/>
  </sheetViews>
  <sheetFormatPr defaultRowHeight="15" x14ac:dyDescent="0.25"/>
  <cols>
    <col min="1" max="1" width="63.28515625" bestFit="1" customWidth="1"/>
    <col min="2" max="2" width="76.42578125" bestFit="1" customWidth="1"/>
    <col min="3" max="3" width="11.7109375" customWidth="1"/>
    <col min="4" max="4" width="19.7109375" bestFit="1" customWidth="1"/>
    <col min="5" max="5" width="6.85546875" bestFit="1" customWidth="1"/>
  </cols>
  <sheetData>
    <row r="1" spans="1:8" x14ac:dyDescent="0.25">
      <c r="A1" s="1" t="s">
        <v>0</v>
      </c>
      <c r="B1" s="1" t="s">
        <v>1</v>
      </c>
      <c r="C1" s="2" t="s">
        <v>178</v>
      </c>
      <c r="D1" s="2" t="s">
        <v>179</v>
      </c>
      <c r="E1" s="2" t="s">
        <v>180</v>
      </c>
      <c r="G1" s="3" t="s">
        <v>181</v>
      </c>
      <c r="H1" s="3">
        <f>COUNTIF(C:C,G1)</f>
        <v>27</v>
      </c>
    </row>
    <row r="2" spans="1:8" x14ac:dyDescent="0.25">
      <c r="A2" s="3" t="s">
        <v>2</v>
      </c>
      <c r="B2" s="3" t="s">
        <v>3</v>
      </c>
      <c r="C2" s="3" t="s">
        <v>181</v>
      </c>
      <c r="D2" s="3"/>
      <c r="E2" s="3"/>
      <c r="G2" s="3" t="s">
        <v>182</v>
      </c>
      <c r="H2" s="3">
        <f>COUNTIF(C:C,G2)</f>
        <v>3</v>
      </c>
    </row>
    <row r="3" spans="1:8" x14ac:dyDescent="0.25">
      <c r="A3" s="3" t="s">
        <v>4</v>
      </c>
      <c r="B3" s="3" t="s">
        <v>5</v>
      </c>
      <c r="C3" s="3" t="s">
        <v>181</v>
      </c>
      <c r="D3" s="3"/>
      <c r="E3" s="3"/>
      <c r="G3" s="3" t="s">
        <v>183</v>
      </c>
      <c r="H3" s="6">
        <f>H1/SUM(H1:H2)</f>
        <v>0.9</v>
      </c>
    </row>
    <row r="4" spans="1:8" x14ac:dyDescent="0.25">
      <c r="A4" s="3" t="s">
        <v>6</v>
      </c>
      <c r="B4" s="3" t="s">
        <v>7</v>
      </c>
      <c r="C4" s="3" t="s">
        <v>181</v>
      </c>
      <c r="D4" s="3"/>
      <c r="E4" s="3"/>
    </row>
    <row r="5" spans="1:8" x14ac:dyDescent="0.25">
      <c r="A5" s="3" t="s">
        <v>8</v>
      </c>
      <c r="B5" s="3" t="s">
        <v>9</v>
      </c>
      <c r="C5" s="3" t="s">
        <v>181</v>
      </c>
      <c r="D5" s="3"/>
      <c r="E5" s="3"/>
    </row>
    <row r="6" spans="1:8" x14ac:dyDescent="0.25">
      <c r="A6" s="3" t="s">
        <v>10</v>
      </c>
      <c r="B6" s="3" t="s">
        <v>11</v>
      </c>
      <c r="C6" s="3" t="s">
        <v>181</v>
      </c>
      <c r="D6" s="3"/>
      <c r="E6" s="3"/>
    </row>
    <row r="7" spans="1:8" x14ac:dyDescent="0.25">
      <c r="A7" s="3" t="s">
        <v>12</v>
      </c>
      <c r="B7" s="3" t="s">
        <v>13</v>
      </c>
      <c r="C7" s="3" t="s">
        <v>181</v>
      </c>
      <c r="D7" s="3"/>
      <c r="E7" s="3"/>
    </row>
    <row r="8" spans="1:8" x14ac:dyDescent="0.25">
      <c r="A8" s="3" t="s">
        <v>14</v>
      </c>
      <c r="B8" s="3" t="s">
        <v>15</v>
      </c>
      <c r="C8" s="3" t="s">
        <v>181</v>
      </c>
      <c r="D8" s="3"/>
      <c r="E8" s="3"/>
    </row>
    <row r="9" spans="1:8" x14ac:dyDescent="0.25">
      <c r="A9" s="3" t="s">
        <v>16</v>
      </c>
      <c r="B9" s="3" t="s">
        <v>17</v>
      </c>
      <c r="C9" s="3" t="s">
        <v>181</v>
      </c>
      <c r="D9" s="3"/>
      <c r="E9" s="3"/>
    </row>
    <row r="10" spans="1:8" x14ac:dyDescent="0.25">
      <c r="A10" s="3" t="s">
        <v>18</v>
      </c>
      <c r="B10" s="3" t="s">
        <v>19</v>
      </c>
      <c r="C10" s="3" t="s">
        <v>181</v>
      </c>
      <c r="D10" s="3"/>
      <c r="E10" s="3"/>
    </row>
    <row r="11" spans="1:8" x14ac:dyDescent="0.25">
      <c r="A11" s="3" t="s">
        <v>20</v>
      </c>
      <c r="B11" s="3" t="s">
        <v>21</v>
      </c>
      <c r="C11" s="3" t="s">
        <v>181</v>
      </c>
      <c r="D11" s="3"/>
      <c r="E11" s="3"/>
    </row>
    <row r="12" spans="1:8" x14ac:dyDescent="0.25">
      <c r="A12" s="3" t="s">
        <v>22</v>
      </c>
      <c r="B12" s="3" t="s">
        <v>22</v>
      </c>
      <c r="C12" s="3" t="s">
        <v>181</v>
      </c>
      <c r="D12" s="3"/>
      <c r="E12" s="3"/>
    </row>
    <row r="13" spans="1:8" x14ac:dyDescent="0.25">
      <c r="A13" s="3" t="s">
        <v>23</v>
      </c>
      <c r="B13" s="3" t="s">
        <v>24</v>
      </c>
      <c r="C13" s="3" t="s">
        <v>181</v>
      </c>
      <c r="D13" s="3"/>
      <c r="E13" s="3"/>
    </row>
    <row r="14" spans="1:8" x14ac:dyDescent="0.25">
      <c r="A14" s="3" t="s">
        <v>25</v>
      </c>
      <c r="B14" s="3" t="s">
        <v>26</v>
      </c>
      <c r="C14" s="3" t="s">
        <v>181</v>
      </c>
      <c r="D14" s="3"/>
      <c r="E14" s="3"/>
    </row>
    <row r="15" spans="1:8" x14ac:dyDescent="0.25">
      <c r="A15" s="3" t="s">
        <v>27</v>
      </c>
      <c r="B15" s="3" t="s">
        <v>28</v>
      </c>
      <c r="C15" s="3" t="s">
        <v>181</v>
      </c>
      <c r="D15" s="3"/>
      <c r="E15" s="3"/>
    </row>
    <row r="16" spans="1:8" x14ac:dyDescent="0.25">
      <c r="A16" s="3" t="s">
        <v>29</v>
      </c>
      <c r="B16" s="3" t="s">
        <v>26</v>
      </c>
      <c r="C16" s="3" t="s">
        <v>182</v>
      </c>
      <c r="D16" s="3" t="s">
        <v>32</v>
      </c>
      <c r="E16" s="3">
        <v>296</v>
      </c>
    </row>
    <row r="17" spans="1:5" x14ac:dyDescent="0.25">
      <c r="A17" s="3" t="s">
        <v>30</v>
      </c>
      <c r="B17" s="3" t="s">
        <v>30</v>
      </c>
      <c r="C17" s="3" t="s">
        <v>181</v>
      </c>
      <c r="D17" s="3"/>
      <c r="E17" s="3"/>
    </row>
    <row r="18" spans="1:5" x14ac:dyDescent="0.25">
      <c r="A18" s="3" t="s">
        <v>31</v>
      </c>
      <c r="B18" s="3" t="s">
        <v>32</v>
      </c>
      <c r="C18" s="3"/>
      <c r="D18" s="3" t="s">
        <v>188</v>
      </c>
      <c r="E18" s="3"/>
    </row>
    <row r="19" spans="1:5" x14ac:dyDescent="0.25">
      <c r="A19" s="3" t="s">
        <v>33</v>
      </c>
      <c r="B19" s="3" t="s">
        <v>9</v>
      </c>
      <c r="C19" s="3" t="s">
        <v>181</v>
      </c>
      <c r="D19" s="3"/>
      <c r="E19" s="3"/>
    </row>
    <row r="20" spans="1:5" x14ac:dyDescent="0.25">
      <c r="A20" s="3" t="s">
        <v>34</v>
      </c>
      <c r="B20" s="3" t="s">
        <v>35</v>
      </c>
      <c r="C20" s="3" t="s">
        <v>181</v>
      </c>
      <c r="D20" s="3"/>
      <c r="E20" s="3"/>
    </row>
    <row r="21" spans="1:5" x14ac:dyDescent="0.25">
      <c r="A21" s="3" t="s">
        <v>36</v>
      </c>
      <c r="B21" s="3" t="s">
        <v>36</v>
      </c>
      <c r="C21" s="3" t="s">
        <v>181</v>
      </c>
      <c r="D21" s="3"/>
      <c r="E21" s="3"/>
    </row>
    <row r="22" spans="1:5" x14ac:dyDescent="0.25">
      <c r="A22" s="3" t="s">
        <v>37</v>
      </c>
      <c r="B22" s="3" t="s">
        <v>35</v>
      </c>
      <c r="C22" s="3" t="s">
        <v>181</v>
      </c>
      <c r="D22" s="3"/>
      <c r="E22" s="3"/>
    </row>
    <row r="23" spans="1:5" x14ac:dyDescent="0.25">
      <c r="A23" s="3" t="s">
        <v>38</v>
      </c>
      <c r="B23" s="3" t="s">
        <v>39</v>
      </c>
      <c r="C23" s="3"/>
      <c r="D23" s="3" t="s">
        <v>189</v>
      </c>
      <c r="E23" s="3"/>
    </row>
    <row r="24" spans="1:5" x14ac:dyDescent="0.25">
      <c r="A24" s="3" t="s">
        <v>40</v>
      </c>
      <c r="B24" s="3" t="s">
        <v>41</v>
      </c>
      <c r="C24" s="3" t="s">
        <v>181</v>
      </c>
      <c r="D24" s="3"/>
      <c r="E24" s="3"/>
    </row>
    <row r="25" spans="1:5" x14ac:dyDescent="0.25">
      <c r="A25" s="3" t="s">
        <v>42</v>
      </c>
      <c r="B25" s="3" t="s">
        <v>43</v>
      </c>
      <c r="C25" s="3" t="s">
        <v>181</v>
      </c>
      <c r="D25" s="3"/>
      <c r="E25" s="3"/>
    </row>
    <row r="26" spans="1:5" x14ac:dyDescent="0.25">
      <c r="A26" s="3" t="s">
        <v>44</v>
      </c>
      <c r="B26" s="3" t="s">
        <v>45</v>
      </c>
      <c r="C26" s="3" t="s">
        <v>181</v>
      </c>
      <c r="D26" s="3"/>
      <c r="E26" s="3"/>
    </row>
    <row r="27" spans="1:5" x14ac:dyDescent="0.25">
      <c r="A27" s="3" t="s">
        <v>46</v>
      </c>
      <c r="B27" s="3" t="s">
        <v>47</v>
      </c>
      <c r="C27" s="3" t="s">
        <v>181</v>
      </c>
      <c r="D27" s="3"/>
      <c r="E27" s="3"/>
    </row>
    <row r="28" spans="1:5" x14ac:dyDescent="0.25">
      <c r="A28" s="3" t="s">
        <v>48</v>
      </c>
      <c r="B28" s="3" t="s">
        <v>49</v>
      </c>
      <c r="C28" s="3" t="s">
        <v>181</v>
      </c>
      <c r="D28" s="3"/>
      <c r="E28" s="3"/>
    </row>
    <row r="29" spans="1:5" x14ac:dyDescent="0.25">
      <c r="A29" s="3" t="s">
        <v>50</v>
      </c>
      <c r="B29" s="3" t="s">
        <v>51</v>
      </c>
      <c r="C29" s="3" t="s">
        <v>181</v>
      </c>
      <c r="D29" s="3"/>
      <c r="E29" s="3"/>
    </row>
    <row r="30" spans="1:5" x14ac:dyDescent="0.25">
      <c r="A30" s="3" t="s">
        <v>52</v>
      </c>
      <c r="B30" s="3" t="s">
        <v>53</v>
      </c>
      <c r="C30" s="3" t="s">
        <v>181</v>
      </c>
      <c r="D30" s="3"/>
      <c r="E30" s="3"/>
    </row>
    <row r="31" spans="1:5" x14ac:dyDescent="0.25">
      <c r="A31" s="3" t="s">
        <v>54</v>
      </c>
      <c r="B31" s="3" t="s">
        <v>9</v>
      </c>
      <c r="C31" s="3" t="s">
        <v>181</v>
      </c>
      <c r="D31" s="3"/>
      <c r="E31" s="3"/>
    </row>
    <row r="32" spans="1:5" x14ac:dyDescent="0.25">
      <c r="A32" s="3" t="s">
        <v>55</v>
      </c>
      <c r="B32" s="3" t="s">
        <v>9</v>
      </c>
      <c r="C32" s="3" t="s">
        <v>182</v>
      </c>
      <c r="D32" s="3" t="s">
        <v>184</v>
      </c>
      <c r="E32" s="5">
        <v>222</v>
      </c>
    </row>
    <row r="33" spans="1:5" x14ac:dyDescent="0.25">
      <c r="A33" s="3" t="s">
        <v>56</v>
      </c>
      <c r="B33" s="3" t="s">
        <v>9</v>
      </c>
      <c r="C33" s="3" t="s">
        <v>182</v>
      </c>
      <c r="D33" s="3" t="s">
        <v>185</v>
      </c>
      <c r="E33" s="5">
        <v>234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1"/>
  <sheetViews>
    <sheetView tabSelected="1" workbookViewId="0"/>
  </sheetViews>
  <sheetFormatPr defaultRowHeight="15" x14ac:dyDescent="0.25"/>
  <cols>
    <col min="1" max="1" width="66" bestFit="1" customWidth="1"/>
    <col min="2" max="2" width="29.28515625" bestFit="1" customWidth="1"/>
    <col min="3" max="3" width="9.7109375" customWidth="1"/>
    <col min="4" max="4" width="19.7109375" bestFit="1" customWidth="1"/>
    <col min="5" max="5" width="6.85546875" bestFit="1" customWidth="1"/>
  </cols>
  <sheetData>
    <row r="1" spans="1:8" x14ac:dyDescent="0.25">
      <c r="A1" s="1" t="s">
        <v>0</v>
      </c>
      <c r="B1" s="1" t="s">
        <v>1</v>
      </c>
      <c r="C1" s="2" t="s">
        <v>178</v>
      </c>
      <c r="D1" s="2" t="s">
        <v>179</v>
      </c>
      <c r="E1" s="2" t="s">
        <v>180</v>
      </c>
      <c r="G1" s="3" t="s">
        <v>181</v>
      </c>
      <c r="H1" s="3">
        <f>COUNTIF(C:C,G1)</f>
        <v>29</v>
      </c>
    </row>
    <row r="2" spans="1:8" x14ac:dyDescent="0.25">
      <c r="A2" s="3" t="s">
        <v>57</v>
      </c>
      <c r="B2" s="3" t="s">
        <v>9</v>
      </c>
      <c r="C2" s="3" t="s">
        <v>181</v>
      </c>
      <c r="D2" s="3"/>
      <c r="E2" s="3"/>
      <c r="G2" s="3" t="s">
        <v>182</v>
      </c>
      <c r="H2" s="3">
        <f>COUNTIF(C:C,G2)</f>
        <v>1</v>
      </c>
    </row>
    <row r="3" spans="1:8" x14ac:dyDescent="0.25">
      <c r="A3" s="3" t="s">
        <v>58</v>
      </c>
      <c r="B3" s="3" t="s">
        <v>59</v>
      </c>
      <c r="C3" s="3" t="s">
        <v>181</v>
      </c>
      <c r="D3" s="3"/>
      <c r="E3" s="3"/>
      <c r="G3" s="3" t="s">
        <v>183</v>
      </c>
      <c r="H3" s="3">
        <f>H1/SUM(H1:H2)</f>
        <v>0.96666666666666667</v>
      </c>
    </row>
    <row r="4" spans="1:8" x14ac:dyDescent="0.25">
      <c r="A4" s="3" t="s">
        <v>60</v>
      </c>
      <c r="B4" s="3" t="s">
        <v>61</v>
      </c>
      <c r="C4" s="3" t="s">
        <v>181</v>
      </c>
      <c r="D4" s="3"/>
      <c r="E4" s="3"/>
    </row>
    <row r="5" spans="1:8" x14ac:dyDescent="0.25">
      <c r="A5" s="3" t="s">
        <v>62</v>
      </c>
      <c r="B5" s="3" t="s">
        <v>9</v>
      </c>
      <c r="C5" s="3" t="s">
        <v>181</v>
      </c>
      <c r="D5" s="3"/>
      <c r="E5" s="3"/>
    </row>
    <row r="6" spans="1:8" x14ac:dyDescent="0.25">
      <c r="A6" s="3" t="s">
        <v>63</v>
      </c>
      <c r="B6" s="3" t="s">
        <v>64</v>
      </c>
      <c r="C6" s="3" t="s">
        <v>181</v>
      </c>
      <c r="D6" s="3"/>
      <c r="E6" s="3"/>
    </row>
    <row r="7" spans="1:8" x14ac:dyDescent="0.25">
      <c r="A7" s="3" t="s">
        <v>163</v>
      </c>
      <c r="B7" s="3" t="s">
        <v>66</v>
      </c>
      <c r="C7" s="3" t="s">
        <v>181</v>
      </c>
      <c r="D7" s="3"/>
      <c r="E7" s="3"/>
    </row>
    <row r="8" spans="1:8" x14ac:dyDescent="0.25">
      <c r="A8" s="3" t="s">
        <v>164</v>
      </c>
      <c r="B8" s="3" t="s">
        <v>68</v>
      </c>
      <c r="C8" s="3" t="s">
        <v>181</v>
      </c>
      <c r="D8" s="3"/>
      <c r="E8" s="3"/>
    </row>
    <row r="9" spans="1:8" x14ac:dyDescent="0.25">
      <c r="A9" s="3" t="s">
        <v>69</v>
      </c>
      <c r="B9" s="3" t="s">
        <v>9</v>
      </c>
      <c r="C9" s="3" t="s">
        <v>181</v>
      </c>
      <c r="D9" s="3"/>
      <c r="E9" s="3"/>
    </row>
    <row r="10" spans="1:8" x14ac:dyDescent="0.25">
      <c r="A10" s="3" t="s">
        <v>70</v>
      </c>
      <c r="B10" s="3" t="s">
        <v>64</v>
      </c>
      <c r="C10" s="3" t="s">
        <v>181</v>
      </c>
      <c r="D10" s="3"/>
      <c r="E10" s="3"/>
    </row>
    <row r="11" spans="1:8" x14ac:dyDescent="0.25">
      <c r="A11" s="3" t="s">
        <v>71</v>
      </c>
      <c r="B11" s="3" t="s">
        <v>71</v>
      </c>
      <c r="C11" s="3" t="s">
        <v>182</v>
      </c>
      <c r="D11" s="3" t="s">
        <v>9</v>
      </c>
      <c r="E11" s="3"/>
    </row>
    <row r="12" spans="1:8" x14ac:dyDescent="0.25">
      <c r="A12" s="3" t="s">
        <v>72</v>
      </c>
      <c r="B12" s="3" t="s">
        <v>71</v>
      </c>
      <c r="C12" s="3" t="s">
        <v>181</v>
      </c>
      <c r="D12" s="3"/>
      <c r="E12" s="3"/>
    </row>
    <row r="13" spans="1:8" x14ac:dyDescent="0.25">
      <c r="A13" s="3" t="s">
        <v>73</v>
      </c>
      <c r="B13" s="3" t="s">
        <v>71</v>
      </c>
      <c r="C13" s="3" t="s">
        <v>181</v>
      </c>
      <c r="D13" s="3"/>
      <c r="E13" s="3"/>
    </row>
    <row r="14" spans="1:8" x14ac:dyDescent="0.25">
      <c r="A14" s="3" t="s">
        <v>165</v>
      </c>
      <c r="B14" s="3" t="s">
        <v>75</v>
      </c>
      <c r="C14" s="3" t="s">
        <v>181</v>
      </c>
      <c r="D14" s="3"/>
      <c r="E14" s="3"/>
    </row>
    <row r="15" spans="1:8" x14ac:dyDescent="0.25">
      <c r="A15" s="3" t="s">
        <v>76</v>
      </c>
      <c r="B15" s="3" t="s">
        <v>77</v>
      </c>
      <c r="C15" s="3" t="s">
        <v>181</v>
      </c>
      <c r="D15" s="3"/>
      <c r="E15" s="3"/>
    </row>
    <row r="16" spans="1:8" x14ac:dyDescent="0.25">
      <c r="A16" s="3" t="s">
        <v>78</v>
      </c>
      <c r="B16" s="3" t="s">
        <v>79</v>
      </c>
      <c r="C16" s="3" t="s">
        <v>181</v>
      </c>
      <c r="D16" s="3"/>
      <c r="E16" s="3"/>
    </row>
    <row r="17" spans="1:5" x14ac:dyDescent="0.25">
      <c r="A17" s="3" t="s">
        <v>80</v>
      </c>
      <c r="B17" s="3" t="s">
        <v>9</v>
      </c>
      <c r="C17" s="3" t="s">
        <v>181</v>
      </c>
      <c r="D17" s="3"/>
      <c r="E17" s="3"/>
    </row>
    <row r="18" spans="1:5" x14ac:dyDescent="0.25">
      <c r="A18" s="3" t="s">
        <v>81</v>
      </c>
      <c r="B18" s="3" t="s">
        <v>9</v>
      </c>
      <c r="C18" s="3" t="s">
        <v>181</v>
      </c>
      <c r="D18" s="3"/>
      <c r="E18" s="3"/>
    </row>
    <row r="19" spans="1:5" x14ac:dyDescent="0.25">
      <c r="A19" s="3" t="s">
        <v>82</v>
      </c>
      <c r="B19" s="3" t="s">
        <v>9</v>
      </c>
      <c r="C19" s="3" t="s">
        <v>181</v>
      </c>
      <c r="D19" s="3"/>
      <c r="E19" s="3"/>
    </row>
    <row r="20" spans="1:5" x14ac:dyDescent="0.25">
      <c r="A20" s="3" t="s">
        <v>83</v>
      </c>
      <c r="B20" s="3" t="s">
        <v>9</v>
      </c>
      <c r="C20" s="3" t="s">
        <v>181</v>
      </c>
      <c r="D20" s="3"/>
      <c r="E20" s="3"/>
    </row>
    <row r="21" spans="1:5" x14ac:dyDescent="0.25">
      <c r="A21" s="3" t="s">
        <v>84</v>
      </c>
      <c r="B21" s="3" t="s">
        <v>85</v>
      </c>
      <c r="C21" s="3" t="s">
        <v>181</v>
      </c>
      <c r="D21" s="3"/>
      <c r="E21" s="3"/>
    </row>
    <row r="22" spans="1:5" x14ac:dyDescent="0.25">
      <c r="A22" s="3" t="s">
        <v>166</v>
      </c>
      <c r="B22" s="3" t="s">
        <v>167</v>
      </c>
      <c r="C22" s="3" t="s">
        <v>181</v>
      </c>
      <c r="D22" s="3"/>
      <c r="E22" s="3"/>
    </row>
    <row r="23" spans="1:5" x14ac:dyDescent="0.25">
      <c r="A23" s="3" t="s">
        <v>168</v>
      </c>
      <c r="B23" s="3" t="s">
        <v>169</v>
      </c>
      <c r="C23" s="3" t="s">
        <v>181</v>
      </c>
      <c r="D23" s="3"/>
      <c r="E23" s="3"/>
    </row>
    <row r="24" spans="1:5" x14ac:dyDescent="0.25">
      <c r="A24" s="3" t="s">
        <v>88</v>
      </c>
      <c r="B24" s="3" t="s">
        <v>9</v>
      </c>
      <c r="C24" s="3" t="s">
        <v>181</v>
      </c>
      <c r="D24" s="3"/>
      <c r="E24" s="3"/>
    </row>
    <row r="25" spans="1:5" x14ac:dyDescent="0.25">
      <c r="A25" s="3" t="s">
        <v>89</v>
      </c>
      <c r="B25" s="3" t="s">
        <v>9</v>
      </c>
      <c r="C25" s="3" t="s">
        <v>181</v>
      </c>
      <c r="D25" s="3"/>
      <c r="E25" s="3"/>
    </row>
    <row r="26" spans="1:5" x14ac:dyDescent="0.25">
      <c r="A26" s="3" t="s">
        <v>90</v>
      </c>
      <c r="B26" s="3" t="s">
        <v>90</v>
      </c>
      <c r="C26" s="3" t="s">
        <v>181</v>
      </c>
      <c r="D26" s="3"/>
      <c r="E26" s="3"/>
    </row>
    <row r="27" spans="1:5" x14ac:dyDescent="0.25">
      <c r="A27" s="3" t="s">
        <v>91</v>
      </c>
      <c r="B27" s="3" t="s">
        <v>91</v>
      </c>
      <c r="C27" s="3" t="s">
        <v>181</v>
      </c>
      <c r="D27" s="3"/>
      <c r="E27" s="3"/>
    </row>
    <row r="28" spans="1:5" x14ac:dyDescent="0.25">
      <c r="A28" s="3" t="s">
        <v>92</v>
      </c>
      <c r="B28" s="3" t="s">
        <v>93</v>
      </c>
      <c r="C28" s="3" t="s">
        <v>181</v>
      </c>
      <c r="D28" s="3"/>
      <c r="E28" s="3"/>
    </row>
    <row r="29" spans="1:5" x14ac:dyDescent="0.25">
      <c r="A29" s="3" t="s">
        <v>94</v>
      </c>
      <c r="B29" s="3" t="s">
        <v>95</v>
      </c>
      <c r="C29" s="3" t="s">
        <v>181</v>
      </c>
      <c r="D29" s="3"/>
      <c r="E29" s="3"/>
    </row>
    <row r="30" spans="1:5" x14ac:dyDescent="0.25">
      <c r="A30" s="3" t="s">
        <v>96</v>
      </c>
      <c r="B30" s="3" t="s">
        <v>96</v>
      </c>
      <c r="C30" s="3" t="s">
        <v>181</v>
      </c>
      <c r="D30" s="3"/>
      <c r="E30" s="3"/>
    </row>
    <row r="31" spans="1:5" x14ac:dyDescent="0.25">
      <c r="A31" s="3" t="s">
        <v>78</v>
      </c>
      <c r="B31" s="3" t="s">
        <v>79</v>
      </c>
      <c r="C31" s="3" t="s">
        <v>181</v>
      </c>
      <c r="D31" s="3"/>
      <c r="E31" s="3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0"/>
  <sheetViews>
    <sheetView topLeftCell="A14" workbookViewId="0">
      <selection activeCell="B21" sqref="B21"/>
    </sheetView>
  </sheetViews>
  <sheetFormatPr defaultRowHeight="15" x14ac:dyDescent="0.25"/>
  <cols>
    <col min="1" max="1" width="66" bestFit="1" customWidth="1"/>
    <col min="2" max="2" width="29.28515625" bestFit="1" customWidth="1"/>
    <col min="3" max="3" width="9.5703125" customWidth="1"/>
    <col min="4" max="4" width="19.7109375" bestFit="1" customWidth="1"/>
    <col min="5" max="5" width="6.85546875" bestFit="1" customWidth="1"/>
  </cols>
  <sheetData>
    <row r="1" spans="1:8" x14ac:dyDescent="0.25">
      <c r="A1" s="1" t="s">
        <v>0</v>
      </c>
      <c r="B1" s="1" t="s">
        <v>1</v>
      </c>
      <c r="C1" s="2" t="s">
        <v>178</v>
      </c>
      <c r="D1" s="2" t="s">
        <v>179</v>
      </c>
      <c r="E1" s="2" t="s">
        <v>180</v>
      </c>
      <c r="G1" s="3" t="s">
        <v>181</v>
      </c>
      <c r="H1" s="3">
        <f>COUNTIF(C:C,G1)</f>
        <v>28</v>
      </c>
    </row>
    <row r="2" spans="1:8" x14ac:dyDescent="0.25">
      <c r="A2" s="3" t="s">
        <v>57</v>
      </c>
      <c r="B2" s="3" t="s">
        <v>9</v>
      </c>
      <c r="C2" s="3" t="s">
        <v>181</v>
      </c>
      <c r="D2" s="3"/>
      <c r="E2" s="3"/>
      <c r="G2" s="3" t="s">
        <v>182</v>
      </c>
      <c r="H2" s="3">
        <f>COUNTIF(C:C,G2)</f>
        <v>1</v>
      </c>
    </row>
    <row r="3" spans="1:8" x14ac:dyDescent="0.25">
      <c r="A3" s="3" t="s">
        <v>58</v>
      </c>
      <c r="B3" s="3" t="s">
        <v>59</v>
      </c>
      <c r="C3" s="3" t="s">
        <v>181</v>
      </c>
      <c r="D3" s="3"/>
      <c r="E3" s="3"/>
      <c r="G3" s="3" t="s">
        <v>183</v>
      </c>
      <c r="H3" s="6">
        <f>H1/SUM(H1:H2)</f>
        <v>0.96551724137931039</v>
      </c>
    </row>
    <row r="4" spans="1:8" x14ac:dyDescent="0.25">
      <c r="A4" s="3" t="s">
        <v>60</v>
      </c>
      <c r="B4" s="3" t="s">
        <v>61</v>
      </c>
      <c r="C4" s="3" t="s">
        <v>181</v>
      </c>
      <c r="D4" s="3"/>
      <c r="E4" s="3"/>
    </row>
    <row r="5" spans="1:8" x14ac:dyDescent="0.25">
      <c r="A5" s="3" t="s">
        <v>62</v>
      </c>
      <c r="B5" s="3" t="s">
        <v>9</v>
      </c>
      <c r="C5" s="3" t="s">
        <v>181</v>
      </c>
      <c r="D5" s="3"/>
      <c r="E5" s="3"/>
    </row>
    <row r="6" spans="1:8" x14ac:dyDescent="0.25">
      <c r="A6" s="3" t="s">
        <v>63</v>
      </c>
      <c r="B6" s="3" t="s">
        <v>64</v>
      </c>
      <c r="C6" s="3" t="s">
        <v>181</v>
      </c>
      <c r="D6" s="3"/>
      <c r="E6" s="3"/>
    </row>
    <row r="7" spans="1:8" x14ac:dyDescent="0.25">
      <c r="A7" s="3" t="s">
        <v>65</v>
      </c>
      <c r="B7" s="3" t="s">
        <v>66</v>
      </c>
      <c r="C7" s="3" t="s">
        <v>181</v>
      </c>
      <c r="D7" s="3"/>
      <c r="E7" s="3"/>
    </row>
    <row r="8" spans="1:8" x14ac:dyDescent="0.25">
      <c r="A8" s="3" t="s">
        <v>67</v>
      </c>
      <c r="B8" s="3" t="s">
        <v>68</v>
      </c>
      <c r="C8" s="3" t="s">
        <v>181</v>
      </c>
      <c r="D8" s="3"/>
      <c r="E8" s="3"/>
    </row>
    <row r="9" spans="1:8" x14ac:dyDescent="0.25">
      <c r="A9" s="3" t="s">
        <v>69</v>
      </c>
      <c r="B9" s="3" t="s">
        <v>9</v>
      </c>
      <c r="C9" s="3" t="s">
        <v>181</v>
      </c>
      <c r="D9" s="3"/>
      <c r="E9" s="3"/>
    </row>
    <row r="10" spans="1:8" x14ac:dyDescent="0.25">
      <c r="A10" s="3" t="s">
        <v>70</v>
      </c>
      <c r="B10" s="3" t="s">
        <v>64</v>
      </c>
      <c r="C10" s="3" t="s">
        <v>181</v>
      </c>
      <c r="D10" s="3"/>
      <c r="E10" s="3"/>
    </row>
    <row r="11" spans="1:8" x14ac:dyDescent="0.25">
      <c r="A11" s="3" t="s">
        <v>71</v>
      </c>
      <c r="B11" s="3" t="s">
        <v>71</v>
      </c>
      <c r="C11" s="3" t="s">
        <v>182</v>
      </c>
      <c r="D11" s="3" t="s">
        <v>9</v>
      </c>
      <c r="E11" s="3"/>
    </row>
    <row r="12" spans="1:8" x14ac:dyDescent="0.25">
      <c r="A12" s="3" t="s">
        <v>72</v>
      </c>
      <c r="B12" s="3" t="s">
        <v>71</v>
      </c>
      <c r="C12" s="3" t="s">
        <v>181</v>
      </c>
      <c r="D12" s="3"/>
      <c r="E12" s="3"/>
    </row>
    <row r="13" spans="1:8" x14ac:dyDescent="0.25">
      <c r="A13" s="3" t="s">
        <v>73</v>
      </c>
      <c r="B13" s="3" t="s">
        <v>71</v>
      </c>
      <c r="C13" s="3" t="s">
        <v>181</v>
      </c>
      <c r="D13" s="3"/>
      <c r="E13" s="3"/>
    </row>
    <row r="14" spans="1:8" x14ac:dyDescent="0.25">
      <c r="A14" s="3" t="s">
        <v>74</v>
      </c>
      <c r="B14" s="3" t="s">
        <v>75</v>
      </c>
      <c r="C14" s="3" t="s">
        <v>181</v>
      </c>
      <c r="D14" s="3"/>
      <c r="E14" s="3"/>
    </row>
    <row r="15" spans="1:8" x14ac:dyDescent="0.25">
      <c r="A15" s="3" t="s">
        <v>76</v>
      </c>
      <c r="B15" s="3" t="s">
        <v>77</v>
      </c>
      <c r="C15" s="3" t="s">
        <v>181</v>
      </c>
      <c r="D15" s="3"/>
      <c r="E15" s="3"/>
    </row>
    <row r="16" spans="1:8" x14ac:dyDescent="0.25">
      <c r="A16" s="3" t="s">
        <v>78</v>
      </c>
      <c r="B16" s="3" t="s">
        <v>79</v>
      </c>
      <c r="C16" s="3" t="s">
        <v>181</v>
      </c>
      <c r="D16" s="3"/>
      <c r="E16" s="3"/>
    </row>
    <row r="17" spans="1:5" x14ac:dyDescent="0.25">
      <c r="A17" s="3" t="s">
        <v>80</v>
      </c>
      <c r="B17" s="3" t="s">
        <v>9</v>
      </c>
      <c r="C17" s="3" t="s">
        <v>181</v>
      </c>
      <c r="D17" s="3"/>
      <c r="E17" s="3"/>
    </row>
    <row r="18" spans="1:5" x14ac:dyDescent="0.25">
      <c r="A18" s="3" t="s">
        <v>81</v>
      </c>
      <c r="B18" s="3" t="s">
        <v>9</v>
      </c>
      <c r="C18" s="3" t="s">
        <v>181</v>
      </c>
      <c r="D18" s="3"/>
      <c r="E18" s="3"/>
    </row>
    <row r="19" spans="1:5" x14ac:dyDescent="0.25">
      <c r="A19" s="3" t="s">
        <v>82</v>
      </c>
      <c r="B19" s="3" t="s">
        <v>9</v>
      </c>
      <c r="C19" s="3" t="s">
        <v>181</v>
      </c>
      <c r="D19" s="3"/>
      <c r="E19" s="3"/>
    </row>
    <row r="20" spans="1:5" x14ac:dyDescent="0.25">
      <c r="A20" s="3" t="s">
        <v>83</v>
      </c>
      <c r="B20" s="3" t="s">
        <v>9</v>
      </c>
      <c r="C20" s="3" t="s">
        <v>181</v>
      </c>
      <c r="D20" s="3"/>
      <c r="E20" s="3"/>
    </row>
    <row r="21" spans="1:5" x14ac:dyDescent="0.25">
      <c r="A21" s="3" t="s">
        <v>84</v>
      </c>
      <c r="B21" s="3" t="s">
        <v>85</v>
      </c>
      <c r="C21" s="3" t="s">
        <v>181</v>
      </c>
      <c r="D21" s="3"/>
      <c r="E21" s="3"/>
    </row>
    <row r="22" spans="1:5" x14ac:dyDescent="0.25">
      <c r="A22" s="3" t="s">
        <v>86</v>
      </c>
      <c r="B22" s="3" t="s">
        <v>87</v>
      </c>
      <c r="C22" s="3" t="s">
        <v>181</v>
      </c>
      <c r="D22" s="3"/>
      <c r="E22" s="3"/>
    </row>
    <row r="23" spans="1:5" x14ac:dyDescent="0.25">
      <c r="A23" s="3" t="s">
        <v>88</v>
      </c>
      <c r="B23" s="3" t="s">
        <v>9</v>
      </c>
      <c r="C23" s="3" t="s">
        <v>181</v>
      </c>
      <c r="D23" s="3"/>
      <c r="E23" s="3"/>
    </row>
    <row r="24" spans="1:5" x14ac:dyDescent="0.25">
      <c r="A24" s="3" t="s">
        <v>89</v>
      </c>
      <c r="B24" s="3" t="s">
        <v>9</v>
      </c>
      <c r="C24" s="3" t="s">
        <v>181</v>
      </c>
      <c r="D24" s="3"/>
      <c r="E24" s="3"/>
    </row>
    <row r="25" spans="1:5" x14ac:dyDescent="0.25">
      <c r="A25" s="3" t="s">
        <v>90</v>
      </c>
      <c r="B25" s="3" t="s">
        <v>90</v>
      </c>
      <c r="C25" s="3" t="s">
        <v>181</v>
      </c>
      <c r="D25" s="3"/>
      <c r="E25" s="3"/>
    </row>
    <row r="26" spans="1:5" x14ac:dyDescent="0.25">
      <c r="A26" s="3" t="s">
        <v>91</v>
      </c>
      <c r="B26" s="3" t="s">
        <v>91</v>
      </c>
      <c r="C26" s="3" t="s">
        <v>181</v>
      </c>
      <c r="D26" s="3"/>
      <c r="E26" s="3"/>
    </row>
    <row r="27" spans="1:5" x14ac:dyDescent="0.25">
      <c r="A27" s="3" t="s">
        <v>92</v>
      </c>
      <c r="B27" s="3" t="s">
        <v>93</v>
      </c>
      <c r="C27" s="3" t="s">
        <v>181</v>
      </c>
      <c r="D27" s="3"/>
      <c r="E27" s="3"/>
    </row>
    <row r="28" spans="1:5" x14ac:dyDescent="0.25">
      <c r="A28" s="3" t="s">
        <v>94</v>
      </c>
      <c r="B28" s="3" t="s">
        <v>95</v>
      </c>
      <c r="C28" s="3" t="s">
        <v>181</v>
      </c>
      <c r="D28" s="3"/>
      <c r="E28" s="3"/>
    </row>
    <row r="29" spans="1:5" x14ac:dyDescent="0.25">
      <c r="A29" s="3" t="s">
        <v>96</v>
      </c>
      <c r="B29" s="3" t="s">
        <v>96</v>
      </c>
      <c r="C29" s="3" t="s">
        <v>181</v>
      </c>
      <c r="D29" s="3"/>
      <c r="E29" s="3"/>
    </row>
    <row r="30" spans="1:5" x14ac:dyDescent="0.25">
      <c r="A30" s="3" t="s">
        <v>78</v>
      </c>
      <c r="B30" s="3" t="s">
        <v>79</v>
      </c>
      <c r="C30" s="3" t="s">
        <v>181</v>
      </c>
      <c r="D30" s="3"/>
      <c r="E30" s="3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37"/>
  <sheetViews>
    <sheetView workbookViewId="0"/>
  </sheetViews>
  <sheetFormatPr defaultRowHeight="15" x14ac:dyDescent="0.25"/>
  <cols>
    <col min="1" max="1" width="51.140625" customWidth="1"/>
    <col min="2" max="2" width="57.140625" customWidth="1"/>
    <col min="3" max="3" width="10.5703125" customWidth="1"/>
    <col min="4" max="4" width="41.5703125" customWidth="1"/>
    <col min="5" max="5" width="6.85546875" bestFit="1" customWidth="1"/>
  </cols>
  <sheetData>
    <row r="1" spans="1:8" x14ac:dyDescent="0.25">
      <c r="A1" s="1" t="s">
        <v>0</v>
      </c>
      <c r="B1" s="1" t="s">
        <v>1</v>
      </c>
      <c r="C1" s="2" t="s">
        <v>178</v>
      </c>
      <c r="D1" s="2" t="s">
        <v>179</v>
      </c>
      <c r="E1" s="2" t="s">
        <v>180</v>
      </c>
      <c r="G1" s="3" t="s">
        <v>181</v>
      </c>
      <c r="H1" s="3">
        <f>COUNTIF(C:C,G1)</f>
        <v>31</v>
      </c>
    </row>
    <row r="2" spans="1:8" x14ac:dyDescent="0.25">
      <c r="A2" s="3" t="s">
        <v>97</v>
      </c>
      <c r="B2" s="3" t="s">
        <v>98</v>
      </c>
      <c r="C2" s="3" t="s">
        <v>181</v>
      </c>
      <c r="D2" s="3"/>
      <c r="E2" s="3"/>
      <c r="G2" s="3" t="s">
        <v>182</v>
      </c>
      <c r="H2" s="3">
        <f>COUNTIF(C:C,G2)</f>
        <v>5</v>
      </c>
    </row>
    <row r="3" spans="1:8" x14ac:dyDescent="0.25">
      <c r="A3" s="3" t="s">
        <v>99</v>
      </c>
      <c r="B3" s="3" t="s">
        <v>9</v>
      </c>
      <c r="C3" s="3" t="s">
        <v>181</v>
      </c>
      <c r="D3" s="3"/>
      <c r="E3" s="3"/>
      <c r="G3" s="3" t="s">
        <v>183</v>
      </c>
      <c r="H3" s="6">
        <f>H1/SUM(H1:H2)</f>
        <v>0.86111111111111116</v>
      </c>
    </row>
    <row r="4" spans="1:8" x14ac:dyDescent="0.25">
      <c r="A4" s="3" t="s">
        <v>100</v>
      </c>
      <c r="B4" s="3" t="s">
        <v>101</v>
      </c>
      <c r="C4" s="3" t="s">
        <v>181</v>
      </c>
      <c r="D4" s="3"/>
      <c r="E4" s="3"/>
    </row>
    <row r="5" spans="1:8" x14ac:dyDescent="0.25">
      <c r="A5" s="3" t="s">
        <v>18</v>
      </c>
      <c r="B5" s="3" t="s">
        <v>102</v>
      </c>
      <c r="C5" s="3" t="s">
        <v>181</v>
      </c>
      <c r="D5" s="3"/>
      <c r="E5" s="3"/>
    </row>
    <row r="6" spans="1:8" x14ac:dyDescent="0.25">
      <c r="A6" s="3" t="s">
        <v>103</v>
      </c>
      <c r="B6" s="3" t="s">
        <v>104</v>
      </c>
      <c r="C6" s="3" t="s">
        <v>181</v>
      </c>
      <c r="D6" s="3"/>
      <c r="E6" s="3"/>
    </row>
    <row r="7" spans="1:8" x14ac:dyDescent="0.25">
      <c r="A7" s="3" t="s">
        <v>105</v>
      </c>
      <c r="B7" s="3" t="s">
        <v>106</v>
      </c>
      <c r="C7" s="3" t="s">
        <v>182</v>
      </c>
      <c r="D7" s="3" t="s">
        <v>186</v>
      </c>
      <c r="E7" s="5">
        <v>30414</v>
      </c>
    </row>
    <row r="8" spans="1:8" x14ac:dyDescent="0.25">
      <c r="A8" s="3" t="s">
        <v>107</v>
      </c>
      <c r="B8" s="3" t="s">
        <v>108</v>
      </c>
      <c r="C8" s="3" t="s">
        <v>182</v>
      </c>
      <c r="D8" s="3" t="s">
        <v>107</v>
      </c>
      <c r="E8" s="5">
        <v>30481</v>
      </c>
    </row>
    <row r="9" spans="1:8" x14ac:dyDescent="0.25">
      <c r="A9" s="3" t="s">
        <v>109</v>
      </c>
      <c r="B9" s="3" t="s">
        <v>9</v>
      </c>
      <c r="C9" s="3" t="s">
        <v>181</v>
      </c>
      <c r="D9" s="3"/>
      <c r="E9" s="3"/>
    </row>
    <row r="10" spans="1:8" x14ac:dyDescent="0.25">
      <c r="A10" s="3" t="s">
        <v>121</v>
      </c>
      <c r="B10" s="3" t="s">
        <v>122</v>
      </c>
      <c r="C10" s="3" t="s">
        <v>181</v>
      </c>
      <c r="D10" s="3"/>
      <c r="E10" s="3"/>
    </row>
    <row r="11" spans="1:8" x14ac:dyDescent="0.25">
      <c r="A11" s="3" t="s">
        <v>170</v>
      </c>
      <c r="B11" s="3" t="s">
        <v>124</v>
      </c>
      <c r="C11" s="3" t="s">
        <v>181</v>
      </c>
      <c r="D11" s="3"/>
      <c r="E11" s="3"/>
    </row>
    <row r="12" spans="1:8" x14ac:dyDescent="0.25">
      <c r="A12" s="3" t="s">
        <v>117</v>
      </c>
      <c r="B12" s="3" t="s">
        <v>118</v>
      </c>
      <c r="C12" s="3" t="s">
        <v>181</v>
      </c>
      <c r="D12" s="3"/>
      <c r="E12" s="3"/>
    </row>
    <row r="13" spans="1:8" x14ac:dyDescent="0.25">
      <c r="A13" s="3" t="s">
        <v>171</v>
      </c>
      <c r="B13" s="3" t="s">
        <v>112</v>
      </c>
      <c r="C13" s="3" t="s">
        <v>181</v>
      </c>
      <c r="D13" s="3"/>
      <c r="E13" s="3"/>
    </row>
    <row r="14" spans="1:8" x14ac:dyDescent="0.25">
      <c r="A14" s="3" t="s">
        <v>172</v>
      </c>
      <c r="B14" s="3" t="s">
        <v>90</v>
      </c>
      <c r="C14" s="3" t="s">
        <v>181</v>
      </c>
      <c r="D14" s="3"/>
      <c r="E14" s="3"/>
    </row>
    <row r="15" spans="1:8" x14ac:dyDescent="0.25">
      <c r="A15" s="3" t="s">
        <v>173</v>
      </c>
      <c r="B15" s="3" t="s">
        <v>114</v>
      </c>
      <c r="C15" s="3" t="s">
        <v>181</v>
      </c>
      <c r="D15" s="3"/>
      <c r="E15" s="3"/>
    </row>
    <row r="16" spans="1:8" x14ac:dyDescent="0.25">
      <c r="A16" s="3" t="s">
        <v>174</v>
      </c>
      <c r="B16" s="3" t="s">
        <v>116</v>
      </c>
      <c r="C16" s="3" t="s">
        <v>181</v>
      </c>
      <c r="D16" s="3"/>
      <c r="E16" s="3"/>
    </row>
    <row r="17" spans="1:5" x14ac:dyDescent="0.25">
      <c r="A17" s="3" t="s">
        <v>125</v>
      </c>
      <c r="B17" s="3" t="s">
        <v>126</v>
      </c>
      <c r="C17" s="3" t="s">
        <v>181</v>
      </c>
      <c r="D17" s="3"/>
      <c r="E17" s="3"/>
    </row>
    <row r="18" spans="1:5" x14ac:dyDescent="0.25">
      <c r="A18" s="3" t="s">
        <v>127</v>
      </c>
      <c r="B18" s="3" t="s">
        <v>128</v>
      </c>
      <c r="C18" s="3" t="s">
        <v>182</v>
      </c>
      <c r="D18" s="3" t="s">
        <v>187</v>
      </c>
      <c r="E18" s="5">
        <v>30422</v>
      </c>
    </row>
    <row r="19" spans="1:5" x14ac:dyDescent="0.25">
      <c r="A19" s="3" t="s">
        <v>129</v>
      </c>
      <c r="B19" s="3" t="s">
        <v>130</v>
      </c>
      <c r="C19" s="3" t="s">
        <v>181</v>
      </c>
      <c r="D19" s="3"/>
      <c r="E19" s="3"/>
    </row>
    <row r="20" spans="1:5" x14ac:dyDescent="0.25">
      <c r="A20" s="3" t="s">
        <v>131</v>
      </c>
      <c r="B20" s="3" t="s">
        <v>9</v>
      </c>
      <c r="C20" s="3" t="s">
        <v>181</v>
      </c>
      <c r="D20" s="3"/>
      <c r="E20" s="3"/>
    </row>
    <row r="21" spans="1:5" x14ac:dyDescent="0.25">
      <c r="A21" s="3" t="s">
        <v>132</v>
      </c>
      <c r="B21" s="3" t="s">
        <v>133</v>
      </c>
      <c r="C21" s="3" t="s">
        <v>181</v>
      </c>
      <c r="D21" s="3"/>
      <c r="E21" s="3"/>
    </row>
    <row r="22" spans="1:5" x14ac:dyDescent="0.25">
      <c r="A22" s="3" t="s">
        <v>175</v>
      </c>
      <c r="B22" s="3" t="s">
        <v>176</v>
      </c>
      <c r="C22" s="3" t="s">
        <v>182</v>
      </c>
      <c r="D22" s="3" t="s">
        <v>190</v>
      </c>
      <c r="E22" s="5">
        <v>17557</v>
      </c>
    </row>
    <row r="23" spans="1:5" x14ac:dyDescent="0.25">
      <c r="A23" s="3" t="s">
        <v>107</v>
      </c>
      <c r="B23" s="3" t="s">
        <v>108</v>
      </c>
      <c r="C23" s="3" t="s">
        <v>181</v>
      </c>
      <c r="D23" s="3"/>
      <c r="E23" s="3"/>
    </row>
    <row r="24" spans="1:5" x14ac:dyDescent="0.25">
      <c r="A24" s="3" t="s">
        <v>136</v>
      </c>
      <c r="B24" s="3" t="s">
        <v>137</v>
      </c>
      <c r="C24" s="3" t="s">
        <v>181</v>
      </c>
      <c r="D24" s="3"/>
      <c r="E24" s="3"/>
    </row>
    <row r="25" spans="1:5" x14ac:dyDescent="0.25">
      <c r="A25" s="3" t="s">
        <v>138</v>
      </c>
      <c r="B25" s="3" t="s">
        <v>9</v>
      </c>
      <c r="C25" s="3" t="s">
        <v>181</v>
      </c>
      <c r="D25" s="3"/>
      <c r="E25" s="3"/>
    </row>
    <row r="26" spans="1:5" x14ac:dyDescent="0.25">
      <c r="A26" s="3" t="s">
        <v>139</v>
      </c>
      <c r="B26" s="3" t="s">
        <v>140</v>
      </c>
      <c r="C26" s="3" t="s">
        <v>181</v>
      </c>
      <c r="D26" s="3"/>
      <c r="E26" s="3"/>
    </row>
    <row r="27" spans="1:5" x14ac:dyDescent="0.25">
      <c r="A27" s="3" t="s">
        <v>141</v>
      </c>
      <c r="B27" s="3" t="s">
        <v>142</v>
      </c>
      <c r="C27" s="3" t="s">
        <v>182</v>
      </c>
      <c r="D27" s="3" t="s">
        <v>146</v>
      </c>
      <c r="E27" s="5">
        <v>17543</v>
      </c>
    </row>
    <row r="28" spans="1:5" x14ac:dyDescent="0.25">
      <c r="A28" s="3" t="s">
        <v>147</v>
      </c>
      <c r="B28" s="3" t="s">
        <v>148</v>
      </c>
      <c r="C28" s="3" t="s">
        <v>181</v>
      </c>
      <c r="D28" s="3"/>
      <c r="E28" s="3"/>
    </row>
    <row r="29" spans="1:5" x14ac:dyDescent="0.25">
      <c r="A29" s="3" t="s">
        <v>149</v>
      </c>
      <c r="B29" s="3" t="s">
        <v>150</v>
      </c>
      <c r="C29" s="3" t="s">
        <v>181</v>
      </c>
      <c r="D29" s="3"/>
      <c r="E29" s="3"/>
    </row>
    <row r="30" spans="1:5" x14ac:dyDescent="0.25">
      <c r="A30" s="3" t="s">
        <v>151</v>
      </c>
      <c r="B30" s="3" t="s">
        <v>120</v>
      </c>
      <c r="C30" s="3" t="s">
        <v>181</v>
      </c>
      <c r="D30" s="3"/>
      <c r="E30" s="3"/>
    </row>
    <row r="31" spans="1:5" x14ac:dyDescent="0.25">
      <c r="A31" s="3" t="s">
        <v>177</v>
      </c>
      <c r="B31" s="3" t="s">
        <v>144</v>
      </c>
      <c r="C31" s="3" t="s">
        <v>181</v>
      </c>
      <c r="D31" s="3"/>
      <c r="E31" s="3"/>
    </row>
    <row r="32" spans="1:5" x14ac:dyDescent="0.25">
      <c r="A32" s="3" t="s">
        <v>145</v>
      </c>
      <c r="B32" s="3" t="s">
        <v>146</v>
      </c>
      <c r="C32" s="3" t="s">
        <v>181</v>
      </c>
      <c r="D32" s="3"/>
      <c r="E32" s="5"/>
    </row>
    <row r="33" spans="1:5" x14ac:dyDescent="0.25">
      <c r="A33" s="3" t="s">
        <v>153</v>
      </c>
      <c r="B33" s="3" t="s">
        <v>154</v>
      </c>
      <c r="C33" s="3" t="s">
        <v>181</v>
      </c>
      <c r="D33" s="3"/>
      <c r="E33" s="3"/>
    </row>
    <row r="34" spans="1:5" x14ac:dyDescent="0.25">
      <c r="A34" s="3" t="s">
        <v>155</v>
      </c>
      <c r="B34" s="3" t="s">
        <v>156</v>
      </c>
      <c r="C34" s="3" t="s">
        <v>181</v>
      </c>
      <c r="D34" s="3"/>
      <c r="E34" s="3"/>
    </row>
    <row r="35" spans="1:5" x14ac:dyDescent="0.25">
      <c r="A35" s="3" t="s">
        <v>157</v>
      </c>
      <c r="B35" s="3" t="s">
        <v>158</v>
      </c>
      <c r="C35" s="3" t="s">
        <v>181</v>
      </c>
      <c r="D35" s="3"/>
      <c r="E35" s="3"/>
    </row>
    <row r="36" spans="1:5" x14ac:dyDescent="0.25">
      <c r="A36" s="3" t="s">
        <v>105</v>
      </c>
      <c r="B36" s="3" t="s">
        <v>106</v>
      </c>
      <c r="C36" s="3" t="s">
        <v>181</v>
      </c>
      <c r="D36" s="3"/>
      <c r="E36" s="3"/>
    </row>
    <row r="37" spans="1:5" x14ac:dyDescent="0.25">
      <c r="A37" s="3" t="s">
        <v>159</v>
      </c>
      <c r="B37" s="3" t="s">
        <v>160</v>
      </c>
      <c r="C37" s="3" t="s">
        <v>181</v>
      </c>
      <c r="D37" s="3"/>
      <c r="E37" s="3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9"/>
  <sheetViews>
    <sheetView workbookViewId="0"/>
  </sheetViews>
  <sheetFormatPr defaultRowHeight="15" x14ac:dyDescent="0.25"/>
  <cols>
    <col min="1" max="1" width="57.85546875" customWidth="1"/>
    <col min="2" max="2" width="59.85546875" customWidth="1"/>
    <col min="3" max="3" width="10.140625" customWidth="1"/>
    <col min="4" max="4" width="19.7109375" bestFit="1" customWidth="1"/>
    <col min="5" max="5" width="6.85546875" bestFit="1" customWidth="1"/>
  </cols>
  <sheetData>
    <row r="1" spans="1:8" x14ac:dyDescent="0.25">
      <c r="A1" s="1" t="s">
        <v>0</v>
      </c>
      <c r="B1" s="1" t="s">
        <v>1</v>
      </c>
      <c r="C1" s="2" t="s">
        <v>178</v>
      </c>
      <c r="D1" s="2" t="s">
        <v>179</v>
      </c>
      <c r="E1" s="2" t="s">
        <v>180</v>
      </c>
      <c r="G1" s="3" t="s">
        <v>181</v>
      </c>
      <c r="H1" s="3">
        <f>COUNTIF(C:C,G1)</f>
        <v>33</v>
      </c>
    </row>
    <row r="2" spans="1:8" x14ac:dyDescent="0.25">
      <c r="A2" s="3" t="s">
        <v>97</v>
      </c>
      <c r="B2" s="3" t="s">
        <v>98</v>
      </c>
      <c r="C2" s="3" t="s">
        <v>181</v>
      </c>
      <c r="D2" s="3"/>
      <c r="E2" s="3"/>
      <c r="G2" s="3" t="s">
        <v>182</v>
      </c>
      <c r="H2" s="3">
        <f>COUNTIF(C:C,G2)</f>
        <v>5</v>
      </c>
    </row>
    <row r="3" spans="1:8" x14ac:dyDescent="0.25">
      <c r="A3" s="3" t="s">
        <v>99</v>
      </c>
      <c r="B3" s="3" t="s">
        <v>9</v>
      </c>
      <c r="C3" s="3" t="s">
        <v>181</v>
      </c>
      <c r="D3" s="3"/>
      <c r="E3" s="3"/>
      <c r="G3" s="3" t="s">
        <v>183</v>
      </c>
      <c r="H3" s="6">
        <f>H1/SUM(H1:H2)</f>
        <v>0.86842105263157898</v>
      </c>
    </row>
    <row r="4" spans="1:8" x14ac:dyDescent="0.25">
      <c r="A4" s="3" t="s">
        <v>100</v>
      </c>
      <c r="B4" s="3" t="s">
        <v>101</v>
      </c>
      <c r="C4" s="3" t="s">
        <v>181</v>
      </c>
      <c r="D4" s="3"/>
      <c r="E4" s="3"/>
    </row>
    <row r="5" spans="1:8" x14ac:dyDescent="0.25">
      <c r="A5" s="3" t="s">
        <v>18</v>
      </c>
      <c r="B5" s="3" t="s">
        <v>102</v>
      </c>
      <c r="C5" s="3" t="s">
        <v>181</v>
      </c>
      <c r="D5" s="3"/>
      <c r="E5" s="3"/>
    </row>
    <row r="6" spans="1:8" x14ac:dyDescent="0.25">
      <c r="A6" s="3" t="s">
        <v>103</v>
      </c>
      <c r="B6" s="3" t="s">
        <v>104</v>
      </c>
      <c r="C6" s="3" t="s">
        <v>181</v>
      </c>
      <c r="D6" s="3"/>
      <c r="E6" s="3"/>
    </row>
    <row r="7" spans="1:8" x14ac:dyDescent="0.25">
      <c r="A7" s="3" t="s">
        <v>105</v>
      </c>
      <c r="B7" s="3" t="s">
        <v>106</v>
      </c>
      <c r="C7" s="3" t="s">
        <v>182</v>
      </c>
      <c r="D7" s="3" t="s">
        <v>186</v>
      </c>
      <c r="E7" s="5">
        <v>30414</v>
      </c>
    </row>
    <row r="8" spans="1:8" x14ac:dyDescent="0.25">
      <c r="A8" s="3" t="s">
        <v>107</v>
      </c>
      <c r="B8" s="3" t="s">
        <v>108</v>
      </c>
      <c r="C8" s="3" t="s">
        <v>182</v>
      </c>
      <c r="D8" s="3" t="s">
        <v>107</v>
      </c>
      <c r="E8" s="5">
        <v>30481</v>
      </c>
    </row>
    <row r="9" spans="1:8" x14ac:dyDescent="0.25">
      <c r="A9" s="3" t="s">
        <v>109</v>
      </c>
      <c r="B9" s="3" t="s">
        <v>9</v>
      </c>
      <c r="C9" s="3" t="s">
        <v>181</v>
      </c>
      <c r="D9" s="3"/>
      <c r="E9" s="3"/>
    </row>
    <row r="10" spans="1:8" x14ac:dyDescent="0.25">
      <c r="A10" s="3" t="s">
        <v>110</v>
      </c>
      <c r="B10" s="3" t="s">
        <v>90</v>
      </c>
      <c r="C10" s="3" t="s">
        <v>181</v>
      </c>
      <c r="D10" s="3"/>
      <c r="E10" s="3"/>
    </row>
    <row r="11" spans="1:8" x14ac:dyDescent="0.25">
      <c r="A11" s="3" t="s">
        <v>111</v>
      </c>
      <c r="B11" s="3" t="s">
        <v>112</v>
      </c>
      <c r="C11" s="3" t="s">
        <v>181</v>
      </c>
      <c r="D11" s="3"/>
      <c r="E11" s="3"/>
    </row>
    <row r="12" spans="1:8" x14ac:dyDescent="0.25">
      <c r="A12" s="3" t="s">
        <v>113</v>
      </c>
      <c r="B12" s="3" t="s">
        <v>114</v>
      </c>
      <c r="C12" s="3" t="s">
        <v>181</v>
      </c>
      <c r="D12" s="3"/>
      <c r="E12" s="3"/>
    </row>
    <row r="13" spans="1:8" x14ac:dyDescent="0.25">
      <c r="A13" s="3" t="s">
        <v>115</v>
      </c>
      <c r="B13" s="3" t="s">
        <v>116</v>
      </c>
      <c r="C13" s="3" t="s">
        <v>181</v>
      </c>
      <c r="D13" s="3"/>
      <c r="E13" s="3"/>
    </row>
    <row r="14" spans="1:8" x14ac:dyDescent="0.25">
      <c r="A14" s="3" t="s">
        <v>117</v>
      </c>
      <c r="B14" s="3" t="s">
        <v>118</v>
      </c>
      <c r="C14" s="3" t="s">
        <v>181</v>
      </c>
      <c r="D14" s="3"/>
      <c r="E14" s="3"/>
    </row>
    <row r="15" spans="1:8" x14ac:dyDescent="0.25">
      <c r="A15" s="3" t="s">
        <v>119</v>
      </c>
      <c r="B15" s="3" t="s">
        <v>120</v>
      </c>
      <c r="C15" s="3" t="s">
        <v>181</v>
      </c>
      <c r="D15" s="3"/>
      <c r="E15" s="3"/>
    </row>
    <row r="16" spans="1:8" x14ac:dyDescent="0.25">
      <c r="A16" s="3" t="s">
        <v>121</v>
      </c>
      <c r="B16" s="3" t="s">
        <v>122</v>
      </c>
      <c r="C16" s="3" t="s">
        <v>181</v>
      </c>
      <c r="D16" s="3"/>
      <c r="E16" s="3"/>
    </row>
    <row r="17" spans="1:5" x14ac:dyDescent="0.25">
      <c r="A17" s="3" t="s">
        <v>123</v>
      </c>
      <c r="B17" s="3" t="s">
        <v>124</v>
      </c>
      <c r="C17" s="3" t="s">
        <v>181</v>
      </c>
      <c r="D17" s="3"/>
      <c r="E17" s="3"/>
    </row>
    <row r="18" spans="1:5" x14ac:dyDescent="0.25">
      <c r="A18" s="3" t="s">
        <v>125</v>
      </c>
      <c r="B18" s="3" t="s">
        <v>126</v>
      </c>
      <c r="C18" s="3" t="s">
        <v>181</v>
      </c>
      <c r="D18" s="3"/>
      <c r="E18" s="3"/>
    </row>
    <row r="19" spans="1:5" x14ac:dyDescent="0.25">
      <c r="A19" s="3" t="s">
        <v>127</v>
      </c>
      <c r="B19" s="3" t="s">
        <v>128</v>
      </c>
      <c r="C19" s="3" t="s">
        <v>182</v>
      </c>
      <c r="D19" s="3" t="s">
        <v>187</v>
      </c>
      <c r="E19" s="5">
        <v>30422</v>
      </c>
    </row>
    <row r="20" spans="1:5" x14ac:dyDescent="0.25">
      <c r="A20" s="3" t="s">
        <v>129</v>
      </c>
      <c r="B20" s="3" t="s">
        <v>130</v>
      </c>
      <c r="C20" s="3" t="s">
        <v>181</v>
      </c>
      <c r="D20" s="3"/>
      <c r="E20" s="3"/>
    </row>
    <row r="21" spans="1:5" x14ac:dyDescent="0.25">
      <c r="A21" s="3" t="s">
        <v>131</v>
      </c>
      <c r="B21" s="3" t="s">
        <v>9</v>
      </c>
      <c r="C21" s="3" t="s">
        <v>181</v>
      </c>
      <c r="D21" s="3"/>
      <c r="E21" s="3"/>
    </row>
    <row r="22" spans="1:5" x14ac:dyDescent="0.25">
      <c r="A22" s="3" t="s">
        <v>132</v>
      </c>
      <c r="B22" s="3" t="s">
        <v>133</v>
      </c>
      <c r="C22" s="3" t="s">
        <v>181</v>
      </c>
      <c r="D22" s="3"/>
      <c r="E22" s="3"/>
    </row>
    <row r="23" spans="1:5" x14ac:dyDescent="0.25">
      <c r="A23" s="3" t="s">
        <v>134</v>
      </c>
      <c r="B23" s="3" t="s">
        <v>135</v>
      </c>
      <c r="C23" s="3" t="s">
        <v>181</v>
      </c>
      <c r="D23" s="3"/>
      <c r="E23" s="3"/>
    </row>
    <row r="24" spans="1:5" x14ac:dyDescent="0.25">
      <c r="A24" s="3" t="s">
        <v>107</v>
      </c>
      <c r="B24" s="3" t="s">
        <v>108</v>
      </c>
      <c r="C24" s="3" t="s">
        <v>181</v>
      </c>
      <c r="D24" s="3"/>
      <c r="E24" s="3"/>
    </row>
    <row r="25" spans="1:5" x14ac:dyDescent="0.25">
      <c r="A25" s="3" t="s">
        <v>136</v>
      </c>
      <c r="B25" s="3" t="s">
        <v>137</v>
      </c>
      <c r="C25" s="3" t="s">
        <v>181</v>
      </c>
      <c r="D25" s="3"/>
      <c r="E25" s="3"/>
    </row>
    <row r="26" spans="1:5" x14ac:dyDescent="0.25">
      <c r="A26" s="3" t="s">
        <v>138</v>
      </c>
      <c r="B26" s="3" t="s">
        <v>9</v>
      </c>
      <c r="C26" s="3" t="s">
        <v>181</v>
      </c>
      <c r="D26" s="3"/>
      <c r="E26" s="3"/>
    </row>
    <row r="27" spans="1:5" x14ac:dyDescent="0.25">
      <c r="A27" s="3" t="s">
        <v>139</v>
      </c>
      <c r="B27" s="3" t="s">
        <v>140</v>
      </c>
      <c r="C27" s="3" t="s">
        <v>181</v>
      </c>
      <c r="D27" s="3"/>
      <c r="E27" s="3"/>
    </row>
    <row r="28" spans="1:5" x14ac:dyDescent="0.25">
      <c r="A28" s="3" t="s">
        <v>141</v>
      </c>
      <c r="B28" s="3" t="s">
        <v>142</v>
      </c>
      <c r="C28" s="3" t="s">
        <v>182</v>
      </c>
      <c r="D28" s="3" t="s">
        <v>146</v>
      </c>
      <c r="E28" s="5">
        <v>17543</v>
      </c>
    </row>
    <row r="29" spans="1:5" x14ac:dyDescent="0.25">
      <c r="A29" s="3" t="s">
        <v>143</v>
      </c>
      <c r="B29" s="3" t="s">
        <v>144</v>
      </c>
      <c r="C29" s="3" t="s">
        <v>181</v>
      </c>
      <c r="D29" s="3"/>
      <c r="E29" s="3"/>
    </row>
    <row r="30" spans="1:5" x14ac:dyDescent="0.25">
      <c r="A30" s="3" t="s">
        <v>145</v>
      </c>
      <c r="B30" s="3" t="s">
        <v>146</v>
      </c>
      <c r="C30" s="3" t="s">
        <v>181</v>
      </c>
      <c r="D30" s="3"/>
      <c r="E30" s="5"/>
    </row>
    <row r="31" spans="1:5" x14ac:dyDescent="0.25">
      <c r="A31" s="3" t="s">
        <v>147</v>
      </c>
      <c r="B31" s="3" t="s">
        <v>148</v>
      </c>
      <c r="C31" s="3" t="s">
        <v>181</v>
      </c>
      <c r="D31" s="3"/>
      <c r="E31" s="3"/>
    </row>
    <row r="32" spans="1:5" x14ac:dyDescent="0.25">
      <c r="A32" s="3" t="s">
        <v>149</v>
      </c>
      <c r="B32" s="3" t="s">
        <v>150</v>
      </c>
      <c r="C32" s="3" t="s">
        <v>181</v>
      </c>
      <c r="D32" s="3"/>
      <c r="E32" s="3"/>
    </row>
    <row r="33" spans="1:5" x14ac:dyDescent="0.25">
      <c r="A33" s="3" t="s">
        <v>151</v>
      </c>
      <c r="B33" s="3" t="s">
        <v>120</v>
      </c>
      <c r="C33" s="3" t="s">
        <v>181</v>
      </c>
      <c r="D33" s="3"/>
      <c r="E33" s="3"/>
    </row>
    <row r="34" spans="1:5" x14ac:dyDescent="0.25">
      <c r="A34" s="3" t="s">
        <v>152</v>
      </c>
      <c r="B34" s="3" t="s">
        <v>118</v>
      </c>
      <c r="C34" s="3" t="s">
        <v>182</v>
      </c>
      <c r="D34" s="3" t="s">
        <v>146</v>
      </c>
      <c r="E34" s="5">
        <v>17543</v>
      </c>
    </row>
    <row r="35" spans="1:5" x14ac:dyDescent="0.25">
      <c r="A35" s="3" t="s">
        <v>153</v>
      </c>
      <c r="B35" s="3" t="s">
        <v>154</v>
      </c>
      <c r="C35" s="3" t="s">
        <v>181</v>
      </c>
      <c r="D35" s="3"/>
      <c r="E35" s="3"/>
    </row>
    <row r="36" spans="1:5" x14ac:dyDescent="0.25">
      <c r="A36" s="3" t="s">
        <v>155</v>
      </c>
      <c r="B36" s="3" t="s">
        <v>156</v>
      </c>
      <c r="C36" s="3" t="s">
        <v>181</v>
      </c>
      <c r="D36" s="3"/>
      <c r="E36" s="3"/>
    </row>
    <row r="37" spans="1:5" x14ac:dyDescent="0.25">
      <c r="A37" s="3" t="s">
        <v>157</v>
      </c>
      <c r="B37" s="3" t="s">
        <v>158</v>
      </c>
      <c r="C37" s="3" t="s">
        <v>181</v>
      </c>
      <c r="D37" s="3"/>
      <c r="E37" s="3"/>
    </row>
    <row r="38" spans="1:5" x14ac:dyDescent="0.25">
      <c r="A38" s="3" t="s">
        <v>105</v>
      </c>
      <c r="B38" s="3" t="s">
        <v>106</v>
      </c>
      <c r="C38" s="3" t="s">
        <v>181</v>
      </c>
      <c r="D38" s="3"/>
      <c r="E38" s="3"/>
    </row>
    <row r="39" spans="1:5" x14ac:dyDescent="0.25">
      <c r="A39" s="3" t="s">
        <v>159</v>
      </c>
      <c r="B39" s="3" t="s">
        <v>160</v>
      </c>
      <c r="C39" s="3" t="s">
        <v>181</v>
      </c>
      <c r="D39" s="3"/>
      <c r="E39" s="3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Standalone Profit &amp; Loss</vt:lpstr>
      <vt:lpstr>Consolidated Profit &amp; Loss</vt:lpstr>
      <vt:lpstr>Standalone Balance Sheet</vt:lpstr>
      <vt:lpstr>Consolidated Balance Sheet</vt:lpstr>
      <vt:lpstr>Standalone Cash Flow</vt:lpstr>
      <vt:lpstr>Consolidated Cash 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Minal Kuwalekar</cp:lastModifiedBy>
  <dcterms:created xsi:type="dcterms:W3CDTF">2026-03-24T14:50:52Z</dcterms:created>
  <dcterms:modified xsi:type="dcterms:W3CDTF">2026-04-02T04:51:13Z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2026-03-30T09:19:15Z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76343c28-62ff-4387-a78b-57d3e147a15b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