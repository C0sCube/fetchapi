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87EB2EF0-24A6-4DEF-A36C-27754EB82DF9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Sheet'!$A$1:$H$44</definedName>
    <definedName name="_xlnm._FilterDatabase" localSheetId="5" hidden="1">'Consolidated Cash Flow'!$A$1:$E$42</definedName>
    <definedName name="_xlnm._FilterDatabase" localSheetId="1" hidden="1">'Consolidated Profit &amp; Loss'!$A$1:$H$36</definedName>
    <definedName name="_xlnm._FilterDatabase" localSheetId="2" hidden="1">'Standalone Balance Sheet'!$A$1:$H$43</definedName>
    <definedName name="_xlnm._FilterDatabase" localSheetId="4" hidden="1">'Standalone Cash Flow'!$A$1:$H$1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4"/>
  <c r="H1" i="4"/>
  <c r="H2" i="5"/>
  <c r="H1" i="5"/>
  <c r="H3" i="5" s="1"/>
  <c r="H2" i="6"/>
  <c r="H1" i="6"/>
  <c r="H2" i="1"/>
  <c r="H1" i="1"/>
  <c r="H3" i="6" l="1"/>
  <c r="H3" i="3"/>
  <c r="H3" i="2"/>
  <c r="H3" i="4"/>
  <c r="H3" i="1"/>
</calcChain>
</file>

<file path=xl/sharedStrings.xml><?xml version="1.0" encoding="utf-8"?>
<sst xmlns="http://schemas.openxmlformats.org/spreadsheetml/2006/main" count="919" uniqueCount="249">
  <si>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</si>
  <si>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</si>
  <si>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</si>
  <si>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</si>
  <si>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</si>
  <si>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</si>
  <si>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</si>
  <si>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 Consumed</t>
  </si>
  <si>
    <t>Cost of Materials Consumed</t>
  </si>
  <si>
    <t>Purchases of Stock in Trade</t>
  </si>
  <si>
    <t>Purchase of Stock-in-Trade</t>
  </si>
  <si>
    <t>Change in Inventories of work in progress and finished goods</t>
  </si>
  <si>
    <t>Changes in Inventories of Finished Goods, Work-In-Progress and Stock-In-Trade</t>
  </si>
  <si>
    <t>Employee Benefit Expenses</t>
  </si>
  <si>
    <t>Employee Benefit Expense</t>
  </si>
  <si>
    <t>Finance Costs</t>
  </si>
  <si>
    <t>Depreciation and Amortization Expenses</t>
  </si>
  <si>
    <t>Depreciation, Depletion and Amortisation Expense</t>
  </si>
  <si>
    <t>Other Expenses</t>
  </si>
  <si>
    <t>Total expenses</t>
  </si>
  <si>
    <t>Total Expenses</t>
  </si>
  <si>
    <t>Profit/(Loss ) before Exceptional and Extraordinary Item and Tax</t>
  </si>
  <si>
    <t>Profit/(Loss) from Ordinary Activities after Finance Costs but before Exceptional Items</t>
  </si>
  <si>
    <t>Exceptional Item</t>
  </si>
  <si>
    <t>Other Exceptional Items</t>
  </si>
  <si>
    <t>Profit/(Loss ) before Extraordinary Item and Tax</t>
  </si>
  <si>
    <t>Prior Period Item</t>
  </si>
  <si>
    <t>Extraordinary Item</t>
  </si>
  <si>
    <t>Extraordinary Items</t>
  </si>
  <si>
    <t>Profit/(Loss ) before Tax</t>
  </si>
  <si>
    <t>Tax Expenses</t>
  </si>
  <si>
    <t>Current Tax</t>
  </si>
  <si>
    <t>Tax Expense</t>
  </si>
  <si>
    <t>Deferred Tax</t>
  </si>
  <si>
    <t>Prior Period Taxes</t>
  </si>
  <si>
    <t>Profit/(Loss ) for the Period from Continuing Operations</t>
  </si>
  <si>
    <t>Profit/(Loss) for the Period from Continuing Operations</t>
  </si>
  <si>
    <t>Profit/(Loss ) from Discontinuing Operation ( before tax )</t>
  </si>
  <si>
    <t>Net Profit From Discontinuing Operations (After Tax)</t>
  </si>
  <si>
    <t>Tax Expenses of Discontinuing Operation</t>
  </si>
  <si>
    <t>Tax Expense of Discontinuing Operations</t>
  </si>
  <si>
    <t>Profit/(Loss ) from Discontinuing Operation ( after tax )</t>
  </si>
  <si>
    <t>Profit/(Loss ) for the period</t>
  </si>
  <si>
    <t>Net Profit/(Loss) for the Period</t>
  </si>
  <si>
    <t>Details of Equity Share Capital</t>
  </si>
  <si>
    <t>Paid up Equity Share Capital</t>
  </si>
  <si>
    <t>Paid-Up Equity Share Capital</t>
  </si>
  <si>
    <t>Face Value of Equity Share Capital ( Rs . in Lakhs . )</t>
  </si>
  <si>
    <t>Earnings Per Share ( Face Value per Share Rs . each )</t>
  </si>
  <si>
    <t>Basic ( Rs . in Lakhs )</t>
  </si>
  <si>
    <t>Basic EPS</t>
  </si>
  <si>
    <t>Diluted ( Rs . in Lakhs )</t>
  </si>
  <si>
    <t>Diluted EPS</t>
  </si>
  <si>
    <t>Shareholders ' Funds</t>
  </si>
  <si>
    <t>Share Capital</t>
  </si>
  <si>
    <t>Reserves and Surplus</t>
  </si>
  <si>
    <t>Reserves And Surplus/Other Equity</t>
  </si>
  <si>
    <t>Money Received against Share Warrants</t>
  </si>
  <si>
    <t>Money Received Against Share Warrants</t>
  </si>
  <si>
    <t>Total</t>
  </si>
  <si>
    <t>Total Equity And Liabilities</t>
  </si>
  <si>
    <t>Share application money pending allotment</t>
  </si>
  <si>
    <t>Non - current liabilities</t>
  </si>
  <si>
    <t>Long - term Borrowings</t>
  </si>
  <si>
    <t>Borrowings</t>
  </si>
  <si>
    <t>Deferred Tax Liabilities ( Net )</t>
  </si>
  <si>
    <t>Deferred Tax Liability (Net)</t>
  </si>
  <si>
    <t>Other Long term Liabilities</t>
  </si>
  <si>
    <t>Other Non-Current Liabilities</t>
  </si>
  <si>
    <t>Long - term Provisions</t>
  </si>
  <si>
    <t>Long-Term Provisions</t>
  </si>
  <si>
    <t>Current liabilities</t>
  </si>
  <si>
    <t>Short - term Borrowings</t>
  </si>
  <si>
    <t>Trade Payables</t>
  </si>
  <si>
    <t>Due to Micro and Small Enterprises</t>
  </si>
  <si>
    <t>Due to Others</t>
  </si>
  <si>
    <t>Other Current Liabilities</t>
  </si>
  <si>
    <t>Other liabilities</t>
  </si>
  <si>
    <t>Short - term Provisions</t>
  </si>
  <si>
    <t>Short-Term Provisions</t>
  </si>
  <si>
    <t>Total Equity and Liabilities</t>
  </si>
  <si>
    <t>ASSETS</t>
  </si>
  <si>
    <t>Non - current assets</t>
  </si>
  <si>
    <t>Property, Plant and Equipment and Intangible Assets</t>
  </si>
  <si>
    <t>Property, Plant &amp; Equipment</t>
  </si>
  <si>
    <t>Property, Plant and Equipment</t>
  </si>
  <si>
    <t>Intangible Assets</t>
  </si>
  <si>
    <t>Other Intangible Assets</t>
  </si>
  <si>
    <t>Capital Work - in - progress</t>
  </si>
  <si>
    <t>Capital Work-In-Progress</t>
  </si>
  <si>
    <t>Intangible Assets under Development</t>
  </si>
  <si>
    <t>Intangible assets under development</t>
  </si>
  <si>
    <t>Non - current Investments</t>
  </si>
  <si>
    <t>Non-Current Investments</t>
  </si>
  <si>
    <t>Deferred Tax Assets ( net )</t>
  </si>
  <si>
    <t>Deferred Tax Assets (Net)</t>
  </si>
  <si>
    <t>Long - term Loans and Advances</t>
  </si>
  <si>
    <t>Loans Non-Current</t>
  </si>
  <si>
    <t>Other Non - current Assets</t>
  </si>
  <si>
    <t>Other Non-Current Assets</t>
  </si>
  <si>
    <t>Current assets</t>
  </si>
  <si>
    <t>Current investments</t>
  </si>
  <si>
    <t>Current Investments</t>
  </si>
  <si>
    <t>Inventories</t>
  </si>
  <si>
    <t>Trade Receivables</t>
  </si>
  <si>
    <t>Cash and cash equivalents</t>
  </si>
  <si>
    <t>Cash And Cash Equivalents</t>
  </si>
  <si>
    <t>Short - term Loans and Advances</t>
  </si>
  <si>
    <t>Loans, Current</t>
  </si>
  <si>
    <t>Other Current Assets</t>
  </si>
  <si>
    <t>Total Assets</t>
  </si>
  <si>
    <t>Net Profit after tax</t>
  </si>
  <si>
    <t>Net Profit Before Tax And Exceptional Item</t>
  </si>
  <si>
    <t>Profit/(loss ) from Discontinuing Operation ( after tax )</t>
  </si>
  <si>
    <t>Depreciation and Amortisation Expense</t>
  </si>
  <si>
    <t>Provision for tax</t>
  </si>
  <si>
    <t>Other Extra-Ordinary Income/Expense</t>
  </si>
  <si>
    <t>Effect of Exchange Rate Change</t>
  </si>
  <si>
    <t>Effect of Exchange Fluctuation Translation Reserve</t>
  </si>
  <si>
    <t>Loss/(Gain ) on Sale / Discard of Assets ( Net )</t>
  </si>
  <si>
    <t>Loss On Sale Of Fixed Assets</t>
  </si>
  <si>
    <t>Bad debt, provision for doubtful debts</t>
  </si>
  <si>
    <t>Provision For Doubtful Debts</t>
  </si>
  <si>
    <t>Net Loss/(Gain ) on Sale of Investments</t>
  </si>
  <si>
    <t>Profit On Sale Of Investments</t>
  </si>
  <si>
    <t>Non Cash Expenses</t>
  </si>
  <si>
    <t>Others-Before Working Capital Changes</t>
  </si>
  <si>
    <t>Dividend Income</t>
  </si>
  <si>
    <t>Dividend Received</t>
  </si>
  <si>
    <t>Interest Income</t>
  </si>
  <si>
    <t>Interest Received</t>
  </si>
  <si>
    <t>Interest Expense</t>
  </si>
  <si>
    <t>Operating Profit before working capital changes</t>
  </si>
  <si>
    <t>Operating Profit Before Working Capital Changes</t>
  </si>
  <si>
    <t>Adjustment for :</t>
  </si>
  <si>
    <t>Trade And Other Receivables</t>
  </si>
  <si>
    <t>Loans and Advances</t>
  </si>
  <si>
    <t>Loans And Advances</t>
  </si>
  <si>
    <t>Other Current and Non Current Assets</t>
  </si>
  <si>
    <t>Other Non current Assets</t>
  </si>
  <si>
    <t>Trade Payables And Others</t>
  </si>
  <si>
    <t>Other Current and Non Current Liabilities</t>
  </si>
  <si>
    <t>Long term Liabilities</t>
  </si>
  <si>
    <t>Others-Financing Activities</t>
  </si>
  <si>
    <t>Provisions</t>
  </si>
  <si>
    <t>Cash ( Used in)/Generated from Operations</t>
  </si>
  <si>
    <t>Cash Generated From Operations</t>
  </si>
  <si>
    <t>Tax paid(Net )</t>
  </si>
  <si>
    <t>Others-From Operations</t>
  </si>
  <si>
    <t>Net Cash ( Used in)/Generated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</si>
  <si>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</si>
  <si>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</si>
  <si>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</si>
  <si>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</si>
  <si>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Purchase Of Fixed Assets (Tangible / Intangible)</t>
  </si>
  <si>
    <t>Sale of Property, Plant and Equipments</t>
  </si>
  <si>
    <t>Sale Of Fixed Assets (Tangible / Intangible)</t>
  </si>
  <si>
    <t>Capital Reserve Due to Acquisition of Business</t>
  </si>
  <si>
    <t>Purchase of goodwill</t>
  </si>
  <si>
    <t>Sale of Investment Property</t>
  </si>
  <si>
    <t>Proceeds from sales of investment property</t>
  </si>
  <si>
    <t>Purchase of Equity Instruments</t>
  </si>
  <si>
    <t>Others-Investing Activities</t>
  </si>
  <si>
    <t>Proceeds from Sale of Equity Instruments</t>
  </si>
  <si>
    <t>Sale Of Investments</t>
  </si>
  <si>
    <t>Purchase of Mutual Funds</t>
  </si>
  <si>
    <t>Investments in Mutual Funds</t>
  </si>
  <si>
    <t>Proceeds from Sale / Redemption of Mutual Funds</t>
  </si>
  <si>
    <t>Purchase of Preference Shares</t>
  </si>
  <si>
    <t>Redemption Of Preference Shares</t>
  </si>
  <si>
    <t>Proceeds from Sale / Redemption of Preference Shares</t>
  </si>
  <si>
    <t>Purchase of Government or trust securities</t>
  </si>
  <si>
    <t>Purchase Of Investments</t>
  </si>
  <si>
    <t>Proceeds from Sale / Redemption of Government or trust securities</t>
  </si>
  <si>
    <t>Purchase of debentures or bonds</t>
  </si>
  <si>
    <t>Proceeds from Sale / Redemption of debentures or bonds</t>
  </si>
  <si>
    <t>Purchase of Other Investments</t>
  </si>
  <si>
    <t>Sale / Redemption of Other Investments</t>
  </si>
  <si>
    <t>Loans and Advances given</t>
  </si>
  <si>
    <t>Cash Advances and Loans Made to Other Parties</t>
  </si>
  <si>
    <t>Proceeds from Loans and Advances</t>
  </si>
  <si>
    <t>Investment in Term Deposits</t>
  </si>
  <si>
    <t>Fixed Deposits</t>
  </si>
  <si>
    <t>Maturity of Term Deposits</t>
  </si>
  <si>
    <t>Movement in other non current assets</t>
  </si>
  <si>
    <t>Interest received</t>
  </si>
  <si>
    <t>Dividend received</t>
  </si>
  <si>
    <t>Net Cash ( Used in)/Generated from Investing Activities</t>
  </si>
  <si>
    <t>CASH FLOW FROM FINANCING ACTIVITIES</t>
  </si>
  <si>
    <t>Proceeds from Issue of Share Capital</t>
  </si>
  <si>
    <t>Proceeds From Issue Of Equity Shares (Inclu Share Premium)</t>
  </si>
  <si>
    <t>Buyback of Shares</t>
  </si>
  <si>
    <t>Proceeds from Long Term Borrowings</t>
  </si>
  <si>
    <t>Proceeds From Long Term Borrowings</t>
  </si>
  <si>
    <t>Repayment of Long Term Borrowings</t>
  </si>
  <si>
    <t>Repayment Of Long Term Borrowings</t>
  </si>
  <si>
    <t>Proceeds from Short Term Borrowings</t>
  </si>
  <si>
    <t>Proceeds From Short Term Borrowings</t>
  </si>
  <si>
    <t>Repayment of Short Term Borrowings</t>
  </si>
  <si>
    <t>Repayment of short term borrowings</t>
  </si>
  <si>
    <t>Minority Interest Movement</t>
  </si>
  <si>
    <t>Dividends Paid ( including Dividend Distribution Tax )</t>
  </si>
  <si>
    <t>Dividend Paid</t>
  </si>
  <si>
    <t>Interest Paid</t>
  </si>
  <si>
    <t>Net Cash ( Used in)/Generated from Financing Activities</t>
  </si>
  <si>
    <t>Net Cash Flow From Financing Activities</t>
  </si>
  <si>
    <t>Net Increase/(Decrease ) in Cash and Cash Equivalents</t>
  </si>
  <si>
    <t>Net Increase in Cash and Cash Equivalents</t>
  </si>
  <si>
    <t>Opening Balance of Cash and Cash Equivalents</t>
  </si>
  <si>
    <t>Cash and Cash Equivalents at the Beginning of the Year</t>
  </si>
  <si>
    <t>Exchange difference of Foreign Currency Cash and Cash equivalents</t>
  </si>
  <si>
    <t>Closing Balance of Cash and Cash Equivalents</t>
  </si>
  <si>
    <t>Cash and Cash Equivalents at the End of the Year</t>
  </si>
  <si>
    <t>Components of cash and cash equivalents</t>
  </si>
  <si>
    <t>Cash on hand</t>
  </si>
  <si>
    <t>Cheques</t>
  </si>
  <si>
    <t>Balances with banks in current accounts</t>
  </si>
  <si>
    <t>Ignore This Field</t>
  </si>
  <si>
    <t>Bank Deposit having maturity of less than 3 months</t>
  </si>
  <si>
    <t>Others</t>
  </si>
  <si>
    <t>Cash and cash equivalents as per Cash Flow Statement</t>
  </si>
  <si>
    <t>Profit/(Loss ) for the period ( before Minority interest adjustment )</t>
  </si>
  <si>
    <t>Less : Minority interest in ( Profit)/losses</t>
  </si>
  <si>
    <t>Minority Interest</t>
  </si>
  <si>
    <t>Profit/(Loss ) for the period ( after Minority interest adjustment )</t>
  </si>
  <si>
    <t>Earnings Per Share ( Face</t>
  </si>
  <si>
    <t>Sale of Property, Plant and Equipment</t>
  </si>
  <si>
    <t>Status</t>
  </si>
  <si>
    <t>Correct Field Mapping</t>
  </si>
  <si>
    <t>Field id</t>
  </si>
  <si>
    <t>Correct</t>
  </si>
  <si>
    <t>Incorrect</t>
  </si>
  <si>
    <t>Accuracy %</t>
  </si>
  <si>
    <t xml:space="preserve">Revenue from operations </t>
  </si>
  <si>
    <t>Gross Sales/Income from Operations</t>
  </si>
  <si>
    <t>This filed was not captured, added manually</t>
  </si>
  <si>
    <t>Ignore this field</t>
  </si>
  <si>
    <t>Profit/(Loss) from Discontinuing Operations</t>
  </si>
  <si>
    <t>Face Value</t>
  </si>
  <si>
    <t>Net Profit/(Loss) After Taxes But Before Share of Profit/(Loss) of Associates and Minority Interest</t>
  </si>
  <si>
    <t>Total Share Holder's Funds</t>
  </si>
  <si>
    <t>Total Non-Current Liabilities</t>
  </si>
  <si>
    <t>Label</t>
  </si>
  <si>
    <t>Total Current Liabilities</t>
  </si>
  <si>
    <t>Total Current Assets</t>
  </si>
  <si>
    <t>Foreign Exchange Gain / Loss</t>
  </si>
  <si>
    <t>Income Tax Paid</t>
  </si>
  <si>
    <t>Profit/(Loss) From Ordinary Activities before Tax</t>
  </si>
  <si>
    <t>Total Non-Current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</si>
</sst>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9" fontId="4" fillId="0" borderId="7" xfId="1" applyFont="1" applyFill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0" fillId="0" borderId="1" xfId="0" applyFont="1" applyBorder="1"/>
    <xf numFmtId="0" fontId="0" fillId="4" borderId="1" xfId="0" applyFont="1" applyFill="1" applyBorder="1"/>
    <xf numFmtId="0" fontId="0" fillId="4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20" workbookViewId="0">
      <selection activeCell="D16" sqref="D16:E16"/>
    </sheetView>
  </sheetViews>
  <sheetFormatPr defaultRowHeight="15" x14ac:dyDescent="0.25"/>
  <cols>
    <col min="1" max="1" width="59" bestFit="1" customWidth="1"/>
    <col min="2" max="2" width="65.5703125" customWidth="1"/>
    <col min="4" max="4" width="51.28515625" bestFit="1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27</v>
      </c>
    </row>
    <row r="2" spans="1:8" x14ac:dyDescent="0.25">
      <c r="A2" s="12" t="s">
        <v>233</v>
      </c>
      <c r="B2" s="12"/>
      <c r="C2" s="12" t="s">
        <v>231</v>
      </c>
      <c r="D2" s="12" t="s">
        <v>234</v>
      </c>
      <c r="E2" s="12">
        <v>256</v>
      </c>
      <c r="F2" s="11" t="s">
        <v>235</v>
      </c>
      <c r="G2" s="7" t="s">
        <v>231</v>
      </c>
      <c r="H2" s="8">
        <f>COUNTIF(C:C,G2)</f>
        <v>5</v>
      </c>
    </row>
    <row r="3" spans="1:8" ht="15.75" thickBot="1" x14ac:dyDescent="0.3">
      <c r="A3" s="13" t="s">
        <v>2</v>
      </c>
      <c r="B3" s="13" t="s">
        <v>3</v>
      </c>
      <c r="C3" s="14" t="s">
        <v>230</v>
      </c>
      <c r="D3" s="14"/>
      <c r="E3" s="14"/>
      <c r="F3" s="4"/>
      <c r="G3" s="9" t="s">
        <v>232</v>
      </c>
      <c r="H3" s="10">
        <f>H1/SUM(H1:H2)</f>
        <v>0.84375</v>
      </c>
    </row>
    <row r="4" spans="1:8" x14ac:dyDescent="0.25">
      <c r="A4" s="13" t="s">
        <v>4</v>
      </c>
      <c r="B4" s="13" t="s">
        <v>4</v>
      </c>
      <c r="C4" s="14" t="s">
        <v>230</v>
      </c>
      <c r="D4" s="14"/>
      <c r="E4" s="14"/>
    </row>
    <row r="5" spans="1:8" x14ac:dyDescent="0.25">
      <c r="A5" s="13" t="s">
        <v>5</v>
      </c>
      <c r="B5" s="13" t="s">
        <v>6</v>
      </c>
      <c r="C5" s="14" t="s">
        <v>230</v>
      </c>
      <c r="D5" s="13"/>
      <c r="E5" s="13"/>
    </row>
    <row r="6" spans="1:8" x14ac:dyDescent="0.25">
      <c r="A6" s="13" t="s">
        <v>7</v>
      </c>
      <c r="B6" s="13" t="s">
        <v>8</v>
      </c>
      <c r="C6" s="14" t="s">
        <v>230</v>
      </c>
      <c r="D6" s="13"/>
      <c r="E6" s="13"/>
    </row>
    <row r="7" spans="1:8" x14ac:dyDescent="0.25">
      <c r="A7" s="13" t="s">
        <v>9</v>
      </c>
      <c r="B7" s="13" t="s">
        <v>10</v>
      </c>
      <c r="C7" s="14" t="s">
        <v>230</v>
      </c>
      <c r="D7" s="13"/>
      <c r="E7" s="13"/>
    </row>
    <row r="8" spans="1:8" x14ac:dyDescent="0.25">
      <c r="A8" s="13" t="s">
        <v>11</v>
      </c>
      <c r="B8" s="13" t="s">
        <v>12</v>
      </c>
      <c r="C8" s="14" t="s">
        <v>230</v>
      </c>
      <c r="D8" s="13"/>
      <c r="E8" s="13"/>
    </row>
    <row r="9" spans="1:8" x14ac:dyDescent="0.25">
      <c r="A9" s="13" t="s">
        <v>13</v>
      </c>
      <c r="B9" s="13" t="s">
        <v>14</v>
      </c>
      <c r="C9" s="14" t="s">
        <v>230</v>
      </c>
      <c r="D9" s="13"/>
      <c r="E9" s="13"/>
    </row>
    <row r="10" spans="1:8" x14ac:dyDescent="0.25">
      <c r="A10" s="13" t="s">
        <v>15</v>
      </c>
      <c r="B10" s="13" t="s">
        <v>15</v>
      </c>
      <c r="C10" s="14" t="s">
        <v>230</v>
      </c>
      <c r="D10" s="13"/>
      <c r="E10" s="13"/>
    </row>
    <row r="11" spans="1:8" x14ac:dyDescent="0.25">
      <c r="A11" s="13" t="s">
        <v>16</v>
      </c>
      <c r="B11" s="13" t="s">
        <v>17</v>
      </c>
      <c r="C11" s="14" t="s">
        <v>230</v>
      </c>
      <c r="D11" s="13"/>
      <c r="E11" s="13"/>
    </row>
    <row r="12" spans="1:8" x14ac:dyDescent="0.25">
      <c r="A12" s="13" t="s">
        <v>18</v>
      </c>
      <c r="B12" s="13" t="s">
        <v>18</v>
      </c>
      <c r="C12" s="14" t="s">
        <v>230</v>
      </c>
      <c r="D12" s="13"/>
      <c r="E12" s="13"/>
    </row>
    <row r="13" spans="1:8" x14ac:dyDescent="0.25">
      <c r="A13" s="13" t="s">
        <v>19</v>
      </c>
      <c r="B13" s="13" t="s">
        <v>20</v>
      </c>
      <c r="C13" s="14" t="s">
        <v>230</v>
      </c>
      <c r="D13" s="13"/>
      <c r="E13" s="13"/>
    </row>
    <row r="14" spans="1:8" x14ac:dyDescent="0.25">
      <c r="A14" s="13" t="s">
        <v>21</v>
      </c>
      <c r="B14" s="13" t="s">
        <v>22</v>
      </c>
      <c r="C14" s="14" t="s">
        <v>230</v>
      </c>
      <c r="D14" s="13"/>
      <c r="E14" s="13"/>
    </row>
    <row r="15" spans="1:8" x14ac:dyDescent="0.25">
      <c r="A15" s="13" t="s">
        <v>23</v>
      </c>
      <c r="B15" s="13" t="s">
        <v>24</v>
      </c>
      <c r="C15" s="14" t="s">
        <v>230</v>
      </c>
      <c r="D15" s="13"/>
      <c r="E15" s="13"/>
    </row>
    <row r="16" spans="1:8" x14ac:dyDescent="0.25">
      <c r="A16" s="13" t="s">
        <v>25</v>
      </c>
      <c r="B16" s="13" t="s">
        <v>22</v>
      </c>
      <c r="C16" s="14" t="s">
        <v>231</v>
      </c>
      <c r="D16" s="15" t="s">
        <v>247</v>
      </c>
      <c r="E16" s="16">
        <v>296</v>
      </c>
    </row>
    <row r="17" spans="1:5" x14ac:dyDescent="0.25">
      <c r="A17" s="13" t="s">
        <v>26</v>
      </c>
      <c r="B17" s="13" t="s">
        <v>6</v>
      </c>
      <c r="C17" s="14" t="s">
        <v>231</v>
      </c>
      <c r="D17" s="13" t="s">
        <v>28</v>
      </c>
      <c r="E17" s="13">
        <v>244</v>
      </c>
    </row>
    <row r="18" spans="1:5" x14ac:dyDescent="0.25">
      <c r="A18" s="13" t="s">
        <v>27</v>
      </c>
      <c r="B18" s="13" t="s">
        <v>28</v>
      </c>
      <c r="C18" s="14" t="s">
        <v>230</v>
      </c>
      <c r="D18" s="13"/>
      <c r="E18" s="13"/>
    </row>
    <row r="19" spans="1:5" x14ac:dyDescent="0.25">
      <c r="A19" s="13" t="s">
        <v>29</v>
      </c>
      <c r="B19" s="13" t="s">
        <v>6</v>
      </c>
      <c r="C19" s="14"/>
      <c r="D19" s="13" t="s">
        <v>236</v>
      </c>
      <c r="E19" s="13"/>
    </row>
    <row r="20" spans="1:5" x14ac:dyDescent="0.25">
      <c r="A20" s="13" t="s">
        <v>30</v>
      </c>
      <c r="B20" s="13" t="s">
        <v>6</v>
      </c>
      <c r="C20" s="14" t="s">
        <v>230</v>
      </c>
      <c r="D20" s="13"/>
      <c r="E20" s="13"/>
    </row>
    <row r="21" spans="1:5" x14ac:dyDescent="0.25">
      <c r="A21" s="13" t="s">
        <v>31</v>
      </c>
      <c r="B21" s="13" t="s">
        <v>32</v>
      </c>
      <c r="C21" s="14" t="s">
        <v>230</v>
      </c>
      <c r="D21" s="13"/>
      <c r="E21" s="13"/>
    </row>
    <row r="22" spans="1:5" x14ac:dyDescent="0.25">
      <c r="A22" s="13" t="s">
        <v>33</v>
      </c>
      <c r="B22" s="13" t="s">
        <v>33</v>
      </c>
      <c r="C22" s="14" t="s">
        <v>230</v>
      </c>
      <c r="D22" s="13"/>
      <c r="E22" s="13"/>
    </row>
    <row r="23" spans="1:5" x14ac:dyDescent="0.25">
      <c r="A23" s="13" t="s">
        <v>34</v>
      </c>
      <c r="B23" s="13" t="s">
        <v>32</v>
      </c>
      <c r="C23" s="14" t="s">
        <v>230</v>
      </c>
      <c r="D23" s="13"/>
      <c r="E23" s="13"/>
    </row>
    <row r="24" spans="1:5" x14ac:dyDescent="0.25">
      <c r="A24" s="13" t="s">
        <v>35</v>
      </c>
      <c r="B24" s="13" t="s">
        <v>36</v>
      </c>
      <c r="C24" s="14" t="s">
        <v>230</v>
      </c>
      <c r="D24" s="13" t="s">
        <v>36</v>
      </c>
      <c r="E24" s="13">
        <v>20017</v>
      </c>
    </row>
    <row r="25" spans="1:5" x14ac:dyDescent="0.25">
      <c r="A25" s="13" t="s">
        <v>37</v>
      </c>
      <c r="B25" s="13" t="s">
        <v>38</v>
      </c>
      <c r="C25" s="14" t="s">
        <v>231</v>
      </c>
      <c r="D25" s="13" t="s">
        <v>237</v>
      </c>
      <c r="E25" s="13">
        <v>20016</v>
      </c>
    </row>
    <row r="26" spans="1:5" x14ac:dyDescent="0.25">
      <c r="A26" s="13" t="s">
        <v>39</v>
      </c>
      <c r="B26" s="13" t="s">
        <v>40</v>
      </c>
      <c r="C26" s="14" t="s">
        <v>230</v>
      </c>
      <c r="D26" s="13" t="s">
        <v>40</v>
      </c>
      <c r="E26" s="13">
        <v>20018</v>
      </c>
    </row>
    <row r="27" spans="1:5" x14ac:dyDescent="0.25">
      <c r="A27" s="13" t="s">
        <v>41</v>
      </c>
      <c r="B27" s="13" t="s">
        <v>38</v>
      </c>
      <c r="C27" s="14" t="s">
        <v>230</v>
      </c>
      <c r="D27" s="13" t="s">
        <v>38</v>
      </c>
      <c r="E27" s="13">
        <v>20015</v>
      </c>
    </row>
    <row r="28" spans="1:5" x14ac:dyDescent="0.25">
      <c r="A28" s="13" t="s">
        <v>42</v>
      </c>
      <c r="B28" s="13" t="s">
        <v>43</v>
      </c>
      <c r="C28" s="14" t="s">
        <v>230</v>
      </c>
      <c r="D28" s="13"/>
      <c r="E28" s="13"/>
    </row>
    <row r="29" spans="1:5" x14ac:dyDescent="0.25">
      <c r="A29" s="13" t="s">
        <v>44</v>
      </c>
      <c r="B29" s="13" t="s">
        <v>6</v>
      </c>
      <c r="C29" s="14" t="s">
        <v>230</v>
      </c>
      <c r="D29" s="13"/>
      <c r="E29" s="13"/>
    </row>
    <row r="30" spans="1:5" x14ac:dyDescent="0.25">
      <c r="A30" s="13" t="s">
        <v>45</v>
      </c>
      <c r="B30" s="13" t="s">
        <v>46</v>
      </c>
      <c r="C30" s="14" t="s">
        <v>230</v>
      </c>
      <c r="D30" s="13"/>
      <c r="E30" s="13"/>
    </row>
    <row r="31" spans="1:5" x14ac:dyDescent="0.25">
      <c r="A31" s="13" t="s">
        <v>47</v>
      </c>
      <c r="B31" s="13" t="s">
        <v>46</v>
      </c>
      <c r="C31" s="14" t="s">
        <v>231</v>
      </c>
      <c r="D31" s="13" t="s">
        <v>238</v>
      </c>
      <c r="E31" s="13">
        <v>245</v>
      </c>
    </row>
    <row r="32" spans="1:5" x14ac:dyDescent="0.25">
      <c r="A32" s="13" t="s">
        <v>48</v>
      </c>
      <c r="B32" s="13" t="s">
        <v>6</v>
      </c>
      <c r="C32" s="14" t="s">
        <v>230</v>
      </c>
      <c r="D32" s="13"/>
      <c r="E32" s="13"/>
    </row>
    <row r="33" spans="1:5" x14ac:dyDescent="0.25">
      <c r="A33" s="13" t="s">
        <v>49</v>
      </c>
      <c r="B33" s="13" t="s">
        <v>50</v>
      </c>
      <c r="C33" s="14" t="s">
        <v>230</v>
      </c>
      <c r="D33" s="13" t="s">
        <v>50</v>
      </c>
      <c r="E33" s="13">
        <v>222</v>
      </c>
    </row>
    <row r="34" spans="1:5" x14ac:dyDescent="0.25">
      <c r="A34" s="13" t="s">
        <v>51</v>
      </c>
      <c r="B34" s="13" t="s">
        <v>52</v>
      </c>
      <c r="C34" s="14" t="s">
        <v>230</v>
      </c>
      <c r="D34" s="13" t="s">
        <v>52</v>
      </c>
      <c r="E34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workbookViewId="0">
      <selection activeCell="D25" sqref="D25"/>
    </sheetView>
  </sheetViews>
  <sheetFormatPr defaultRowHeight="15" x14ac:dyDescent="0.25"/>
  <cols>
    <col min="1" max="1" width="61.5703125" bestFit="1" customWidth="1"/>
    <col min="2" max="2" width="49.7109375" customWidth="1"/>
    <col min="4" max="4" width="50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27</v>
      </c>
    </row>
    <row r="2" spans="1:8" x14ac:dyDescent="0.25">
      <c r="A2" s="12" t="s">
        <v>233</v>
      </c>
      <c r="B2" s="12"/>
      <c r="C2" s="12" t="s">
        <v>231</v>
      </c>
      <c r="D2" s="12" t="s">
        <v>234</v>
      </c>
      <c r="E2" s="12">
        <v>256</v>
      </c>
      <c r="F2" s="11" t="s">
        <v>235</v>
      </c>
      <c r="G2" s="7" t="s">
        <v>231</v>
      </c>
      <c r="H2" s="8">
        <f>COUNTIF(C:C,G2)</f>
        <v>6</v>
      </c>
    </row>
    <row r="3" spans="1:8" ht="15.75" thickBot="1" x14ac:dyDescent="0.3">
      <c r="A3" s="13" t="s">
        <v>2</v>
      </c>
      <c r="B3" s="13" t="s">
        <v>3</v>
      </c>
      <c r="C3" s="14" t="s">
        <v>230</v>
      </c>
      <c r="D3" s="14"/>
      <c r="E3" s="14"/>
      <c r="F3" s="4"/>
      <c r="G3" s="9" t="s">
        <v>232</v>
      </c>
      <c r="H3" s="10">
        <f>H1/SUM(H1:H2)</f>
        <v>0.81818181818181823</v>
      </c>
    </row>
    <row r="4" spans="1:8" x14ac:dyDescent="0.25">
      <c r="A4" s="13" t="s">
        <v>4</v>
      </c>
      <c r="B4" s="13" t="s">
        <v>4</v>
      </c>
      <c r="C4" s="14" t="s">
        <v>230</v>
      </c>
      <c r="D4" s="14"/>
      <c r="E4" s="14"/>
      <c r="F4" s="4"/>
    </row>
    <row r="5" spans="1:8" x14ac:dyDescent="0.25">
      <c r="A5" s="13" t="s">
        <v>5</v>
      </c>
      <c r="B5" s="13" t="s">
        <v>6</v>
      </c>
      <c r="C5" s="14" t="s">
        <v>230</v>
      </c>
      <c r="D5" s="14"/>
      <c r="E5" s="14"/>
    </row>
    <row r="6" spans="1:8" x14ac:dyDescent="0.25">
      <c r="A6" s="13" t="s">
        <v>7</v>
      </c>
      <c r="B6" s="13" t="s">
        <v>8</v>
      </c>
      <c r="C6" s="14" t="s">
        <v>230</v>
      </c>
      <c r="D6" s="14"/>
      <c r="E6" s="14"/>
    </row>
    <row r="7" spans="1:8" x14ac:dyDescent="0.25">
      <c r="A7" s="13" t="s">
        <v>9</v>
      </c>
      <c r="B7" s="13" t="s">
        <v>10</v>
      </c>
      <c r="C7" s="14" t="s">
        <v>230</v>
      </c>
      <c r="D7" s="14"/>
      <c r="E7" s="14"/>
    </row>
    <row r="8" spans="1:8" x14ac:dyDescent="0.25">
      <c r="A8" s="13" t="s">
        <v>11</v>
      </c>
      <c r="B8" s="13" t="s">
        <v>12</v>
      </c>
      <c r="C8" s="14" t="s">
        <v>230</v>
      </c>
      <c r="D8" s="14"/>
      <c r="E8" s="14"/>
    </row>
    <row r="9" spans="1:8" x14ac:dyDescent="0.25">
      <c r="A9" s="13" t="s">
        <v>13</v>
      </c>
      <c r="B9" s="13" t="s">
        <v>14</v>
      </c>
      <c r="C9" s="14" t="s">
        <v>230</v>
      </c>
      <c r="D9" s="14"/>
      <c r="E9" s="14"/>
    </row>
    <row r="10" spans="1:8" x14ac:dyDescent="0.25">
      <c r="A10" s="13" t="s">
        <v>15</v>
      </c>
      <c r="B10" s="13" t="s">
        <v>15</v>
      </c>
      <c r="C10" s="14" t="s">
        <v>230</v>
      </c>
      <c r="D10" s="14"/>
      <c r="E10" s="14"/>
    </row>
    <row r="11" spans="1:8" x14ac:dyDescent="0.25">
      <c r="A11" s="13" t="s">
        <v>16</v>
      </c>
      <c r="B11" s="13" t="s">
        <v>17</v>
      </c>
      <c r="C11" s="14" t="s">
        <v>230</v>
      </c>
      <c r="D11" s="14"/>
      <c r="E11" s="14"/>
    </row>
    <row r="12" spans="1:8" x14ac:dyDescent="0.25">
      <c r="A12" s="13" t="s">
        <v>18</v>
      </c>
      <c r="B12" s="13" t="s">
        <v>18</v>
      </c>
      <c r="C12" s="14" t="s">
        <v>230</v>
      </c>
      <c r="D12" s="14"/>
      <c r="E12" s="14"/>
    </row>
    <row r="13" spans="1:8" x14ac:dyDescent="0.25">
      <c r="A13" s="13" t="s">
        <v>19</v>
      </c>
      <c r="B13" s="13" t="s">
        <v>20</v>
      </c>
      <c r="C13" s="14" t="s">
        <v>230</v>
      </c>
      <c r="D13" s="14"/>
      <c r="E13" s="14"/>
    </row>
    <row r="14" spans="1:8" x14ac:dyDescent="0.25">
      <c r="A14" s="13" t="s">
        <v>21</v>
      </c>
      <c r="B14" s="13" t="s">
        <v>22</v>
      </c>
      <c r="C14" s="14" t="s">
        <v>230</v>
      </c>
      <c r="D14" s="14"/>
      <c r="E14" s="14"/>
    </row>
    <row r="15" spans="1:8" x14ac:dyDescent="0.25">
      <c r="A15" s="13" t="s">
        <v>23</v>
      </c>
      <c r="B15" s="13" t="s">
        <v>24</v>
      </c>
      <c r="C15" s="14" t="s">
        <v>230</v>
      </c>
      <c r="D15" s="14"/>
      <c r="E15" s="14"/>
    </row>
    <row r="16" spans="1:8" x14ac:dyDescent="0.25">
      <c r="A16" s="13" t="s">
        <v>25</v>
      </c>
      <c r="B16" s="13" t="s">
        <v>22</v>
      </c>
      <c r="C16" s="14" t="s">
        <v>231</v>
      </c>
      <c r="D16" s="15" t="s">
        <v>247</v>
      </c>
      <c r="E16" s="16">
        <v>296</v>
      </c>
    </row>
    <row r="17" spans="1:5" x14ac:dyDescent="0.25">
      <c r="A17" s="13" t="s">
        <v>26</v>
      </c>
      <c r="B17" s="13" t="s">
        <v>6</v>
      </c>
      <c r="C17" s="14" t="s">
        <v>231</v>
      </c>
      <c r="D17" s="14" t="s">
        <v>28</v>
      </c>
      <c r="E17" s="14">
        <v>244</v>
      </c>
    </row>
    <row r="18" spans="1:5" x14ac:dyDescent="0.25">
      <c r="A18" s="13" t="s">
        <v>27</v>
      </c>
      <c r="B18" s="13" t="s">
        <v>28</v>
      </c>
      <c r="C18" s="14" t="s">
        <v>230</v>
      </c>
      <c r="D18" s="14"/>
      <c r="E18" s="14"/>
    </row>
    <row r="19" spans="1:5" x14ac:dyDescent="0.25">
      <c r="A19" s="13" t="s">
        <v>29</v>
      </c>
      <c r="B19" s="13" t="s">
        <v>6</v>
      </c>
      <c r="C19" s="14"/>
      <c r="D19" s="14" t="s">
        <v>236</v>
      </c>
      <c r="E19" s="14"/>
    </row>
    <row r="20" spans="1:5" x14ac:dyDescent="0.25">
      <c r="A20" s="13" t="s">
        <v>30</v>
      </c>
      <c r="B20" s="13" t="s">
        <v>6</v>
      </c>
      <c r="C20" s="14" t="s">
        <v>230</v>
      </c>
      <c r="D20" s="14"/>
      <c r="E20" s="14"/>
    </row>
    <row r="21" spans="1:5" x14ac:dyDescent="0.25">
      <c r="A21" s="13" t="s">
        <v>31</v>
      </c>
      <c r="B21" s="13" t="s">
        <v>32</v>
      </c>
      <c r="C21" s="14" t="s">
        <v>230</v>
      </c>
      <c r="D21" s="14"/>
      <c r="E21" s="14"/>
    </row>
    <row r="22" spans="1:5" x14ac:dyDescent="0.25">
      <c r="A22" s="13" t="s">
        <v>33</v>
      </c>
      <c r="B22" s="13" t="s">
        <v>33</v>
      </c>
      <c r="C22" s="14" t="s">
        <v>230</v>
      </c>
      <c r="D22" s="14"/>
      <c r="E22" s="14"/>
    </row>
    <row r="23" spans="1:5" x14ac:dyDescent="0.25">
      <c r="A23" s="13" t="s">
        <v>34</v>
      </c>
      <c r="B23" s="13" t="s">
        <v>32</v>
      </c>
      <c r="C23" s="14" t="s">
        <v>230</v>
      </c>
      <c r="D23" s="14"/>
      <c r="E23" s="14"/>
    </row>
    <row r="24" spans="1:5" x14ac:dyDescent="0.25">
      <c r="A24" s="13" t="s">
        <v>35</v>
      </c>
      <c r="B24" s="13" t="s">
        <v>36</v>
      </c>
      <c r="C24" s="14" t="s">
        <v>230</v>
      </c>
      <c r="D24" s="14" t="s">
        <v>36</v>
      </c>
      <c r="E24" s="14">
        <v>20017</v>
      </c>
    </row>
    <row r="25" spans="1:5" x14ac:dyDescent="0.25">
      <c r="A25" s="13" t="s">
        <v>37</v>
      </c>
      <c r="B25" s="13" t="s">
        <v>38</v>
      </c>
      <c r="C25" s="14" t="s">
        <v>231</v>
      </c>
      <c r="D25" s="14" t="s">
        <v>237</v>
      </c>
      <c r="E25" s="14">
        <v>20016</v>
      </c>
    </row>
    <row r="26" spans="1:5" x14ac:dyDescent="0.25">
      <c r="A26" s="13" t="s">
        <v>39</v>
      </c>
      <c r="B26" s="13" t="s">
        <v>40</v>
      </c>
      <c r="C26" s="14" t="s">
        <v>230</v>
      </c>
      <c r="D26" s="14" t="s">
        <v>40</v>
      </c>
      <c r="E26" s="14">
        <v>20018</v>
      </c>
    </row>
    <row r="27" spans="1:5" x14ac:dyDescent="0.25">
      <c r="A27" s="13" t="s">
        <v>41</v>
      </c>
      <c r="B27" s="13" t="s">
        <v>38</v>
      </c>
      <c r="C27" s="14" t="s">
        <v>230</v>
      </c>
      <c r="D27" s="14" t="s">
        <v>38</v>
      </c>
      <c r="E27" s="14">
        <v>20015</v>
      </c>
    </row>
    <row r="28" spans="1:5" x14ac:dyDescent="0.25">
      <c r="A28" s="13" t="s">
        <v>42</v>
      </c>
      <c r="B28" s="13" t="s">
        <v>43</v>
      </c>
      <c r="C28" s="14"/>
      <c r="D28" s="14" t="s">
        <v>236</v>
      </c>
      <c r="E28" s="14"/>
    </row>
    <row r="29" spans="1:5" x14ac:dyDescent="0.25">
      <c r="A29" s="13" t="s">
        <v>221</v>
      </c>
      <c r="B29" s="13" t="s">
        <v>6</v>
      </c>
      <c r="C29" s="14" t="s">
        <v>231</v>
      </c>
      <c r="D29" s="14" t="s">
        <v>239</v>
      </c>
      <c r="E29" s="14">
        <v>268</v>
      </c>
    </row>
    <row r="30" spans="1:5" x14ac:dyDescent="0.25">
      <c r="A30" s="13" t="s">
        <v>222</v>
      </c>
      <c r="B30" s="13" t="s">
        <v>223</v>
      </c>
      <c r="C30" s="14" t="s">
        <v>230</v>
      </c>
      <c r="D30" s="14" t="s">
        <v>223</v>
      </c>
      <c r="E30" s="14">
        <v>264</v>
      </c>
    </row>
    <row r="31" spans="1:5" x14ac:dyDescent="0.25">
      <c r="A31" s="13" t="s">
        <v>224</v>
      </c>
      <c r="B31" s="13" t="s">
        <v>6</v>
      </c>
      <c r="C31" s="14" t="s">
        <v>231</v>
      </c>
      <c r="D31" s="14" t="s">
        <v>43</v>
      </c>
      <c r="E31" s="14">
        <v>269</v>
      </c>
    </row>
    <row r="32" spans="1:5" x14ac:dyDescent="0.25">
      <c r="A32" s="13" t="s">
        <v>44</v>
      </c>
      <c r="B32" s="13" t="s">
        <v>6</v>
      </c>
      <c r="C32" s="14" t="s">
        <v>230</v>
      </c>
      <c r="D32" s="14"/>
      <c r="E32" s="14"/>
    </row>
    <row r="33" spans="1:5" x14ac:dyDescent="0.25">
      <c r="A33" s="13" t="s">
        <v>45</v>
      </c>
      <c r="B33" s="13" t="s">
        <v>46</v>
      </c>
      <c r="C33" s="14" t="s">
        <v>230</v>
      </c>
      <c r="D33" s="14"/>
      <c r="E33" s="14"/>
    </row>
    <row r="34" spans="1:5" x14ac:dyDescent="0.25">
      <c r="A34" s="13" t="s">
        <v>225</v>
      </c>
      <c r="B34" s="13" t="s">
        <v>6</v>
      </c>
      <c r="C34" s="14" t="s">
        <v>230</v>
      </c>
      <c r="D34" s="14"/>
      <c r="E34" s="14"/>
    </row>
    <row r="35" spans="1:5" x14ac:dyDescent="0.25">
      <c r="A35" s="13" t="s">
        <v>49</v>
      </c>
      <c r="B35" s="13" t="s">
        <v>50</v>
      </c>
      <c r="C35" s="14" t="s">
        <v>230</v>
      </c>
      <c r="D35" s="14" t="s">
        <v>50</v>
      </c>
      <c r="E35" s="14">
        <v>222</v>
      </c>
    </row>
    <row r="36" spans="1:5" x14ac:dyDescent="0.25">
      <c r="A36" s="13" t="s">
        <v>51</v>
      </c>
      <c r="B36" s="13" t="s">
        <v>52</v>
      </c>
      <c r="C36" s="14" t="s">
        <v>230</v>
      </c>
      <c r="D36" s="14" t="s">
        <v>52</v>
      </c>
      <c r="E36" s="1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 x14ac:dyDescent="0.25"/>
  <cols>
    <col min="1" max="1" width="48.7109375" bestFit="1" customWidth="1"/>
    <col min="2" max="2" width="40.7109375" bestFit="1" customWidth="1"/>
    <col min="3" max="3" width="8.85546875" bestFit="1" customWidth="1"/>
    <col min="4" max="4" width="26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35</v>
      </c>
    </row>
    <row r="2" spans="1:8" x14ac:dyDescent="0.25">
      <c r="A2" s="13" t="s">
        <v>53</v>
      </c>
      <c r="B2" s="13" t="s">
        <v>6</v>
      </c>
      <c r="C2" s="14" t="s">
        <v>230</v>
      </c>
      <c r="D2" s="14"/>
      <c r="E2" s="14"/>
      <c r="F2" s="4"/>
      <c r="G2" s="7" t="s">
        <v>231</v>
      </c>
      <c r="H2" s="8">
        <f>COUNTIF(C:C,G2)</f>
        <v>7</v>
      </c>
    </row>
    <row r="3" spans="1:8" ht="15.75" thickBot="1" x14ac:dyDescent="0.3">
      <c r="A3" s="13" t="s">
        <v>54</v>
      </c>
      <c r="B3" s="13" t="s">
        <v>54</v>
      </c>
      <c r="C3" s="14" t="s">
        <v>230</v>
      </c>
      <c r="D3" s="14"/>
      <c r="E3" s="14"/>
      <c r="F3" s="4"/>
      <c r="G3" s="9" t="s">
        <v>232</v>
      </c>
      <c r="H3" s="10">
        <f>H1/SUM(H1:H2)</f>
        <v>0.83333333333333337</v>
      </c>
    </row>
    <row r="4" spans="1:8" x14ac:dyDescent="0.25">
      <c r="A4" s="13" t="s">
        <v>55</v>
      </c>
      <c r="B4" s="13" t="s">
        <v>56</v>
      </c>
      <c r="C4" s="14" t="s">
        <v>230</v>
      </c>
      <c r="D4" s="13"/>
      <c r="E4" s="13"/>
    </row>
    <row r="5" spans="1:8" x14ac:dyDescent="0.25">
      <c r="A5" s="13" t="s">
        <v>57</v>
      </c>
      <c r="B5" s="13" t="s">
        <v>58</v>
      </c>
      <c r="C5" s="14" t="s">
        <v>230</v>
      </c>
      <c r="D5" s="13"/>
      <c r="E5" s="13"/>
    </row>
    <row r="6" spans="1:8" x14ac:dyDescent="0.25">
      <c r="A6" s="13" t="s">
        <v>59</v>
      </c>
      <c r="B6" s="13" t="s">
        <v>60</v>
      </c>
      <c r="C6" s="14" t="s">
        <v>231</v>
      </c>
      <c r="D6" s="13" t="s">
        <v>240</v>
      </c>
      <c r="E6" s="13">
        <v>13773</v>
      </c>
    </row>
    <row r="7" spans="1:8" x14ac:dyDescent="0.25">
      <c r="A7" s="13" t="s">
        <v>61</v>
      </c>
      <c r="B7" s="13" t="s">
        <v>61</v>
      </c>
      <c r="C7" s="14" t="s">
        <v>230</v>
      </c>
      <c r="D7" s="13"/>
      <c r="E7" s="13"/>
    </row>
    <row r="8" spans="1:8" x14ac:dyDescent="0.25">
      <c r="A8" s="13" t="s">
        <v>62</v>
      </c>
      <c r="B8" s="13" t="s">
        <v>6</v>
      </c>
      <c r="C8" s="14" t="s">
        <v>230</v>
      </c>
      <c r="D8" s="13"/>
      <c r="E8" s="13"/>
    </row>
    <row r="9" spans="1:8" x14ac:dyDescent="0.25">
      <c r="A9" s="13" t="s">
        <v>63</v>
      </c>
      <c r="B9" s="13" t="s">
        <v>64</v>
      </c>
      <c r="C9" s="14" t="s">
        <v>230</v>
      </c>
      <c r="D9" s="13" t="s">
        <v>64</v>
      </c>
      <c r="E9" s="13">
        <v>20223</v>
      </c>
    </row>
    <row r="10" spans="1:8" x14ac:dyDescent="0.25">
      <c r="A10" s="13" t="s">
        <v>65</v>
      </c>
      <c r="B10" s="13" t="s">
        <v>66</v>
      </c>
      <c r="C10" s="14" t="s">
        <v>230</v>
      </c>
      <c r="D10" s="13"/>
      <c r="E10" s="13"/>
    </row>
    <row r="11" spans="1:8" x14ac:dyDescent="0.25">
      <c r="A11" s="13" t="s">
        <v>67</v>
      </c>
      <c r="B11" s="13" t="s">
        <v>68</v>
      </c>
      <c r="C11" s="14" t="s">
        <v>230</v>
      </c>
      <c r="D11" s="13"/>
      <c r="E11" s="13"/>
    </row>
    <row r="12" spans="1:8" x14ac:dyDescent="0.25">
      <c r="A12" s="13" t="s">
        <v>69</v>
      </c>
      <c r="B12" s="13" t="s">
        <v>70</v>
      </c>
      <c r="C12" s="14" t="s">
        <v>230</v>
      </c>
      <c r="D12" s="13"/>
      <c r="E12" s="13"/>
    </row>
    <row r="13" spans="1:8" x14ac:dyDescent="0.25">
      <c r="A13" s="13" t="s">
        <v>59</v>
      </c>
      <c r="B13" s="13" t="s">
        <v>60</v>
      </c>
      <c r="C13" s="14" t="s">
        <v>231</v>
      </c>
      <c r="D13" s="13" t="s">
        <v>241</v>
      </c>
      <c r="E13" s="13">
        <v>13778</v>
      </c>
    </row>
    <row r="14" spans="1:8" x14ac:dyDescent="0.25">
      <c r="A14" s="13" t="s">
        <v>71</v>
      </c>
      <c r="B14" s="13" t="s">
        <v>6</v>
      </c>
      <c r="C14" s="14" t="s">
        <v>230</v>
      </c>
      <c r="D14" s="13"/>
      <c r="E14" s="13"/>
    </row>
    <row r="15" spans="1:8" x14ac:dyDescent="0.25">
      <c r="A15" s="13" t="s">
        <v>72</v>
      </c>
      <c r="B15" s="13" t="s">
        <v>64</v>
      </c>
      <c r="C15" s="14" t="s">
        <v>230</v>
      </c>
      <c r="D15" s="13" t="s">
        <v>64</v>
      </c>
      <c r="E15" s="13">
        <v>20209</v>
      </c>
    </row>
    <row r="16" spans="1:8" x14ac:dyDescent="0.25">
      <c r="A16" s="13" t="s">
        <v>73</v>
      </c>
      <c r="B16" s="13" t="s">
        <v>73</v>
      </c>
      <c r="C16" s="14" t="s">
        <v>231</v>
      </c>
      <c r="D16" s="13" t="s">
        <v>242</v>
      </c>
      <c r="E16" s="13"/>
    </row>
    <row r="17" spans="1:5" x14ac:dyDescent="0.25">
      <c r="A17" s="13" t="s">
        <v>74</v>
      </c>
      <c r="B17" s="13" t="s">
        <v>73</v>
      </c>
      <c r="C17" s="14" t="s">
        <v>230</v>
      </c>
      <c r="D17" s="13" t="s">
        <v>73</v>
      </c>
      <c r="E17" s="13">
        <v>13779</v>
      </c>
    </row>
    <row r="18" spans="1:5" x14ac:dyDescent="0.25">
      <c r="A18" s="13" t="s">
        <v>75</v>
      </c>
      <c r="B18" s="13" t="s">
        <v>73</v>
      </c>
      <c r="C18" s="14" t="s">
        <v>230</v>
      </c>
      <c r="D18" s="13" t="s">
        <v>73</v>
      </c>
      <c r="E18" s="13">
        <v>13779</v>
      </c>
    </row>
    <row r="19" spans="1:5" x14ac:dyDescent="0.25">
      <c r="A19" s="13" t="s">
        <v>76</v>
      </c>
      <c r="B19" s="13" t="s">
        <v>77</v>
      </c>
      <c r="C19" s="14" t="s">
        <v>230</v>
      </c>
      <c r="D19" s="13"/>
      <c r="E19" s="13"/>
    </row>
    <row r="20" spans="1:5" x14ac:dyDescent="0.25">
      <c r="A20" s="13" t="s">
        <v>78</v>
      </c>
      <c r="B20" s="13" t="s">
        <v>79</v>
      </c>
      <c r="C20" s="14" t="s">
        <v>230</v>
      </c>
      <c r="D20" s="13"/>
      <c r="E20" s="13"/>
    </row>
    <row r="21" spans="1:5" x14ac:dyDescent="0.25">
      <c r="A21" s="13" t="s">
        <v>59</v>
      </c>
      <c r="B21" s="13" t="s">
        <v>60</v>
      </c>
      <c r="C21" s="14" t="s">
        <v>231</v>
      </c>
      <c r="D21" s="13" t="s">
        <v>243</v>
      </c>
      <c r="E21" s="13">
        <v>13775</v>
      </c>
    </row>
    <row r="22" spans="1:5" x14ac:dyDescent="0.25">
      <c r="A22" s="13" t="s">
        <v>80</v>
      </c>
      <c r="B22" s="13" t="s">
        <v>60</v>
      </c>
      <c r="C22" s="14" t="s">
        <v>230</v>
      </c>
      <c r="D22" s="13"/>
      <c r="E22" s="13"/>
    </row>
    <row r="23" spans="1:5" x14ac:dyDescent="0.25">
      <c r="A23" s="13" t="s">
        <v>81</v>
      </c>
      <c r="B23" s="13" t="s">
        <v>6</v>
      </c>
      <c r="C23" s="14" t="s">
        <v>230</v>
      </c>
      <c r="D23" s="13"/>
      <c r="E23" s="13"/>
    </row>
    <row r="24" spans="1:5" x14ac:dyDescent="0.25">
      <c r="A24" s="13" t="s">
        <v>82</v>
      </c>
      <c r="B24" s="13" t="s">
        <v>6</v>
      </c>
      <c r="C24" s="14" t="s">
        <v>230</v>
      </c>
      <c r="D24" s="13"/>
      <c r="E24" s="13"/>
    </row>
    <row r="25" spans="1:5" x14ac:dyDescent="0.25">
      <c r="A25" s="13" t="s">
        <v>83</v>
      </c>
      <c r="B25" s="13" t="s">
        <v>84</v>
      </c>
      <c r="C25" s="14" t="s">
        <v>231</v>
      </c>
      <c r="D25" s="13" t="s">
        <v>242</v>
      </c>
      <c r="E25" s="13"/>
    </row>
    <row r="26" spans="1:5" x14ac:dyDescent="0.25">
      <c r="A26" s="13" t="s">
        <v>85</v>
      </c>
      <c r="B26" s="13" t="s">
        <v>84</v>
      </c>
      <c r="C26" s="14" t="s">
        <v>230</v>
      </c>
      <c r="D26" s="13"/>
      <c r="E26" s="13"/>
    </row>
    <row r="27" spans="1:5" x14ac:dyDescent="0.25">
      <c r="A27" s="13" t="s">
        <v>86</v>
      </c>
      <c r="B27" s="13" t="s">
        <v>87</v>
      </c>
      <c r="C27" s="14" t="s">
        <v>230</v>
      </c>
      <c r="D27" s="13"/>
      <c r="E27" s="13"/>
    </row>
    <row r="28" spans="1:5" x14ac:dyDescent="0.25">
      <c r="A28" s="13" t="s">
        <v>88</v>
      </c>
      <c r="B28" s="13" t="s">
        <v>89</v>
      </c>
      <c r="C28" s="14" t="s">
        <v>230</v>
      </c>
      <c r="D28" s="13"/>
      <c r="E28" s="13"/>
    </row>
    <row r="29" spans="1:5" x14ac:dyDescent="0.25">
      <c r="A29" s="13" t="s">
        <v>90</v>
      </c>
      <c r="B29" s="13" t="s">
        <v>91</v>
      </c>
      <c r="C29" s="14" t="s">
        <v>230</v>
      </c>
      <c r="D29" s="13"/>
      <c r="E29" s="13"/>
    </row>
    <row r="30" spans="1:5" x14ac:dyDescent="0.25">
      <c r="A30" s="13" t="s">
        <v>92</v>
      </c>
      <c r="B30" s="13" t="s">
        <v>93</v>
      </c>
      <c r="C30" s="14" t="s">
        <v>230</v>
      </c>
      <c r="D30" s="13"/>
      <c r="E30" s="13"/>
    </row>
    <row r="31" spans="1:5" x14ac:dyDescent="0.25">
      <c r="A31" s="13" t="s">
        <v>94</v>
      </c>
      <c r="B31" s="13" t="s">
        <v>95</v>
      </c>
      <c r="C31" s="14" t="s">
        <v>230</v>
      </c>
      <c r="D31" s="13"/>
      <c r="E31" s="13"/>
    </row>
    <row r="32" spans="1:5" x14ac:dyDescent="0.25">
      <c r="A32" s="13" t="s">
        <v>96</v>
      </c>
      <c r="B32" s="13" t="s">
        <v>97</v>
      </c>
      <c r="C32" s="14" t="s">
        <v>230</v>
      </c>
      <c r="D32" s="13"/>
      <c r="E32" s="13"/>
    </row>
    <row r="33" spans="1:5" x14ac:dyDescent="0.25">
      <c r="A33" s="13" t="s">
        <v>98</v>
      </c>
      <c r="B33" s="13" t="s">
        <v>99</v>
      </c>
      <c r="C33" s="14" t="s">
        <v>230</v>
      </c>
      <c r="D33" s="13"/>
      <c r="E33" s="13"/>
    </row>
    <row r="34" spans="1:5" x14ac:dyDescent="0.25">
      <c r="A34" s="13" t="s">
        <v>59</v>
      </c>
      <c r="B34" s="13" t="s">
        <v>60</v>
      </c>
      <c r="C34" s="14" t="s">
        <v>231</v>
      </c>
      <c r="D34" s="15" t="s">
        <v>248</v>
      </c>
      <c r="E34" s="16">
        <v>13777</v>
      </c>
    </row>
    <row r="35" spans="1:5" x14ac:dyDescent="0.25">
      <c r="A35" s="13" t="s">
        <v>100</v>
      </c>
      <c r="B35" s="13" t="s">
        <v>6</v>
      </c>
      <c r="C35" s="14" t="s">
        <v>230</v>
      </c>
      <c r="D35" s="13"/>
      <c r="E35" s="13"/>
    </row>
    <row r="36" spans="1:5" x14ac:dyDescent="0.25">
      <c r="A36" s="13" t="s">
        <v>101</v>
      </c>
      <c r="B36" s="13" t="s">
        <v>102</v>
      </c>
      <c r="C36" s="14" t="s">
        <v>230</v>
      </c>
      <c r="D36" s="13"/>
      <c r="E36" s="13"/>
    </row>
    <row r="37" spans="1:5" x14ac:dyDescent="0.25">
      <c r="A37" s="13" t="s">
        <v>103</v>
      </c>
      <c r="B37" s="13" t="s">
        <v>103</v>
      </c>
      <c r="C37" s="14" t="s">
        <v>230</v>
      </c>
      <c r="D37" s="13"/>
      <c r="E37" s="13"/>
    </row>
    <row r="38" spans="1:5" x14ac:dyDescent="0.25">
      <c r="A38" s="13" t="s">
        <v>104</v>
      </c>
      <c r="B38" s="13" t="s">
        <v>104</v>
      </c>
      <c r="C38" s="14" t="s">
        <v>230</v>
      </c>
      <c r="D38" s="13"/>
      <c r="E38" s="13"/>
    </row>
    <row r="39" spans="1:5" x14ac:dyDescent="0.25">
      <c r="A39" s="13" t="s">
        <v>105</v>
      </c>
      <c r="B39" s="13" t="s">
        <v>106</v>
      </c>
      <c r="C39" s="14" t="s">
        <v>230</v>
      </c>
      <c r="D39" s="13"/>
      <c r="E39" s="13"/>
    </row>
    <row r="40" spans="1:5" x14ac:dyDescent="0.25">
      <c r="A40" s="13" t="s">
        <v>107</v>
      </c>
      <c r="B40" s="13" t="s">
        <v>108</v>
      </c>
      <c r="C40" s="14" t="s">
        <v>230</v>
      </c>
      <c r="D40" s="13"/>
      <c r="E40" s="13"/>
    </row>
    <row r="41" spans="1:5" x14ac:dyDescent="0.25">
      <c r="A41" s="13" t="s">
        <v>109</v>
      </c>
      <c r="B41" s="13" t="s">
        <v>109</v>
      </c>
      <c r="C41" s="14" t="s">
        <v>230</v>
      </c>
      <c r="D41" s="13"/>
      <c r="E41" s="13"/>
    </row>
    <row r="42" spans="1:5" x14ac:dyDescent="0.25">
      <c r="A42" s="13" t="s">
        <v>59</v>
      </c>
      <c r="B42" s="13" t="s">
        <v>60</v>
      </c>
      <c r="C42" s="14" t="s">
        <v>231</v>
      </c>
      <c r="D42" s="13" t="s">
        <v>244</v>
      </c>
      <c r="E42" s="13">
        <v>13774</v>
      </c>
    </row>
    <row r="43" spans="1:5" x14ac:dyDescent="0.25">
      <c r="A43" s="13" t="s">
        <v>110</v>
      </c>
      <c r="B43" s="13" t="s">
        <v>110</v>
      </c>
      <c r="C43" s="14" t="s">
        <v>230</v>
      </c>
      <c r="D43" s="13"/>
      <c r="E43" s="1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>
      <selection activeCell="D8" sqref="D8"/>
    </sheetView>
  </sheetViews>
  <sheetFormatPr defaultRowHeight="15" x14ac:dyDescent="0.25"/>
  <cols>
    <col min="1" max="1" width="48.7109375" bestFit="1" customWidth="1"/>
    <col min="2" max="2" width="40.7109375" bestFit="1" customWidth="1"/>
    <col min="4" max="4" width="24.710937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36</v>
      </c>
    </row>
    <row r="2" spans="1:8" x14ac:dyDescent="0.25">
      <c r="A2" s="13" t="s">
        <v>53</v>
      </c>
      <c r="B2" s="13" t="s">
        <v>6</v>
      </c>
      <c r="C2" s="14" t="s">
        <v>230</v>
      </c>
      <c r="D2" s="14"/>
      <c r="E2" s="14"/>
      <c r="F2" s="4"/>
      <c r="G2" s="7" t="s">
        <v>231</v>
      </c>
      <c r="H2" s="8">
        <f>COUNTIF(C:C,G2)</f>
        <v>7</v>
      </c>
    </row>
    <row r="3" spans="1:8" ht="15.75" thickBot="1" x14ac:dyDescent="0.3">
      <c r="A3" s="13" t="s">
        <v>54</v>
      </c>
      <c r="B3" s="13" t="s">
        <v>54</v>
      </c>
      <c r="C3" s="14" t="s">
        <v>230</v>
      </c>
      <c r="D3" s="14"/>
      <c r="E3" s="14"/>
      <c r="F3" s="4"/>
      <c r="G3" s="9" t="s">
        <v>232</v>
      </c>
      <c r="H3" s="10">
        <f>H1/SUM(H1:H2)</f>
        <v>0.83720930232558144</v>
      </c>
    </row>
    <row r="4" spans="1:8" x14ac:dyDescent="0.25">
      <c r="A4" s="13" t="s">
        <v>55</v>
      </c>
      <c r="B4" s="13" t="s">
        <v>56</v>
      </c>
      <c r="C4" s="14" t="s">
        <v>230</v>
      </c>
      <c r="D4" s="13"/>
      <c r="E4" s="13"/>
    </row>
    <row r="5" spans="1:8" x14ac:dyDescent="0.25">
      <c r="A5" s="13" t="s">
        <v>57</v>
      </c>
      <c r="B5" s="13" t="s">
        <v>58</v>
      </c>
      <c r="C5" s="14" t="s">
        <v>230</v>
      </c>
      <c r="D5" s="13"/>
      <c r="E5" s="13"/>
    </row>
    <row r="6" spans="1:8" x14ac:dyDescent="0.25">
      <c r="A6" s="13" t="s">
        <v>59</v>
      </c>
      <c r="B6" s="13" t="s">
        <v>60</v>
      </c>
      <c r="C6" s="14" t="s">
        <v>231</v>
      </c>
      <c r="D6" s="13" t="s">
        <v>240</v>
      </c>
      <c r="E6" s="13">
        <v>13773</v>
      </c>
    </row>
    <row r="7" spans="1:8" x14ac:dyDescent="0.25">
      <c r="A7" s="13" t="s">
        <v>61</v>
      </c>
      <c r="B7" s="13" t="s">
        <v>61</v>
      </c>
      <c r="C7" s="14" t="s">
        <v>230</v>
      </c>
      <c r="D7" s="13"/>
      <c r="E7" s="13"/>
    </row>
    <row r="8" spans="1:8" x14ac:dyDescent="0.25">
      <c r="A8" s="13" t="s">
        <v>223</v>
      </c>
      <c r="B8" s="13" t="s">
        <v>6</v>
      </c>
      <c r="C8" s="14" t="s">
        <v>230</v>
      </c>
      <c r="D8" s="13" t="s">
        <v>223</v>
      </c>
      <c r="E8" s="13">
        <v>13744</v>
      </c>
    </row>
    <row r="9" spans="1:8" x14ac:dyDescent="0.25">
      <c r="A9" s="13" t="s">
        <v>62</v>
      </c>
      <c r="B9" s="13" t="s">
        <v>6</v>
      </c>
      <c r="C9" s="14" t="s">
        <v>230</v>
      </c>
      <c r="D9" s="13"/>
      <c r="E9" s="13"/>
    </row>
    <row r="10" spans="1:8" x14ac:dyDescent="0.25">
      <c r="A10" s="13" t="s">
        <v>63</v>
      </c>
      <c r="B10" s="13" t="s">
        <v>64</v>
      </c>
      <c r="C10" s="14" t="s">
        <v>230</v>
      </c>
      <c r="D10" s="13" t="s">
        <v>64</v>
      </c>
      <c r="E10" s="13">
        <v>20223</v>
      </c>
    </row>
    <row r="11" spans="1:8" x14ac:dyDescent="0.25">
      <c r="A11" s="13" t="s">
        <v>65</v>
      </c>
      <c r="B11" s="13" t="s">
        <v>66</v>
      </c>
      <c r="C11" s="14" t="s">
        <v>230</v>
      </c>
      <c r="D11" s="13"/>
      <c r="E11" s="13"/>
    </row>
    <row r="12" spans="1:8" x14ac:dyDescent="0.25">
      <c r="A12" s="13" t="s">
        <v>67</v>
      </c>
      <c r="B12" s="13" t="s">
        <v>68</v>
      </c>
      <c r="C12" s="14" t="s">
        <v>230</v>
      </c>
      <c r="D12" s="13"/>
      <c r="E12" s="13"/>
    </row>
    <row r="13" spans="1:8" x14ac:dyDescent="0.25">
      <c r="A13" s="13" t="s">
        <v>69</v>
      </c>
      <c r="B13" s="13" t="s">
        <v>70</v>
      </c>
      <c r="C13" s="14" t="s">
        <v>230</v>
      </c>
      <c r="D13" s="13"/>
      <c r="E13" s="13"/>
    </row>
    <row r="14" spans="1:8" x14ac:dyDescent="0.25">
      <c r="A14" s="13" t="s">
        <v>59</v>
      </c>
      <c r="B14" s="13" t="s">
        <v>60</v>
      </c>
      <c r="C14" s="14" t="s">
        <v>231</v>
      </c>
      <c r="D14" s="13" t="s">
        <v>241</v>
      </c>
      <c r="E14" s="13">
        <v>13778</v>
      </c>
    </row>
    <row r="15" spans="1:8" x14ac:dyDescent="0.25">
      <c r="A15" s="13" t="s">
        <v>71</v>
      </c>
      <c r="B15" s="13" t="s">
        <v>6</v>
      </c>
      <c r="C15" s="14" t="s">
        <v>230</v>
      </c>
      <c r="D15" s="13"/>
      <c r="E15" s="13"/>
    </row>
    <row r="16" spans="1:8" x14ac:dyDescent="0.25">
      <c r="A16" s="13" t="s">
        <v>72</v>
      </c>
      <c r="B16" s="13" t="s">
        <v>64</v>
      </c>
      <c r="C16" s="14" t="s">
        <v>230</v>
      </c>
      <c r="D16" s="13" t="s">
        <v>64</v>
      </c>
      <c r="E16" s="13">
        <v>20209</v>
      </c>
    </row>
    <row r="17" spans="1:5" x14ac:dyDescent="0.25">
      <c r="A17" s="13" t="s">
        <v>73</v>
      </c>
      <c r="B17" s="13" t="s">
        <v>73</v>
      </c>
      <c r="C17" s="14" t="s">
        <v>231</v>
      </c>
      <c r="D17" s="13" t="s">
        <v>242</v>
      </c>
      <c r="E17" s="13"/>
    </row>
    <row r="18" spans="1:5" x14ac:dyDescent="0.25">
      <c r="A18" s="13" t="s">
        <v>74</v>
      </c>
      <c r="B18" s="13" t="s">
        <v>73</v>
      </c>
      <c r="C18" s="14" t="s">
        <v>230</v>
      </c>
      <c r="D18" s="13" t="s">
        <v>73</v>
      </c>
      <c r="E18" s="13">
        <v>13779</v>
      </c>
    </row>
    <row r="19" spans="1:5" x14ac:dyDescent="0.25">
      <c r="A19" s="13" t="s">
        <v>75</v>
      </c>
      <c r="B19" s="13" t="s">
        <v>73</v>
      </c>
      <c r="C19" s="14" t="s">
        <v>230</v>
      </c>
      <c r="D19" s="13" t="s">
        <v>73</v>
      </c>
      <c r="E19" s="13">
        <v>13779</v>
      </c>
    </row>
    <row r="20" spans="1:5" x14ac:dyDescent="0.25">
      <c r="A20" s="13" t="s">
        <v>76</v>
      </c>
      <c r="B20" s="13" t="s">
        <v>77</v>
      </c>
      <c r="C20" s="14" t="s">
        <v>230</v>
      </c>
      <c r="D20" s="13"/>
      <c r="E20" s="13"/>
    </row>
    <row r="21" spans="1:5" x14ac:dyDescent="0.25">
      <c r="A21" s="13" t="s">
        <v>78</v>
      </c>
      <c r="B21" s="13" t="s">
        <v>79</v>
      </c>
      <c r="C21" s="14" t="s">
        <v>230</v>
      </c>
      <c r="D21" s="13"/>
      <c r="E21" s="13"/>
    </row>
    <row r="22" spans="1:5" x14ac:dyDescent="0.25">
      <c r="A22" s="13" t="s">
        <v>59</v>
      </c>
      <c r="B22" s="13" t="s">
        <v>60</v>
      </c>
      <c r="C22" s="14" t="s">
        <v>231</v>
      </c>
      <c r="D22" s="13" t="s">
        <v>243</v>
      </c>
      <c r="E22" s="13">
        <v>13775</v>
      </c>
    </row>
    <row r="23" spans="1:5" x14ac:dyDescent="0.25">
      <c r="A23" s="13" t="s">
        <v>80</v>
      </c>
      <c r="B23" s="13" t="s">
        <v>60</v>
      </c>
      <c r="C23" s="14" t="s">
        <v>230</v>
      </c>
      <c r="D23" s="13"/>
      <c r="E23" s="13"/>
    </row>
    <row r="24" spans="1:5" x14ac:dyDescent="0.25">
      <c r="A24" s="13" t="s">
        <v>81</v>
      </c>
      <c r="B24" s="13" t="s">
        <v>6</v>
      </c>
      <c r="C24" s="14" t="s">
        <v>230</v>
      </c>
      <c r="D24" s="13"/>
      <c r="E24" s="13"/>
    </row>
    <row r="25" spans="1:5" x14ac:dyDescent="0.25">
      <c r="A25" s="13" t="s">
        <v>82</v>
      </c>
      <c r="B25" s="13" t="s">
        <v>6</v>
      </c>
      <c r="C25" s="14" t="s">
        <v>230</v>
      </c>
      <c r="D25" s="13"/>
      <c r="E25" s="13"/>
    </row>
    <row r="26" spans="1:5" x14ac:dyDescent="0.25">
      <c r="A26" s="13" t="s">
        <v>83</v>
      </c>
      <c r="B26" s="13" t="s">
        <v>84</v>
      </c>
      <c r="C26" s="14" t="s">
        <v>231</v>
      </c>
      <c r="D26" s="13" t="s">
        <v>242</v>
      </c>
      <c r="E26" s="13"/>
    </row>
    <row r="27" spans="1:5" x14ac:dyDescent="0.25">
      <c r="A27" s="13" t="s">
        <v>85</v>
      </c>
      <c r="B27" s="13" t="s">
        <v>84</v>
      </c>
      <c r="C27" s="14" t="s">
        <v>230</v>
      </c>
      <c r="D27" s="13"/>
      <c r="E27" s="13"/>
    </row>
    <row r="28" spans="1:5" x14ac:dyDescent="0.25">
      <c r="A28" s="13" t="s">
        <v>86</v>
      </c>
      <c r="B28" s="13" t="s">
        <v>87</v>
      </c>
      <c r="C28" s="14" t="s">
        <v>230</v>
      </c>
      <c r="D28" s="13"/>
      <c r="E28" s="13"/>
    </row>
    <row r="29" spans="1:5" x14ac:dyDescent="0.25">
      <c r="A29" s="13" t="s">
        <v>88</v>
      </c>
      <c r="B29" s="13" t="s">
        <v>89</v>
      </c>
      <c r="C29" s="14" t="s">
        <v>230</v>
      </c>
      <c r="D29" s="13"/>
      <c r="E29" s="13"/>
    </row>
    <row r="30" spans="1:5" x14ac:dyDescent="0.25">
      <c r="A30" s="13" t="s">
        <v>90</v>
      </c>
      <c r="B30" s="13" t="s">
        <v>91</v>
      </c>
      <c r="C30" s="14" t="s">
        <v>230</v>
      </c>
      <c r="D30" s="13"/>
      <c r="E30" s="13"/>
    </row>
    <row r="31" spans="1:5" x14ac:dyDescent="0.25">
      <c r="A31" s="13" t="s">
        <v>92</v>
      </c>
      <c r="B31" s="13" t="s">
        <v>93</v>
      </c>
      <c r="C31" s="14" t="s">
        <v>230</v>
      </c>
      <c r="D31" s="13"/>
      <c r="E31" s="13"/>
    </row>
    <row r="32" spans="1:5" x14ac:dyDescent="0.25">
      <c r="A32" s="13" t="s">
        <v>94</v>
      </c>
      <c r="B32" s="13" t="s">
        <v>95</v>
      </c>
      <c r="C32" s="14" t="s">
        <v>230</v>
      </c>
      <c r="D32" s="13"/>
      <c r="E32" s="13"/>
    </row>
    <row r="33" spans="1:5" x14ac:dyDescent="0.25">
      <c r="A33" s="13" t="s">
        <v>96</v>
      </c>
      <c r="B33" s="13" t="s">
        <v>97</v>
      </c>
      <c r="C33" s="14" t="s">
        <v>230</v>
      </c>
      <c r="D33" s="13"/>
      <c r="E33" s="13"/>
    </row>
    <row r="34" spans="1:5" x14ac:dyDescent="0.25">
      <c r="A34" s="13" t="s">
        <v>98</v>
      </c>
      <c r="B34" s="13" t="s">
        <v>99</v>
      </c>
      <c r="C34" s="14" t="s">
        <v>230</v>
      </c>
      <c r="D34" s="13"/>
      <c r="E34" s="13"/>
    </row>
    <row r="35" spans="1:5" x14ac:dyDescent="0.25">
      <c r="A35" s="13" t="s">
        <v>59</v>
      </c>
      <c r="B35" s="13" t="s">
        <v>60</v>
      </c>
      <c r="C35" s="14" t="s">
        <v>231</v>
      </c>
      <c r="D35" s="15" t="s">
        <v>248</v>
      </c>
      <c r="E35" s="16">
        <v>13777</v>
      </c>
    </row>
    <row r="36" spans="1:5" x14ac:dyDescent="0.25">
      <c r="A36" s="13" t="s">
        <v>100</v>
      </c>
      <c r="B36" s="13" t="s">
        <v>6</v>
      </c>
      <c r="C36" s="14" t="s">
        <v>230</v>
      </c>
      <c r="D36" s="13"/>
      <c r="E36" s="13"/>
    </row>
    <row r="37" spans="1:5" x14ac:dyDescent="0.25">
      <c r="A37" s="13" t="s">
        <v>101</v>
      </c>
      <c r="B37" s="13" t="s">
        <v>102</v>
      </c>
      <c r="C37" s="14" t="s">
        <v>230</v>
      </c>
      <c r="D37" s="13"/>
      <c r="E37" s="13"/>
    </row>
    <row r="38" spans="1:5" x14ac:dyDescent="0.25">
      <c r="A38" s="13" t="s">
        <v>103</v>
      </c>
      <c r="B38" s="13" t="s">
        <v>103</v>
      </c>
      <c r="C38" s="14" t="s">
        <v>230</v>
      </c>
      <c r="D38" s="13"/>
      <c r="E38" s="13"/>
    </row>
    <row r="39" spans="1:5" x14ac:dyDescent="0.25">
      <c r="A39" s="13" t="s">
        <v>104</v>
      </c>
      <c r="B39" s="13" t="s">
        <v>104</v>
      </c>
      <c r="C39" s="14" t="s">
        <v>230</v>
      </c>
      <c r="D39" s="13"/>
      <c r="E39" s="13"/>
    </row>
    <row r="40" spans="1:5" x14ac:dyDescent="0.25">
      <c r="A40" s="13" t="s">
        <v>105</v>
      </c>
      <c r="B40" s="13" t="s">
        <v>106</v>
      </c>
      <c r="C40" s="14" t="s">
        <v>230</v>
      </c>
      <c r="D40" s="13"/>
      <c r="E40" s="13"/>
    </row>
    <row r="41" spans="1:5" x14ac:dyDescent="0.25">
      <c r="A41" s="13" t="s">
        <v>107</v>
      </c>
      <c r="B41" s="13" t="s">
        <v>108</v>
      </c>
      <c r="C41" s="14" t="s">
        <v>230</v>
      </c>
      <c r="D41" s="13"/>
      <c r="E41" s="13"/>
    </row>
    <row r="42" spans="1:5" x14ac:dyDescent="0.25">
      <c r="A42" s="13" t="s">
        <v>109</v>
      </c>
      <c r="B42" s="13" t="s">
        <v>109</v>
      </c>
      <c r="C42" s="14" t="s">
        <v>230</v>
      </c>
      <c r="D42" s="13"/>
      <c r="E42" s="13"/>
    </row>
    <row r="43" spans="1:5" x14ac:dyDescent="0.25">
      <c r="A43" s="13" t="s">
        <v>59</v>
      </c>
      <c r="B43" s="13" t="s">
        <v>60</v>
      </c>
      <c r="C43" s="14" t="s">
        <v>231</v>
      </c>
      <c r="D43" s="13" t="s">
        <v>244</v>
      </c>
      <c r="E43" s="13">
        <v>13774</v>
      </c>
    </row>
    <row r="44" spans="1:5" x14ac:dyDescent="0.25">
      <c r="A44" s="13" t="s">
        <v>110</v>
      </c>
      <c r="B44" s="13" t="s">
        <v>110</v>
      </c>
      <c r="C44" s="14" t="s">
        <v>230</v>
      </c>
      <c r="D44" s="13"/>
      <c r="E44" s="1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tabSelected="1" workbookViewId="0">
      <selection activeCell="A2" sqref="A2"/>
    </sheetView>
  </sheetViews>
  <sheetFormatPr defaultRowHeight="15" x14ac:dyDescent="0.25"/>
  <cols>
    <col min="1" max="1" width="53.140625" customWidth="1"/>
    <col min="2" max="2" width="55.7109375" bestFit="1" customWidth="1"/>
    <col min="4" max="4" width="33.8554687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52</v>
      </c>
    </row>
    <row r="2" spans="1:8" x14ac:dyDescent="0.25">
      <c r="A2" s="13" t="s">
        <v>111</v>
      </c>
      <c r="B2" s="13" t="s">
        <v>112</v>
      </c>
      <c r="C2" s="14" t="s">
        <v>230</v>
      </c>
      <c r="D2" s="14"/>
      <c r="E2" s="14"/>
      <c r="F2" s="4"/>
      <c r="G2" s="7" t="s">
        <v>231</v>
      </c>
      <c r="H2" s="8">
        <f>COUNTIF(C:C,G2)</f>
        <v>15</v>
      </c>
    </row>
    <row r="3" spans="1:8" ht="15.75" thickBot="1" x14ac:dyDescent="0.3">
      <c r="A3" s="13" t="s">
        <v>113</v>
      </c>
      <c r="B3" s="13" t="s">
        <v>112</v>
      </c>
      <c r="C3" s="14" t="s">
        <v>230</v>
      </c>
      <c r="D3" s="14"/>
      <c r="E3" s="14"/>
      <c r="F3" s="4"/>
      <c r="G3" s="9" t="s">
        <v>232</v>
      </c>
      <c r="H3" s="10">
        <f>H1/SUM(H1:H2)</f>
        <v>0.77611940298507465</v>
      </c>
    </row>
    <row r="4" spans="1:8" x14ac:dyDescent="0.25">
      <c r="A4" s="13" t="s">
        <v>114</v>
      </c>
      <c r="B4" s="13" t="s">
        <v>114</v>
      </c>
      <c r="C4" s="13" t="s">
        <v>230</v>
      </c>
      <c r="D4" s="13"/>
      <c r="E4" s="13"/>
    </row>
    <row r="5" spans="1:8" x14ac:dyDescent="0.25">
      <c r="A5" s="13" t="s">
        <v>115</v>
      </c>
      <c r="B5" s="13" t="s">
        <v>116</v>
      </c>
      <c r="C5" s="13" t="s">
        <v>231</v>
      </c>
      <c r="D5" s="13" t="s">
        <v>126</v>
      </c>
      <c r="E5" s="13">
        <v>17542</v>
      </c>
    </row>
    <row r="6" spans="1:8" x14ac:dyDescent="0.25">
      <c r="A6" s="13" t="s">
        <v>117</v>
      </c>
      <c r="B6" s="13" t="s">
        <v>118</v>
      </c>
      <c r="C6" s="13" t="s">
        <v>231</v>
      </c>
      <c r="D6" s="13" t="s">
        <v>245</v>
      </c>
      <c r="E6" s="13">
        <v>30414</v>
      </c>
    </row>
    <row r="7" spans="1:8" x14ac:dyDescent="0.25">
      <c r="A7" s="13" t="s">
        <v>119</v>
      </c>
      <c r="B7" s="13" t="s">
        <v>120</v>
      </c>
      <c r="C7" s="13" t="s">
        <v>230</v>
      </c>
      <c r="D7" s="13"/>
      <c r="E7" s="13"/>
    </row>
    <row r="8" spans="1:8" x14ac:dyDescent="0.25">
      <c r="A8" s="13" t="s">
        <v>121</v>
      </c>
      <c r="B8" s="13" t="s">
        <v>122</v>
      </c>
      <c r="C8" s="13" t="s">
        <v>230</v>
      </c>
      <c r="D8" s="13"/>
      <c r="E8" s="13"/>
    </row>
    <row r="9" spans="1:8" x14ac:dyDescent="0.25">
      <c r="A9" s="13" t="s">
        <v>123</v>
      </c>
      <c r="B9" s="13" t="s">
        <v>124</v>
      </c>
      <c r="C9" s="13" t="s">
        <v>230</v>
      </c>
      <c r="D9" s="13"/>
      <c r="E9" s="13"/>
    </row>
    <row r="10" spans="1:8" x14ac:dyDescent="0.25">
      <c r="A10" s="13" t="s">
        <v>125</v>
      </c>
      <c r="B10" s="13" t="s">
        <v>126</v>
      </c>
      <c r="C10" s="13" t="s">
        <v>230</v>
      </c>
      <c r="D10" s="13"/>
      <c r="E10" s="13"/>
    </row>
    <row r="11" spans="1:8" x14ac:dyDescent="0.25">
      <c r="A11" s="13" t="s">
        <v>127</v>
      </c>
      <c r="B11" s="13" t="s">
        <v>128</v>
      </c>
      <c r="C11" s="13" t="s">
        <v>230</v>
      </c>
      <c r="D11" s="13"/>
      <c r="E11" s="13"/>
    </row>
    <row r="12" spans="1:8" x14ac:dyDescent="0.25">
      <c r="A12" s="13" t="s">
        <v>129</v>
      </c>
      <c r="B12" s="13" t="s">
        <v>130</v>
      </c>
      <c r="C12" s="13" t="s">
        <v>231</v>
      </c>
      <c r="D12" s="13" t="s">
        <v>129</v>
      </c>
      <c r="E12" s="13">
        <v>30481</v>
      </c>
    </row>
    <row r="13" spans="1:8" x14ac:dyDescent="0.25">
      <c r="A13" s="13" t="s">
        <v>15</v>
      </c>
      <c r="B13" s="13" t="s">
        <v>131</v>
      </c>
      <c r="C13" s="13" t="s">
        <v>230</v>
      </c>
      <c r="D13" s="13"/>
      <c r="E13" s="13"/>
    </row>
    <row r="14" spans="1:8" x14ac:dyDescent="0.25">
      <c r="A14" s="13" t="s">
        <v>132</v>
      </c>
      <c r="B14" s="13" t="s">
        <v>133</v>
      </c>
      <c r="C14" s="13" t="s">
        <v>230</v>
      </c>
      <c r="D14" s="13"/>
      <c r="E14" s="13"/>
    </row>
    <row r="15" spans="1:8" x14ac:dyDescent="0.25">
      <c r="A15" s="13" t="s">
        <v>134</v>
      </c>
      <c r="B15" s="13" t="s">
        <v>6</v>
      </c>
      <c r="C15" s="13" t="s">
        <v>230</v>
      </c>
      <c r="D15" s="13"/>
      <c r="E15" s="13"/>
    </row>
    <row r="16" spans="1:8" x14ac:dyDescent="0.25">
      <c r="A16" s="13" t="s">
        <v>103</v>
      </c>
      <c r="B16" s="13" t="s">
        <v>103</v>
      </c>
      <c r="C16" s="13" t="s">
        <v>230</v>
      </c>
      <c r="D16" s="13"/>
      <c r="E16" s="13"/>
    </row>
    <row r="17" spans="1:5" x14ac:dyDescent="0.25">
      <c r="A17" s="13" t="s">
        <v>104</v>
      </c>
      <c r="B17" s="13" t="s">
        <v>135</v>
      </c>
      <c r="C17" s="13" t="s">
        <v>230</v>
      </c>
      <c r="D17" s="13"/>
      <c r="E17" s="13"/>
    </row>
    <row r="18" spans="1:5" x14ac:dyDescent="0.25">
      <c r="A18" s="13" t="s">
        <v>136</v>
      </c>
      <c r="B18" s="13" t="s">
        <v>137</v>
      </c>
      <c r="C18" s="13" t="s">
        <v>230</v>
      </c>
      <c r="D18" s="13"/>
      <c r="E18" s="13"/>
    </row>
    <row r="19" spans="1:5" x14ac:dyDescent="0.25">
      <c r="A19" s="13" t="s">
        <v>109</v>
      </c>
      <c r="B19" s="13" t="s">
        <v>138</v>
      </c>
      <c r="C19" s="13" t="s">
        <v>230</v>
      </c>
      <c r="D19" s="13"/>
      <c r="E19" s="13"/>
    </row>
    <row r="20" spans="1:5" x14ac:dyDescent="0.25">
      <c r="A20" s="13" t="s">
        <v>139</v>
      </c>
      <c r="B20" s="13" t="s">
        <v>138</v>
      </c>
      <c r="C20" s="13" t="s">
        <v>230</v>
      </c>
      <c r="D20" s="13"/>
      <c r="E20" s="13"/>
    </row>
    <row r="21" spans="1:5" x14ac:dyDescent="0.25">
      <c r="A21" s="13" t="s">
        <v>73</v>
      </c>
      <c r="B21" s="13" t="s">
        <v>140</v>
      </c>
      <c r="C21" s="13" t="s">
        <v>230</v>
      </c>
      <c r="D21" s="13"/>
      <c r="E21" s="13"/>
    </row>
    <row r="22" spans="1:5" x14ac:dyDescent="0.25">
      <c r="A22" s="13" t="s">
        <v>76</v>
      </c>
      <c r="B22" s="13" t="s">
        <v>141</v>
      </c>
      <c r="C22" s="13" t="s">
        <v>230</v>
      </c>
      <c r="D22" s="13"/>
      <c r="E22" s="13"/>
    </row>
    <row r="23" spans="1:5" x14ac:dyDescent="0.25">
      <c r="A23" s="13" t="s">
        <v>142</v>
      </c>
      <c r="B23" s="13" t="s">
        <v>143</v>
      </c>
      <c r="C23" s="13" t="s">
        <v>231</v>
      </c>
      <c r="D23" s="13" t="s">
        <v>141</v>
      </c>
      <c r="E23" s="13">
        <v>30519</v>
      </c>
    </row>
    <row r="24" spans="1:5" x14ac:dyDescent="0.25">
      <c r="A24" s="13" t="s">
        <v>78</v>
      </c>
      <c r="B24" s="13" t="s">
        <v>144</v>
      </c>
      <c r="C24" s="13" t="s">
        <v>230</v>
      </c>
      <c r="D24" s="13"/>
      <c r="E24" s="13"/>
    </row>
    <row r="25" spans="1:5" x14ac:dyDescent="0.25">
      <c r="A25" s="13" t="s">
        <v>69</v>
      </c>
      <c r="B25" s="13" t="s">
        <v>143</v>
      </c>
      <c r="C25" s="13" t="s">
        <v>231</v>
      </c>
      <c r="D25" s="13" t="s">
        <v>144</v>
      </c>
      <c r="E25" s="13">
        <v>30627</v>
      </c>
    </row>
    <row r="26" spans="1:5" x14ac:dyDescent="0.25">
      <c r="A26" s="13" t="s">
        <v>145</v>
      </c>
      <c r="B26" s="13" t="s">
        <v>146</v>
      </c>
      <c r="C26" s="13" t="s">
        <v>230</v>
      </c>
      <c r="D26" s="13"/>
      <c r="E26" s="13"/>
    </row>
    <row r="27" spans="1:5" x14ac:dyDescent="0.25">
      <c r="A27" s="13" t="s">
        <v>147</v>
      </c>
      <c r="B27" s="13" t="s">
        <v>148</v>
      </c>
      <c r="C27" s="13" t="s">
        <v>231</v>
      </c>
      <c r="D27" s="13" t="s">
        <v>246</v>
      </c>
      <c r="E27" s="13">
        <v>30422</v>
      </c>
    </row>
    <row r="28" spans="1:5" x14ac:dyDescent="0.25">
      <c r="A28" s="13" t="s">
        <v>149</v>
      </c>
      <c r="B28" s="13" t="s">
        <v>150</v>
      </c>
      <c r="C28" s="13" t="s">
        <v>230</v>
      </c>
      <c r="D28" s="13"/>
      <c r="E28" s="13"/>
    </row>
    <row r="29" spans="1:5" x14ac:dyDescent="0.25">
      <c r="A29" s="13" t="s">
        <v>151</v>
      </c>
      <c r="B29" s="13" t="s">
        <v>152</v>
      </c>
      <c r="C29" s="13" t="s">
        <v>231</v>
      </c>
      <c r="D29" s="13" t="s">
        <v>242</v>
      </c>
      <c r="E29" s="13"/>
    </row>
    <row r="30" spans="1:5" x14ac:dyDescent="0.25">
      <c r="A30" s="13" t="s">
        <v>153</v>
      </c>
      <c r="B30" s="13" t="s">
        <v>154</v>
      </c>
      <c r="C30" s="13" t="s">
        <v>230</v>
      </c>
      <c r="D30" s="13"/>
      <c r="E30" s="13"/>
    </row>
    <row r="31" spans="1:5" x14ac:dyDescent="0.25">
      <c r="A31" s="13" t="s">
        <v>155</v>
      </c>
      <c r="B31" s="13" t="s">
        <v>156</v>
      </c>
      <c r="C31" s="13" t="s">
        <v>230</v>
      </c>
      <c r="D31" s="13"/>
      <c r="E31" s="13"/>
    </row>
    <row r="32" spans="1:5" x14ac:dyDescent="0.25">
      <c r="A32" s="13" t="s">
        <v>157</v>
      </c>
      <c r="B32" s="13" t="s">
        <v>158</v>
      </c>
      <c r="C32" s="13" t="s">
        <v>231</v>
      </c>
      <c r="D32" s="13" t="s">
        <v>162</v>
      </c>
      <c r="E32" s="13">
        <v>17545</v>
      </c>
    </row>
    <row r="33" spans="1:5" x14ac:dyDescent="0.25">
      <c r="A33" s="13" t="s">
        <v>159</v>
      </c>
      <c r="B33" s="13" t="s">
        <v>160</v>
      </c>
      <c r="C33" s="13" t="s">
        <v>230</v>
      </c>
      <c r="D33" s="13"/>
      <c r="E33" s="13"/>
    </row>
    <row r="34" spans="1:5" x14ac:dyDescent="0.25">
      <c r="A34" s="13" t="s">
        <v>161</v>
      </c>
      <c r="B34" s="13" t="s">
        <v>162</v>
      </c>
      <c r="C34" s="13" t="s">
        <v>231</v>
      </c>
      <c r="D34" s="13" t="s">
        <v>172</v>
      </c>
      <c r="E34" s="13">
        <v>17557</v>
      </c>
    </row>
    <row r="35" spans="1:5" x14ac:dyDescent="0.25">
      <c r="A35" s="13" t="s">
        <v>163</v>
      </c>
      <c r="B35" s="13" t="s">
        <v>164</v>
      </c>
      <c r="C35" s="13" t="s">
        <v>230</v>
      </c>
      <c r="D35" s="13"/>
      <c r="E35" s="13"/>
    </row>
    <row r="36" spans="1:5" x14ac:dyDescent="0.25">
      <c r="A36" s="13" t="s">
        <v>165</v>
      </c>
      <c r="B36" s="13" t="s">
        <v>166</v>
      </c>
      <c r="C36" s="13" t="s">
        <v>230</v>
      </c>
      <c r="D36" s="13"/>
      <c r="E36" s="13"/>
    </row>
    <row r="37" spans="1:5" x14ac:dyDescent="0.25">
      <c r="A37" s="13" t="s">
        <v>167</v>
      </c>
      <c r="B37" s="13" t="s">
        <v>164</v>
      </c>
      <c r="C37" s="13" t="s">
        <v>230</v>
      </c>
      <c r="D37" s="13"/>
      <c r="E37" s="13"/>
    </row>
    <row r="38" spans="1:5" x14ac:dyDescent="0.25">
      <c r="A38" s="13" t="s">
        <v>168</v>
      </c>
      <c r="B38" s="13" t="s">
        <v>169</v>
      </c>
      <c r="C38" s="13" t="s">
        <v>231</v>
      </c>
      <c r="D38" s="13" t="s">
        <v>172</v>
      </c>
      <c r="E38" s="17">
        <v>17557</v>
      </c>
    </row>
    <row r="39" spans="1:5" x14ac:dyDescent="0.25">
      <c r="A39" s="13" t="s">
        <v>170</v>
      </c>
      <c r="B39" s="13" t="s">
        <v>169</v>
      </c>
      <c r="C39" s="13" t="s">
        <v>231</v>
      </c>
      <c r="D39" s="13" t="s">
        <v>164</v>
      </c>
      <c r="E39" s="17">
        <v>17563</v>
      </c>
    </row>
    <row r="40" spans="1:5" x14ac:dyDescent="0.25">
      <c r="A40" s="13" t="s">
        <v>171</v>
      </c>
      <c r="B40" s="13" t="s">
        <v>172</v>
      </c>
      <c r="C40" s="13" t="s">
        <v>230</v>
      </c>
      <c r="D40" s="13"/>
      <c r="E40" s="13"/>
    </row>
    <row r="41" spans="1:5" x14ac:dyDescent="0.25">
      <c r="A41" s="13" t="s">
        <v>173</v>
      </c>
      <c r="B41" s="13" t="s">
        <v>164</v>
      </c>
      <c r="C41" s="13" t="s">
        <v>230</v>
      </c>
      <c r="D41" s="13"/>
      <c r="E41" s="13"/>
    </row>
    <row r="42" spans="1:5" x14ac:dyDescent="0.25">
      <c r="A42" s="13" t="s">
        <v>174</v>
      </c>
      <c r="B42" s="13" t="s">
        <v>162</v>
      </c>
      <c r="C42" s="13" t="s">
        <v>231</v>
      </c>
      <c r="D42" s="13" t="s">
        <v>172</v>
      </c>
      <c r="E42" s="13">
        <v>17557</v>
      </c>
    </row>
    <row r="43" spans="1:5" x14ac:dyDescent="0.25">
      <c r="A43" s="13" t="s">
        <v>175</v>
      </c>
      <c r="B43" s="13" t="s">
        <v>164</v>
      </c>
      <c r="C43" s="13" t="s">
        <v>230</v>
      </c>
      <c r="D43" s="13"/>
      <c r="E43" s="13"/>
    </row>
    <row r="44" spans="1:5" x14ac:dyDescent="0.25">
      <c r="A44" s="13" t="s">
        <v>176</v>
      </c>
      <c r="B44" s="13" t="s">
        <v>172</v>
      </c>
      <c r="C44" s="13" t="s">
        <v>230</v>
      </c>
      <c r="D44" s="13"/>
      <c r="E44" s="13"/>
    </row>
    <row r="45" spans="1:5" x14ac:dyDescent="0.25">
      <c r="A45" s="13" t="s">
        <v>177</v>
      </c>
      <c r="B45" s="13" t="s">
        <v>164</v>
      </c>
      <c r="C45" s="13" t="s">
        <v>230</v>
      </c>
      <c r="D45" s="13"/>
      <c r="E45" s="13"/>
    </row>
    <row r="46" spans="1:5" x14ac:dyDescent="0.25">
      <c r="A46" s="13" t="s">
        <v>178</v>
      </c>
      <c r="B46" s="13" t="s">
        <v>179</v>
      </c>
      <c r="C46" s="13" t="s">
        <v>230</v>
      </c>
      <c r="D46" s="13"/>
      <c r="E46" s="13"/>
    </row>
    <row r="47" spans="1:5" x14ac:dyDescent="0.25">
      <c r="A47" s="13" t="s">
        <v>180</v>
      </c>
      <c r="B47" s="13" t="s">
        <v>162</v>
      </c>
      <c r="C47" s="13" t="s">
        <v>231</v>
      </c>
      <c r="D47" s="13" t="s">
        <v>179</v>
      </c>
      <c r="E47" s="13">
        <v>30368</v>
      </c>
    </row>
    <row r="48" spans="1:5" x14ac:dyDescent="0.25">
      <c r="A48" s="13" t="s">
        <v>181</v>
      </c>
      <c r="B48" s="13" t="s">
        <v>182</v>
      </c>
      <c r="C48" s="13" t="s">
        <v>230</v>
      </c>
      <c r="D48" s="13"/>
      <c r="E48" s="13"/>
    </row>
    <row r="49" spans="1:5" x14ac:dyDescent="0.25">
      <c r="A49" s="13" t="s">
        <v>183</v>
      </c>
      <c r="B49" s="13" t="s">
        <v>182</v>
      </c>
      <c r="C49" s="13" t="s">
        <v>230</v>
      </c>
      <c r="D49" s="13"/>
      <c r="E49" s="13"/>
    </row>
    <row r="50" spans="1:5" x14ac:dyDescent="0.25">
      <c r="A50" s="13" t="s">
        <v>184</v>
      </c>
      <c r="B50" s="13" t="s">
        <v>138</v>
      </c>
      <c r="C50" s="13" t="s">
        <v>231</v>
      </c>
      <c r="D50" s="13" t="s">
        <v>162</v>
      </c>
      <c r="E50" s="13">
        <v>17545</v>
      </c>
    </row>
    <row r="51" spans="1:5" x14ac:dyDescent="0.25">
      <c r="A51" s="13" t="s">
        <v>185</v>
      </c>
      <c r="B51" s="13" t="s">
        <v>129</v>
      </c>
      <c r="C51" s="13" t="s">
        <v>231</v>
      </c>
      <c r="D51" s="13" t="s">
        <v>130</v>
      </c>
      <c r="E51" s="13">
        <v>30485</v>
      </c>
    </row>
    <row r="52" spans="1:5" x14ac:dyDescent="0.25">
      <c r="A52" s="13" t="s">
        <v>186</v>
      </c>
      <c r="B52" s="13" t="s">
        <v>128</v>
      </c>
      <c r="C52" s="13" t="s">
        <v>230</v>
      </c>
      <c r="D52" s="13"/>
      <c r="E52" s="13"/>
    </row>
    <row r="53" spans="1:5" x14ac:dyDescent="0.25">
      <c r="A53" s="13" t="s">
        <v>187</v>
      </c>
      <c r="B53" s="13" t="s">
        <v>152</v>
      </c>
      <c r="C53" s="13" t="s">
        <v>230</v>
      </c>
      <c r="D53" s="13"/>
      <c r="E53" s="13"/>
    </row>
    <row r="54" spans="1:5" x14ac:dyDescent="0.25">
      <c r="A54" s="13" t="s">
        <v>188</v>
      </c>
      <c r="B54" s="13" t="s">
        <v>6</v>
      </c>
      <c r="C54" s="13" t="s">
        <v>230</v>
      </c>
      <c r="D54" s="13"/>
      <c r="E54" s="13"/>
    </row>
    <row r="55" spans="1:5" x14ac:dyDescent="0.25">
      <c r="A55" s="13" t="s">
        <v>189</v>
      </c>
      <c r="B55" s="13" t="s">
        <v>190</v>
      </c>
      <c r="C55" s="13" t="s">
        <v>230</v>
      </c>
      <c r="D55" s="13"/>
      <c r="E55" s="13"/>
    </row>
    <row r="56" spans="1:5" x14ac:dyDescent="0.25">
      <c r="A56" s="13" t="s">
        <v>191</v>
      </c>
      <c r="B56" s="13" t="s">
        <v>143</v>
      </c>
      <c r="C56" s="13" t="s">
        <v>230</v>
      </c>
      <c r="D56" s="13"/>
      <c r="E56" s="13"/>
    </row>
    <row r="57" spans="1:5" x14ac:dyDescent="0.25">
      <c r="A57" s="13" t="s">
        <v>192</v>
      </c>
      <c r="B57" s="13" t="s">
        <v>193</v>
      </c>
      <c r="C57" s="13" t="s">
        <v>230</v>
      </c>
      <c r="D57" s="13"/>
      <c r="E57" s="13"/>
    </row>
    <row r="58" spans="1:5" x14ac:dyDescent="0.25">
      <c r="A58" s="13" t="s">
        <v>194</v>
      </c>
      <c r="B58" s="13" t="s">
        <v>195</v>
      </c>
      <c r="C58" s="13" t="s">
        <v>230</v>
      </c>
      <c r="D58" s="13"/>
      <c r="E58" s="13"/>
    </row>
    <row r="59" spans="1:5" x14ac:dyDescent="0.25">
      <c r="A59" s="13" t="s">
        <v>196</v>
      </c>
      <c r="B59" s="13" t="s">
        <v>197</v>
      </c>
      <c r="C59" s="13" t="s">
        <v>230</v>
      </c>
      <c r="D59" s="13"/>
      <c r="E59" s="13"/>
    </row>
    <row r="60" spans="1:5" x14ac:dyDescent="0.25">
      <c r="A60" s="13" t="s">
        <v>198</v>
      </c>
      <c r="B60" s="13" t="s">
        <v>199</v>
      </c>
      <c r="C60" s="13" t="s">
        <v>230</v>
      </c>
      <c r="D60" s="13"/>
      <c r="E60" s="13"/>
    </row>
    <row r="61" spans="1:5" x14ac:dyDescent="0.25">
      <c r="A61" s="13" t="s">
        <v>200</v>
      </c>
      <c r="B61" s="13" t="s">
        <v>143</v>
      </c>
      <c r="C61" s="13" t="s">
        <v>230</v>
      </c>
      <c r="D61" s="13"/>
      <c r="E61" s="13"/>
    </row>
    <row r="62" spans="1:5" x14ac:dyDescent="0.25">
      <c r="A62" s="13" t="s">
        <v>201</v>
      </c>
      <c r="B62" s="13" t="s">
        <v>202</v>
      </c>
      <c r="C62" s="13" t="s">
        <v>230</v>
      </c>
      <c r="D62" s="13"/>
      <c r="E62" s="13"/>
    </row>
    <row r="63" spans="1:5" x14ac:dyDescent="0.25">
      <c r="A63" s="13" t="s">
        <v>203</v>
      </c>
      <c r="B63" s="13" t="s">
        <v>203</v>
      </c>
      <c r="C63" s="13" t="s">
        <v>230</v>
      </c>
      <c r="D63" s="13"/>
      <c r="E63" s="13"/>
    </row>
    <row r="64" spans="1:5" x14ac:dyDescent="0.25">
      <c r="A64" s="13" t="s">
        <v>204</v>
      </c>
      <c r="B64" s="13" t="s">
        <v>205</v>
      </c>
      <c r="C64" s="13" t="s">
        <v>230</v>
      </c>
      <c r="D64" s="13"/>
      <c r="E64" s="13"/>
    </row>
    <row r="65" spans="1:5" x14ac:dyDescent="0.25">
      <c r="A65" s="13" t="s">
        <v>206</v>
      </c>
      <c r="B65" s="13" t="s">
        <v>207</v>
      </c>
      <c r="C65" s="13" t="s">
        <v>230</v>
      </c>
      <c r="D65" s="13"/>
      <c r="E65" s="13"/>
    </row>
    <row r="66" spans="1:5" x14ac:dyDescent="0.25">
      <c r="A66" s="13" t="s">
        <v>208</v>
      </c>
      <c r="B66" s="13" t="s">
        <v>209</v>
      </c>
      <c r="C66" s="13" t="s">
        <v>230</v>
      </c>
      <c r="D66" s="13"/>
      <c r="E66" s="13"/>
    </row>
    <row r="67" spans="1:5" x14ac:dyDescent="0.25">
      <c r="A67" s="13" t="s">
        <v>210</v>
      </c>
      <c r="B67" s="13" t="s">
        <v>118</v>
      </c>
      <c r="C67" s="13" t="s">
        <v>230</v>
      </c>
      <c r="D67" s="13"/>
      <c r="E67" s="13"/>
    </row>
    <row r="68" spans="1:5" x14ac:dyDescent="0.25">
      <c r="A68" s="13" t="s">
        <v>211</v>
      </c>
      <c r="B68" s="13" t="s">
        <v>212</v>
      </c>
      <c r="C68" s="13" t="s">
        <v>230</v>
      </c>
      <c r="D68" s="13"/>
      <c r="E68" s="13"/>
    </row>
    <row r="69" spans="1:5" x14ac:dyDescent="0.25">
      <c r="A69" s="13" t="s">
        <v>213</v>
      </c>
      <c r="B69" s="13" t="s">
        <v>6</v>
      </c>
      <c r="C69" s="13"/>
      <c r="D69" s="13" t="s">
        <v>236</v>
      </c>
      <c r="E69" s="13"/>
    </row>
    <row r="70" spans="1:5" x14ac:dyDescent="0.25">
      <c r="A70" s="13" t="s">
        <v>214</v>
      </c>
      <c r="B70" s="13" t="s">
        <v>6</v>
      </c>
      <c r="C70" s="13"/>
      <c r="D70" s="13" t="s">
        <v>236</v>
      </c>
      <c r="E70" s="13"/>
    </row>
    <row r="71" spans="1:5" x14ac:dyDescent="0.25">
      <c r="A71" s="13" t="s">
        <v>215</v>
      </c>
      <c r="B71" s="13" t="s">
        <v>6</v>
      </c>
      <c r="C71" s="13"/>
      <c r="D71" s="13" t="s">
        <v>236</v>
      </c>
      <c r="E71" s="13"/>
    </row>
    <row r="72" spans="1:5" x14ac:dyDescent="0.25">
      <c r="A72" s="13" t="s">
        <v>216</v>
      </c>
      <c r="B72" s="13" t="s">
        <v>217</v>
      </c>
      <c r="C72" s="13"/>
      <c r="D72" s="13" t="s">
        <v>236</v>
      </c>
      <c r="E72" s="13"/>
    </row>
    <row r="73" spans="1:5" x14ac:dyDescent="0.25">
      <c r="A73" s="13" t="s">
        <v>218</v>
      </c>
      <c r="B73" s="13" t="s">
        <v>182</v>
      </c>
      <c r="C73" s="13"/>
      <c r="D73" s="13" t="s">
        <v>236</v>
      </c>
      <c r="E73" s="13"/>
    </row>
    <row r="74" spans="1:5" x14ac:dyDescent="0.25">
      <c r="A74" s="13" t="s">
        <v>219</v>
      </c>
      <c r="B74" s="13" t="s">
        <v>126</v>
      </c>
      <c r="C74" s="13"/>
      <c r="D74" s="13" t="s">
        <v>236</v>
      </c>
      <c r="E74" s="13"/>
    </row>
    <row r="75" spans="1:5" x14ac:dyDescent="0.25">
      <c r="A75" s="13" t="s">
        <v>220</v>
      </c>
      <c r="B75" s="13" t="s">
        <v>6</v>
      </c>
      <c r="C75" s="13"/>
      <c r="D75" s="13" t="s">
        <v>236</v>
      </c>
      <c r="E75" s="1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topLeftCell="A25" workbookViewId="0">
      <selection activeCell="D36" sqref="D36"/>
    </sheetView>
  </sheetViews>
  <sheetFormatPr defaultRowHeight="15" x14ac:dyDescent="0.25"/>
  <cols>
    <col min="1" max="1" width="62.140625" bestFit="1" customWidth="1"/>
    <col min="2" max="2" width="50.42578125" bestFit="1" customWidth="1"/>
    <col min="4" max="4" width="21" bestFit="1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F1" s="4"/>
      <c r="G1" s="5" t="s">
        <v>230</v>
      </c>
      <c r="H1" s="6">
        <f>COUNTIF(C:C,G1)</f>
        <v>34</v>
      </c>
    </row>
    <row r="2" spans="1:8" x14ac:dyDescent="0.25">
      <c r="A2" t="s">
        <v>111</v>
      </c>
      <c r="B2" t="s">
        <v>112</v>
      </c>
      <c r="C2" s="4" t="s">
        <v>230</v>
      </c>
      <c r="D2" s="4"/>
      <c r="E2" s="4"/>
      <c r="F2" s="4"/>
      <c r="G2" s="7" t="s">
        <v>231</v>
      </c>
      <c r="H2" s="8">
        <f>COUNTIF(C:C,G2)</f>
        <v>7</v>
      </c>
    </row>
    <row r="3" spans="1:8" ht="15.75" thickBot="1" x14ac:dyDescent="0.3">
      <c r="A3" t="s">
        <v>113</v>
      </c>
      <c r="B3" t="s">
        <v>112</v>
      </c>
      <c r="C3" s="4" t="s">
        <v>230</v>
      </c>
      <c r="D3" s="4"/>
      <c r="E3" s="4"/>
      <c r="F3" s="4"/>
      <c r="G3" s="9" t="s">
        <v>232</v>
      </c>
      <c r="H3" s="10">
        <f>H1/SUM(H1:H2)</f>
        <v>0.82926829268292679</v>
      </c>
    </row>
    <row r="4" spans="1:8" x14ac:dyDescent="0.25">
      <c r="A4" t="s">
        <v>114</v>
      </c>
      <c r="B4" t="s">
        <v>114</v>
      </c>
      <c r="C4" s="4" t="s">
        <v>230</v>
      </c>
      <c r="D4" s="4"/>
      <c r="E4" s="4"/>
    </row>
    <row r="5" spans="1:8" x14ac:dyDescent="0.25">
      <c r="A5" t="s">
        <v>115</v>
      </c>
      <c r="B5" t="s">
        <v>116</v>
      </c>
      <c r="C5" t="s">
        <v>231</v>
      </c>
      <c r="D5" t="s">
        <v>126</v>
      </c>
      <c r="E5">
        <v>17542</v>
      </c>
    </row>
    <row r="6" spans="1:8" x14ac:dyDescent="0.25">
      <c r="A6" t="s">
        <v>119</v>
      </c>
      <c r="B6" t="s">
        <v>120</v>
      </c>
      <c r="C6" s="4" t="s">
        <v>230</v>
      </c>
      <c r="D6" s="4"/>
      <c r="E6" s="4"/>
    </row>
    <row r="7" spans="1:8" x14ac:dyDescent="0.25">
      <c r="A7" t="s">
        <v>129</v>
      </c>
      <c r="B7" t="s">
        <v>130</v>
      </c>
      <c r="C7" s="4" t="s">
        <v>231</v>
      </c>
      <c r="D7" s="4" t="s">
        <v>129</v>
      </c>
      <c r="E7" s="4">
        <v>30481</v>
      </c>
    </row>
    <row r="8" spans="1:8" x14ac:dyDescent="0.25">
      <c r="A8" t="s">
        <v>15</v>
      </c>
      <c r="B8" t="s">
        <v>131</v>
      </c>
      <c r="C8" s="4" t="s">
        <v>230</v>
      </c>
      <c r="D8" s="4"/>
      <c r="E8" s="4"/>
    </row>
    <row r="9" spans="1:8" x14ac:dyDescent="0.25">
      <c r="A9" t="s">
        <v>132</v>
      </c>
      <c r="B9" t="s">
        <v>133</v>
      </c>
      <c r="C9" s="4" t="s">
        <v>230</v>
      </c>
      <c r="D9" s="4"/>
      <c r="E9" s="4"/>
    </row>
    <row r="10" spans="1:8" x14ac:dyDescent="0.25">
      <c r="A10" t="s">
        <v>134</v>
      </c>
      <c r="B10" t="s">
        <v>6</v>
      </c>
      <c r="C10" s="4" t="s">
        <v>230</v>
      </c>
      <c r="D10" s="4"/>
      <c r="E10" s="4"/>
    </row>
    <row r="11" spans="1:8" x14ac:dyDescent="0.25">
      <c r="A11" t="s">
        <v>103</v>
      </c>
      <c r="B11" t="s">
        <v>103</v>
      </c>
      <c r="C11" s="4" t="s">
        <v>230</v>
      </c>
      <c r="D11" s="4"/>
      <c r="E11" s="4"/>
    </row>
    <row r="12" spans="1:8" x14ac:dyDescent="0.25">
      <c r="A12" t="s">
        <v>104</v>
      </c>
      <c r="B12" t="s">
        <v>135</v>
      </c>
      <c r="C12" s="4" t="s">
        <v>230</v>
      </c>
      <c r="D12" s="4"/>
      <c r="E12" s="4"/>
    </row>
    <row r="13" spans="1:8" x14ac:dyDescent="0.25">
      <c r="A13" t="s">
        <v>136</v>
      </c>
      <c r="B13" t="s">
        <v>137</v>
      </c>
      <c r="C13" s="4" t="s">
        <v>230</v>
      </c>
      <c r="D13" s="4"/>
      <c r="E13" s="4"/>
    </row>
    <row r="14" spans="1:8" x14ac:dyDescent="0.25">
      <c r="A14" t="s">
        <v>109</v>
      </c>
      <c r="B14" t="s">
        <v>138</v>
      </c>
      <c r="C14" s="4" t="s">
        <v>230</v>
      </c>
      <c r="D14" s="4"/>
      <c r="E14" s="4"/>
    </row>
    <row r="15" spans="1:8" x14ac:dyDescent="0.25">
      <c r="A15" t="s">
        <v>139</v>
      </c>
      <c r="B15" t="s">
        <v>138</v>
      </c>
      <c r="C15" s="4" t="s">
        <v>230</v>
      </c>
      <c r="D15" s="4"/>
      <c r="E15" s="4"/>
    </row>
    <row r="16" spans="1:8" x14ac:dyDescent="0.25">
      <c r="A16" t="s">
        <v>73</v>
      </c>
      <c r="B16" t="s">
        <v>140</v>
      </c>
      <c r="C16" s="4" t="s">
        <v>230</v>
      </c>
      <c r="D16" s="4"/>
      <c r="E16" s="4"/>
    </row>
    <row r="17" spans="1:5" x14ac:dyDescent="0.25">
      <c r="A17" t="s">
        <v>76</v>
      </c>
      <c r="B17" t="s">
        <v>141</v>
      </c>
      <c r="C17" s="4" t="s">
        <v>230</v>
      </c>
      <c r="D17" s="4"/>
      <c r="E17" s="4"/>
    </row>
    <row r="18" spans="1:5" x14ac:dyDescent="0.25">
      <c r="A18" t="s">
        <v>78</v>
      </c>
      <c r="B18" t="s">
        <v>144</v>
      </c>
      <c r="C18" s="4" t="s">
        <v>230</v>
      </c>
      <c r="D18" s="4"/>
      <c r="E18" s="4"/>
    </row>
    <row r="19" spans="1:5" x14ac:dyDescent="0.25">
      <c r="A19" t="s">
        <v>69</v>
      </c>
      <c r="B19" t="s">
        <v>143</v>
      </c>
      <c r="C19" s="4" t="s">
        <v>231</v>
      </c>
      <c r="D19" s="4" t="s">
        <v>144</v>
      </c>
      <c r="E19" s="4">
        <v>30627</v>
      </c>
    </row>
    <row r="20" spans="1:5" x14ac:dyDescent="0.25">
      <c r="A20" t="s">
        <v>145</v>
      </c>
      <c r="B20" t="s">
        <v>146</v>
      </c>
      <c r="C20" s="4" t="s">
        <v>230</v>
      </c>
      <c r="D20" s="4"/>
      <c r="E20" s="4"/>
    </row>
    <row r="21" spans="1:5" x14ac:dyDescent="0.25">
      <c r="A21" t="s">
        <v>147</v>
      </c>
      <c r="B21" t="s">
        <v>148</v>
      </c>
      <c r="C21" s="4" t="s">
        <v>231</v>
      </c>
      <c r="D21" s="4" t="s">
        <v>246</v>
      </c>
      <c r="E21" s="4">
        <v>30422</v>
      </c>
    </row>
    <row r="22" spans="1:5" x14ac:dyDescent="0.25">
      <c r="A22" t="s">
        <v>149</v>
      </c>
      <c r="B22" t="s">
        <v>150</v>
      </c>
      <c r="C22" s="4" t="s">
        <v>230</v>
      </c>
      <c r="D22" s="4"/>
      <c r="E22" s="4"/>
    </row>
    <row r="23" spans="1:5" x14ac:dyDescent="0.25">
      <c r="A23" t="s">
        <v>151</v>
      </c>
      <c r="B23" t="s">
        <v>152</v>
      </c>
      <c r="C23" s="4" t="s">
        <v>231</v>
      </c>
      <c r="D23" s="4" t="s">
        <v>242</v>
      </c>
      <c r="E23" s="4"/>
    </row>
    <row r="24" spans="1:5" x14ac:dyDescent="0.25">
      <c r="A24" t="s">
        <v>153</v>
      </c>
      <c r="B24" t="s">
        <v>154</v>
      </c>
      <c r="C24" s="4" t="s">
        <v>230</v>
      </c>
      <c r="D24" s="4"/>
      <c r="E24" s="4"/>
    </row>
    <row r="25" spans="1:5" x14ac:dyDescent="0.25">
      <c r="A25" t="s">
        <v>226</v>
      </c>
      <c r="B25" t="s">
        <v>156</v>
      </c>
      <c r="C25" s="4" t="s">
        <v>230</v>
      </c>
      <c r="D25" s="4"/>
      <c r="E25" s="4"/>
    </row>
    <row r="26" spans="1:5" x14ac:dyDescent="0.25">
      <c r="A26" t="s">
        <v>157</v>
      </c>
      <c r="B26" t="s">
        <v>158</v>
      </c>
      <c r="C26" s="4" t="s">
        <v>231</v>
      </c>
      <c r="D26" s="4" t="s">
        <v>162</v>
      </c>
      <c r="E26" s="4">
        <v>17545</v>
      </c>
    </row>
    <row r="27" spans="1:5" x14ac:dyDescent="0.25">
      <c r="A27" t="s">
        <v>178</v>
      </c>
      <c r="B27" t="s">
        <v>179</v>
      </c>
      <c r="C27" s="4" t="s">
        <v>230</v>
      </c>
      <c r="D27" s="4"/>
      <c r="E27" s="4"/>
    </row>
    <row r="28" spans="1:5" x14ac:dyDescent="0.25">
      <c r="A28" t="s">
        <v>181</v>
      </c>
      <c r="B28" t="s">
        <v>182</v>
      </c>
      <c r="C28" s="4" t="s">
        <v>230</v>
      </c>
      <c r="D28" s="4"/>
      <c r="E28" s="4"/>
    </row>
    <row r="29" spans="1:5" x14ac:dyDescent="0.25">
      <c r="A29" t="s">
        <v>185</v>
      </c>
      <c r="B29" t="s">
        <v>129</v>
      </c>
      <c r="C29" s="4" t="s">
        <v>231</v>
      </c>
      <c r="D29" s="4" t="s">
        <v>130</v>
      </c>
      <c r="E29" s="4">
        <v>30485</v>
      </c>
    </row>
    <row r="30" spans="1:5" x14ac:dyDescent="0.25">
      <c r="A30" t="s">
        <v>187</v>
      </c>
      <c r="B30" t="s">
        <v>152</v>
      </c>
      <c r="C30" s="4" t="s">
        <v>230</v>
      </c>
      <c r="D30" s="4"/>
      <c r="E30" s="4"/>
    </row>
    <row r="31" spans="1:5" x14ac:dyDescent="0.25">
      <c r="A31" t="s">
        <v>188</v>
      </c>
      <c r="B31" t="s">
        <v>6</v>
      </c>
      <c r="C31" s="4" t="s">
        <v>230</v>
      </c>
      <c r="D31" s="4"/>
      <c r="E31" s="4"/>
    </row>
    <row r="32" spans="1:5" x14ac:dyDescent="0.25">
      <c r="A32" t="s">
        <v>192</v>
      </c>
      <c r="B32" t="s">
        <v>193</v>
      </c>
      <c r="C32" s="4" t="s">
        <v>230</v>
      </c>
      <c r="D32" s="4"/>
      <c r="E32" s="4"/>
    </row>
    <row r="33" spans="1:5" x14ac:dyDescent="0.25">
      <c r="A33" t="s">
        <v>194</v>
      </c>
      <c r="B33" t="s">
        <v>195</v>
      </c>
      <c r="C33" s="4" t="s">
        <v>230</v>
      </c>
      <c r="D33" s="4"/>
      <c r="E33" s="4"/>
    </row>
    <row r="34" spans="1:5" x14ac:dyDescent="0.25">
      <c r="A34" t="s">
        <v>196</v>
      </c>
      <c r="B34" t="s">
        <v>197</v>
      </c>
      <c r="C34" s="4" t="s">
        <v>230</v>
      </c>
      <c r="D34" s="4"/>
      <c r="E34" s="4"/>
    </row>
    <row r="35" spans="1:5" x14ac:dyDescent="0.25">
      <c r="A35" t="s">
        <v>198</v>
      </c>
      <c r="B35" t="s">
        <v>199</v>
      </c>
      <c r="C35" s="4" t="s">
        <v>230</v>
      </c>
      <c r="D35" s="4"/>
      <c r="E35" s="4"/>
    </row>
    <row r="36" spans="1:5" x14ac:dyDescent="0.25">
      <c r="A36" t="s">
        <v>200</v>
      </c>
      <c r="B36" t="s">
        <v>143</v>
      </c>
      <c r="C36" s="4" t="s">
        <v>230</v>
      </c>
      <c r="D36" s="4"/>
      <c r="E36" s="4"/>
    </row>
    <row r="37" spans="1:5" x14ac:dyDescent="0.25">
      <c r="A37" t="s">
        <v>203</v>
      </c>
      <c r="B37" t="s">
        <v>203</v>
      </c>
      <c r="C37" s="4" t="s">
        <v>230</v>
      </c>
      <c r="D37" s="4"/>
      <c r="E37" s="4"/>
    </row>
    <row r="38" spans="1:5" x14ac:dyDescent="0.25">
      <c r="A38" t="s">
        <v>204</v>
      </c>
      <c r="B38" t="s">
        <v>205</v>
      </c>
      <c r="C38" s="4" t="s">
        <v>230</v>
      </c>
      <c r="D38" s="4"/>
      <c r="E38" s="4"/>
    </row>
    <row r="39" spans="1:5" x14ac:dyDescent="0.25">
      <c r="A39" t="s">
        <v>206</v>
      </c>
      <c r="B39" t="s">
        <v>207</v>
      </c>
      <c r="C39" s="4" t="s">
        <v>230</v>
      </c>
      <c r="D39" s="4"/>
      <c r="E39" s="4"/>
    </row>
    <row r="40" spans="1:5" x14ac:dyDescent="0.25">
      <c r="A40" t="s">
        <v>208</v>
      </c>
      <c r="B40" t="s">
        <v>209</v>
      </c>
      <c r="C40" s="4" t="s">
        <v>230</v>
      </c>
      <c r="D40" s="4"/>
      <c r="E40" s="4"/>
    </row>
    <row r="41" spans="1:5" x14ac:dyDescent="0.25">
      <c r="A41" t="s">
        <v>210</v>
      </c>
      <c r="B41" t="s">
        <v>118</v>
      </c>
      <c r="C41" s="4" t="s">
        <v>230</v>
      </c>
      <c r="D41" s="4"/>
      <c r="E41" s="4"/>
    </row>
    <row r="42" spans="1:5" x14ac:dyDescent="0.25">
      <c r="A42" t="s">
        <v>211</v>
      </c>
      <c r="B42" t="s">
        <v>212</v>
      </c>
      <c r="C42" s="4" t="s">
        <v>230</v>
      </c>
      <c r="D42" s="4"/>
      <c r="E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2026-03-24T14:38:34Z</dcterms:created>
  <dcterms:modified xsi:type="dcterms:W3CDTF">2026-03-30T12:22:04Z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2026-03-27T10:33:08Z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983d502b-e7f6-4b50-9759-f420ce9a9afc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