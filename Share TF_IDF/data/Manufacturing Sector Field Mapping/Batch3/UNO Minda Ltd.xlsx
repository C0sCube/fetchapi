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CA3435CD-D483-4866-A20B-7F902310CB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6" r:id="rId2"/>
    <sheet name="Standalone Balance Sheet" sheetId="2" r:id="rId3"/>
    <sheet name="Consolidated Balance Sheet" sheetId="4" r:id="rId4"/>
    <sheet name="Standalone Cash Flow" sheetId="3" r:id="rId5"/>
    <sheet name="Consolidated Cash Flow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1" i="5"/>
  <c r="H2" i="3"/>
  <c r="H1" i="3"/>
  <c r="H2" i="4"/>
  <c r="H1" i="4"/>
  <c r="H3" i="4" s="1"/>
  <c r="H2" i="2"/>
  <c r="H1" i="2"/>
  <c r="H2" i="6"/>
  <c r="H1" i="6"/>
  <c r="H3" i="6" s="1"/>
  <c r="H2" i="1"/>
  <c r="H1" i="1"/>
  <c r="H3" i="5" l="1"/>
  <c r="H3" i="3"/>
  <c r="H3" i="2"/>
  <c r="H3" i="1"/>
</calcChain>
</file>

<file path=xl/sharedStrings.xml><?xml version="1.0" encoding="utf-8"?>
<sst xmlns="http://schemas.openxmlformats.org/spreadsheetml/2006/main" count="1065" uniqueCount="332">
  <si>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</si>
  <si>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</si>
  <si>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</si>
  <si>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</si>
  <si>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</si>
  <si>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</si>
  <si>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</si>
  <si>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</si>
  <si>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</si>
  <si>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</si>
  <si>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raw materials and components consumed</t>
  </si>
  <si>
    <t>Cost of Materials Consumed</t>
  </si>
  <si>
    <t>Purchase of traded goods</t>
  </si>
  <si>
    <t>Purchase of Stock-in-Trade</t>
  </si>
  <si>
    <t>Change in inventories of finished goods traded goods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</si>
  <si>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</si>
  <si>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</si>
  <si>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</si>
  <si>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</si>
  <si>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</si>
  <si>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</si>
  <si>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</si>
  <si>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</si>
  <si>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</si>
  <si>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</si>
  <si>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</si>
  <si>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taxes</t>
  </si>
  <si>
    <t>Profit/(Loss) from Ordinary Activities after Finance Costs but before Exceptional Items</t>
  </si>
  <si>
    <t>Income tax expense</t>
  </si>
  <si>
    <t>Current tax</t>
  </si>
  <si>
    <t>Tax Expense</t>
  </si>
  <si>
    <t>Deferred tax</t>
  </si>
  <si>
    <t>Deferred Tax</t>
  </si>
  <si>
    <t>Total tax expense</t>
  </si>
  <si>
    <t>Total Field</t>
  </si>
  <si>
    <t>Net profit for the period/ year</t>
  </si>
  <si>
    <t>Net Profit/(Loss) for the Period</t>
  </si>
  <si>
    <t>Other comprehensive income for the periods/ year</t>
  </si>
  <si>
    <t>Other Comprehensive Income</t>
  </si>
  <si>
    <t>Other comprehensive income not to be reclassified to profit or loss in subsequent periods/ years :</t>
  </si>
  <si>
    <t>Remeasurement ( gain)/ loss on defined benefit obligation</t>
  </si>
  <si>
    <t>Items that will not be reclassified to Profit or Loss</t>
  </si>
  <si>
    <t>Fair value change of equity instrument valued through other comprehensive income</t>
  </si>
  <si>
    <t>Income - tax relating to items that will not be reclassified to profit or loss in subsequent periods/ years</t>
  </si>
  <si>
    <t>Income Tax related to items that will be reclassified to Profit or Loss</t>
  </si>
  <si>
    <t>Other comprehensive income that will be reclassified to profit or loss in subsequent periods/ years :</t>
  </si>
  <si>
    <t>Exchange differences on translating the financial statements of a foreign operation</t>
  </si>
  <si>
    <t>Items that will be reclassified to Profit or Loss</t>
  </si>
  <si>
    <t>Income tax relating to items that will be reclassified to profit and loss in subsequent periods/ years</t>
  </si>
  <si>
    <t>Other comprehensive Income/(loss ),net of tax</t>
  </si>
  <si>
    <t>Total comprehensive income for the periods/ year, net of tax</t>
  </si>
  <si>
    <t>Total Comprehensive Gain (Loss) For the Year</t>
  </si>
  <si>
    <t>Paid up equity share capital ( Face value of Rs . 2 per share )</t>
  </si>
  <si>
    <t>Paid-Up Equity Share Capital</t>
  </si>
  <si>
    <t>Other equity ( excluding revaluation reserve shown in Balance sheet )</t>
  </si>
  <si>
    <t>Reserve excluding Revaluation Reserves (as per Balance Sheet of Previous Accounting Year)</t>
  </si>
  <si>
    <t>Earnings per share ( Face value of Rs . 2 each ) ( not annualised )</t>
  </si>
  <si>
    <t>Basic EPS ( in Rs . )</t>
  </si>
  <si>
    <t>Basic EPS</t>
  </si>
  <si>
    <t>Diluted EPS ( in Rs . )</t>
  </si>
  <si>
    <t>Diluted EPS</t>
  </si>
  <si>
    <t>Non - current assets</t>
  </si>
  <si>
    <t>Property, plant and equipment</t>
  </si>
  <si>
    <t>Property, Plant &amp; Equipment</t>
  </si>
  <si>
    <t>Capital work in progress</t>
  </si>
  <si>
    <t>Capital Work-In-Progress</t>
  </si>
  <si>
    <t>Investment properties</t>
  </si>
  <si>
    <t>Investment Property</t>
  </si>
  <si>
    <t>Goodwill</t>
  </si>
  <si>
    <t>Other Intangible assets</t>
  </si>
  <si>
    <t>Other Intangible Assets</t>
  </si>
  <si>
    <t>Right of use assets</t>
  </si>
  <si>
    <t>Right-of-use asset</t>
  </si>
  <si>
    <t>Financial assets</t>
  </si>
  <si>
    <t xml:space="preserve"> Investment in subsidiaries, associates and joint ventures </t>
  </si>
  <si>
    <t>Non-Current Investments</t>
  </si>
  <si>
    <t>Other investments</t>
  </si>
  <si>
    <t>Other financial assets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</si>
  <si>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</si>
  <si>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</si>
  <si>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</si>
  <si>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</si>
  <si>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</si>
  <si>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Non - current tax assets ( net )</t>
  </si>
  <si>
    <t>Income Tax assets (net)</t>
  </si>
  <si>
    <t>Total non - current assets</t>
  </si>
  <si>
    <t>Total Non-Current Assets</t>
  </si>
  <si>
    <t>Current assets</t>
  </si>
  <si>
    <t>Inventories</t>
  </si>
  <si>
    <t>Investments</t>
  </si>
  <si>
    <t>Trade receivables</t>
  </si>
  <si>
    <t>Trade Receivables</t>
  </si>
  <si>
    <t>Cash and cash equivalents</t>
  </si>
  <si>
    <t>Cash And Cash Equivalents</t>
  </si>
  <si>
    <t>Bank balances other thanabove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</si>
  <si>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</si>
  <si>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</si>
  <si>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</si>
  <si>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</si>
  <si>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</si>
  <si>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</si>
  <si>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</si>
  <si>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</si>
  <si>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</si>
  <si>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</si>
  <si>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</si>
  <si>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</si>
  <si>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</si>
  <si>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</si>
  <si>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</si>
  <si>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</si>
  <si>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</si>
  <si>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</si>
  <si>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</si>
  <si>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</si>
  <si>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Provisions</t>
  </si>
  <si>
    <t>Long-Term Provisions</t>
  </si>
  <si>
    <t>Other non current liabilities</t>
  </si>
  <si>
    <t>Other Non-Current Liabilities</t>
  </si>
  <si>
    <t>Total non - current liabilities</t>
  </si>
  <si>
    <t>Total Non-Current Liabilities</t>
  </si>
  <si>
    <t>Current liabilities</t>
  </si>
  <si>
    <t>Contract liabilities</t>
  </si>
  <si>
    <t>Other liabilities</t>
  </si>
  <si>
    <t>Trade payables</t>
  </si>
  <si>
    <t>Trade Payables</t>
  </si>
  <si>
    <t xml:space="preserve">total outstanding dues of micro enterprises and small enterprises 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</si>
  <si>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</si>
  <si>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</si>
  <si>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</si>
  <si>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</si>
  <si>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Current tax liabilities ( net 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</si>
  <si>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</si>
  <si>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</si>
  <si>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</si>
  <si>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</si>
  <si>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</si>
  <si>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</si>
  <si>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Profit before tax</t>
  </si>
  <si>
    <t>Net Profit Before Tax And Exceptional Item</t>
  </si>
  <si>
    <t>Adjustments to reconcile profit before tax to net cash flows :</t>
  </si>
  <si>
    <t>Depreciation and Amortisation Expense</t>
  </si>
  <si>
    <t>Interest income on bank deposits and others</t>
  </si>
  <si>
    <t>Interest Income</t>
  </si>
  <si>
    <t>Interest on income tax refund</t>
  </si>
  <si>
    <t>Liabilities/ provisions no longer required written back</t>
  </si>
  <si>
    <t>Other Provisions Written Off</t>
  </si>
  <si>
    <t>Dividend income from non - current investments</t>
  </si>
  <si>
    <t>Dividend Received</t>
  </si>
  <si>
    <t>Share of profit from partnership firms</t>
  </si>
  <si>
    <t>Share Of Profit &amp; Loss from Partnership Firm or Association of Persons Etc</t>
  </si>
  <si>
    <t>Share - based payment expense</t>
  </si>
  <si>
    <t>Employees Stock Options Grants</t>
  </si>
  <si>
    <t>Rental income</t>
  </si>
  <si>
    <t>Fin Lease &amp; Rental Charges</t>
  </si>
  <si>
    <t>Interest Expense</t>
  </si>
  <si>
    <t>Net foreign exchange differences ( unrealised )</t>
  </si>
  <si>
    <t>Foreign Exchange Gain / Loss</t>
  </si>
  <si>
    <t>Impairment allowance/(reversal ) of credit impaired trade receivable and other assets</t>
  </si>
  <si>
    <t>Provision For Doubtful Debts</t>
  </si>
  <si>
    <t>Profit on sale of current investment</t>
  </si>
  <si>
    <t>Profit On Sale Of Investments</t>
  </si>
  <si>
    <t>Gain on disposal of property, plant and equipment (net)</t>
  </si>
  <si>
    <t>Profit On Sale Of Fixed Assets</t>
  </si>
  <si>
    <t>Provision for warranties</t>
  </si>
  <si>
    <t>Others-Financing Activities</t>
  </si>
  <si>
    <t>Operating Profit before working capital changes</t>
  </si>
  <si>
    <t>Operating Profit Before Working Capital Changes</t>
  </si>
  <si>
    <t>Movement in working capital</t>
  </si>
  <si>
    <t>(Increase)/ decrease in inventories</t>
  </si>
  <si>
    <t>(Increase)/ decrease in trade receivables</t>
  </si>
  <si>
    <t>Trade And Other Receivables</t>
  </si>
  <si>
    <t>(Increase)/ decrease in other financial assets</t>
  </si>
  <si>
    <t>Adjustments for other financial assets, non-current</t>
  </si>
  <si>
    <t>(Increase)/ decrease in other assets</t>
  </si>
  <si>
    <t>Other Current and Non Current Assets</t>
  </si>
  <si>
    <t>(Increase/(decrease ) in trade payables</t>
  </si>
  <si>
    <t>Trade Payables And Others</t>
  </si>
  <si>
    <t>Increase/(decrease ) in other financial liabilities</t>
  </si>
  <si>
    <t>Adjustments for other financial liabilities, non-current</t>
  </si>
  <si>
    <t>Increase/(decrease ) in other liabilities</t>
  </si>
  <si>
    <t>Other Current and Non Current Liabilities</t>
  </si>
  <si>
    <t>Increase/(decrease ) in contract liabilities</t>
  </si>
  <si>
    <t>Increase/(decrease ) in provisions</t>
  </si>
  <si>
    <t>Cash generated from operations</t>
  </si>
  <si>
    <t>Cash Generated From Operations</t>
  </si>
  <si>
    <t>Income tax paid ( net of refund )</t>
  </si>
  <si>
    <t>Income Tax Paid</t>
  </si>
  <si>
    <t>Net Cash flows generated from operating activities</t>
  </si>
  <si>
    <t>Net Cash Flow From Operating Activities</t>
  </si>
  <si>
    <t>Cash flows from investing activities</t>
  </si>
  <si>
    <t>Purchase of property, plant and equipment, investment property, intangible assets and leasehold land</t>
  </si>
  <si>
    <t>Purchase Of Fixed Assets (Tangible / Intangible)</t>
  </si>
  <si>
    <t>Proceeds from sale of property, plant and equ ipment. investment property, intangible assets and leasehold land</t>
  </si>
  <si>
    <t>Sale Of Fixed Assets (Tangible / Intangible)</t>
  </si>
  <si>
    <t>Purchase of investment in subsidiaries, associates and joint ventures</t>
  </si>
  <si>
    <t>Investments in Subsidiaries and/or Joint Ventures</t>
  </si>
  <si>
    <t>Proceed from sale of current investments</t>
  </si>
  <si>
    <t>Sale Of Investments</t>
  </si>
  <si>
    <t>Purchase of current investments</t>
  </si>
  <si>
    <t>Purchase Of Investments</t>
  </si>
  <si>
    <t>Payments for acquisition of business</t>
  </si>
  <si>
    <t>Acquisition Of Companies</t>
  </si>
  <si>
    <t>Interest received on bank deposits and others</t>
  </si>
  <si>
    <t>Interest Received</t>
  </si>
  <si>
    <t>Withdrawal from partnership firm</t>
  </si>
  <si>
    <t>Dividend from subsidiaries, associates and joint venture</t>
  </si>
  <si>
    <t>(Investment)/ Redemption in fixed deposits ( net )</t>
  </si>
  <si>
    <t>Fixed Deposits</t>
  </si>
  <si>
    <t>Net cash used in investing activities</t>
  </si>
  <si>
    <t>Net Cash Flow From Investing Activities</t>
  </si>
  <si>
    <t>Cash flows from financing activities</t>
  </si>
  <si>
    <t>Proceeds from issue of equity share capital</t>
  </si>
  <si>
    <t>Proceeds From Issue Of Equity Shares (Inclu Share Premium)</t>
  </si>
  <si>
    <t>Proceeds from share application money pending allotment</t>
  </si>
  <si>
    <t>Securities premium on issue of equity shares</t>
  </si>
  <si>
    <t>Proceeds from Share Premium</t>
  </si>
  <si>
    <t>Repayment of long term borrowings</t>
  </si>
  <si>
    <t>Repayment Of Long Term Borrowings</t>
  </si>
  <si>
    <t>Proceeds from long term borrowings</t>
  </si>
  <si>
    <t>Proceeds From Long Term Borrowings</t>
  </si>
  <si>
    <t>(Repayment)/ Proceeds from short term borrowings ( net )</t>
  </si>
  <si>
    <t>Proceeds From Short Term Borrowings</t>
  </si>
  <si>
    <t>Interest paid on borrowings</t>
  </si>
  <si>
    <t>Interest Paid</t>
  </si>
  <si>
    <t>Payment of interest portion of lease liabilities</t>
  </si>
  <si>
    <t>Payments of lease liabilities</t>
  </si>
  <si>
    <t>Payment of principal portion of lease liabilities</t>
  </si>
  <si>
    <t>Dividend paid</t>
  </si>
  <si>
    <t>Dividend Paid</t>
  </si>
  <si>
    <t>Net cash flows from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</si>
  <si>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</si>
  <si>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</si>
  <si>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</si>
  <si>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as a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</si>
  <si>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</si>
  <si>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</si>
  <si>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</si>
  <si>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Intangible assets under development</t>
  </si>
  <si>
    <t>Investment in associates and joint ventures</t>
  </si>
  <si>
    <t>Total current asset</t>
  </si>
  <si>
    <t>TOTAL ASSETS</t>
  </si>
  <si>
    <t>Equity attributable to equity holders of the Parent</t>
  </si>
  <si>
    <t>Non - controlling interest</t>
  </si>
  <si>
    <t>Deferred tax liabilities ( net )</t>
  </si>
  <si>
    <t>Deferred Tax Liability (Net)</t>
  </si>
  <si>
    <t>Total outstanding dues of micro enterprises and small enterprises</t>
  </si>
  <si>
    <t>Total outstanding dues of creditors other than micro enterprises and small enterprises</t>
  </si>
  <si>
    <t>TOTAL EQUITY AND LIABILITIES</t>
  </si>
  <si>
    <t>Adjustments to reconcile profit before tax to net cash flows</t>
  </si>
  <si>
    <t>Liabilities / provisions no longer required written back</t>
  </si>
  <si>
    <t>Share of profit of associates and joint ventures ( net of tax )</t>
  </si>
  <si>
    <t>Net gain on remeasurement of existing interest in joint ventures</t>
  </si>
  <si>
    <t>Share based payment expense</t>
  </si>
  <si>
    <t>Change in financial assets measured at fair value through profit and loss</t>
  </si>
  <si>
    <t>Increase/ ( decrease ) in trade payables</t>
  </si>
  <si>
    <t>Increase/ ( decrease ) in other financial liabilities</t>
  </si>
  <si>
    <t>Increase/ ( decrease ) in other liabilities</t>
  </si>
  <si>
    <t>Increase/ ( decrease ) in contract liabilities</t>
  </si>
  <si>
    <t>Increase/ ( decrease ) in provisions</t>
  </si>
  <si>
    <t>Net cash flows generated from operating activities</t>
  </si>
  <si>
    <t>Proceeds from sale of property, plant and equipment, investment property, intangible assets and leasehold land</t>
  </si>
  <si>
    <t>Purchase of investment property</t>
  </si>
  <si>
    <t>Purchase of investment in associates and joint ventures</t>
  </si>
  <si>
    <t>Payment for purchase of controlling stake in erstwhile joint ventures</t>
  </si>
  <si>
    <t>Proceed from sale of current investment</t>
  </si>
  <si>
    <t>Payment for purchase of non - controlling interest in subsidiary</t>
  </si>
  <si>
    <t>Acquisition ofE-drive business assets</t>
  </si>
  <si>
    <t>Dividend from associates and joint venture</t>
  </si>
  <si>
    <t>Proceeds from short term borrowings ( net )</t>
  </si>
  <si>
    <t>Dividend paid/ drawings by non controlling interest</t>
  </si>
  <si>
    <t>Net cash flow generated from financing activities</t>
  </si>
  <si>
    <t>Net Increase/ ( decrease ) in cash and cash equivalents</t>
  </si>
  <si>
    <t>Cash and cash equivalents as at beginning of the year</t>
  </si>
  <si>
    <t>Effects of exchange rate changes on cash and cash equivalents</t>
  </si>
  <si>
    <t>Effect of Exchange Fluctuation Translation Reserve</t>
  </si>
  <si>
    <t>Cash and cash equivalents acquired in business combination</t>
  </si>
  <si>
    <t>Other Adjustments</t>
  </si>
  <si>
    <t>Cash and cash equivalents as at end of the year</t>
  </si>
  <si>
    <t>Profit before share or (profit)/loss or associates and joint ventures. exceptional items and tax</t>
  </si>
  <si>
    <t>Profit/(Loss) from ordinary activities before finance costs and exceptional items</t>
  </si>
  <si>
    <t>Share of profit of associates and Joint ventures (net of tax)</t>
  </si>
  <si>
    <t>Share of Profit/(Loss) of Associates/Joint Ventures</t>
  </si>
  <si>
    <t>Profit before exceptional items and lax</t>
  </si>
  <si>
    <t>Add Exceptional Items</t>
  </si>
  <si>
    <t>Other Exceptional Items</t>
  </si>
  <si>
    <t>Other comprehensive income not to be reclassified to profit or loss in subsequent period/ year :</t>
  </si>
  <si>
    <t>Income - tax relating to items that will not be reclassified to profit or loss in subsequent period/ year</t>
  </si>
  <si>
    <t>Income Tax related to items that will not be reclassified to Profit or Loss</t>
  </si>
  <si>
    <t>Other comprehensive income that will be reclassified to profit or loss in subsequent period/ year :</t>
  </si>
  <si>
    <t>Exchange differences on translating the financial statements of a foreign operations</t>
  </si>
  <si>
    <t>Income tax relating to items that will be reclassified to profit and loss in subsequent period/ year</t>
  </si>
  <si>
    <t>Profit for the period/year attributable to:</t>
  </si>
  <si>
    <t>Profit (Loss) Attributable To [Total]</t>
  </si>
  <si>
    <t>Owners of Uno Minda Limited</t>
  </si>
  <si>
    <t>Owners of the company</t>
  </si>
  <si>
    <t>Non-controlling interests</t>
  </si>
  <si>
    <t>Non-Controlling Interests</t>
  </si>
  <si>
    <t>Other comprehensive income for the period/year at1ributable to:</t>
  </si>
  <si>
    <t>Comprehensive Income Attributable To [Total]</t>
  </si>
  <si>
    <t>Total comprehensive income for the period/year attributable to:</t>
  </si>
  <si>
    <t>Total Comprehensive Income Attributable To</t>
  </si>
  <si>
    <t>Status</t>
  </si>
  <si>
    <t>Revised Field Mapping</t>
  </si>
  <si>
    <t>Field ID</t>
  </si>
  <si>
    <t>Correct</t>
  </si>
  <si>
    <t>Incorrect</t>
  </si>
  <si>
    <t>Accuracy %</t>
  </si>
  <si>
    <t>Calculated Field</t>
  </si>
  <si>
    <t>Label</t>
  </si>
  <si>
    <t>Ignore this field</t>
  </si>
  <si>
    <t>Share of Profit/(loss) of associates and Joint Ventures before ebt</t>
  </si>
  <si>
    <t>Profit/(Loss) From Ordinary Activities before Tax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</si>
  <si>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</si>
  <si>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</si>
  <si>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</si>
  <si>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</si>
  <si>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</si>
  <si>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Minority Interest</t>
  </si>
  <si>
    <t>Others-Before Working Capital Changes</t>
  </si>
  <si>
    <t>Impairment loss / (Reversal of Impairment Loss)</t>
  </si>
  <si>
    <t>Others-Investing Activities</t>
  </si>
  <si>
    <t>Share Application Money</t>
  </si>
  <si>
    <t>Cash receipts from share of profits of partnership firm or association of persons or limited liability partnerships</t>
  </si>
  <si>
    <t>Other Cash Payments To Acquire Interests In Joint Ventures</t>
  </si>
  <si>
    <t>Cash flows used in obtaining control of subsidiaries or other businesses</t>
  </si>
  <si>
    <t>Profit/(Loss) from ordinary activities after finance costs but before exceptional items</t>
  </si>
  <si>
    <t>Others</t>
  </si>
  <si>
    <t>This field was not captured, added manually</t>
  </si>
  <si>
    <t xml:space="preserve"> </t>
  </si>
  <si>
    <t>Repayment Of Short Term Borrowings</t>
  </si>
  <si>
    <t>Net increase (decrease) in cash and cash equivalents before effect of exchange rate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</si>
</sst>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3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  <xf numFmtId="0" fontId="0" fillId="3" borderId="1" xfId="0" applyFill="1" applyBorder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/>
  </sheetViews>
  <sheetFormatPr defaultRowHeight="15" x14ac:dyDescent="0.25"/>
  <cols>
    <col min="1" max="1" width="56.5703125" customWidth="1"/>
    <col min="2" max="2" width="57.7109375" customWidth="1"/>
    <col min="3" max="3" width="12" customWidth="1"/>
    <col min="4" max="4" width="23.28515625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G1" s="3" t="s">
        <v>305</v>
      </c>
      <c r="H1" s="4">
        <f>COUNTIF(C:C,G1)</f>
        <v>28</v>
      </c>
    </row>
    <row r="2" spans="1:8" x14ac:dyDescent="0.25">
      <c r="A2" s="9" t="s">
        <v>2</v>
      </c>
      <c r="B2" s="9" t="s">
        <v>3</v>
      </c>
      <c r="C2" s="9" t="s">
        <v>305</v>
      </c>
      <c r="D2" s="9"/>
      <c r="E2" s="9"/>
      <c r="G2" s="5" t="s">
        <v>306</v>
      </c>
      <c r="H2" s="6">
        <f>COUNTIF(C:C,G2)</f>
        <v>4</v>
      </c>
    </row>
    <row r="3" spans="1:8" ht="15.75" thickBot="1" x14ac:dyDescent="0.3">
      <c r="A3" s="9" t="s">
        <v>4</v>
      </c>
      <c r="B3" s="9" t="s">
        <v>5</v>
      </c>
      <c r="C3" s="9" t="s">
        <v>305</v>
      </c>
      <c r="D3" s="9"/>
      <c r="E3" s="9"/>
      <c r="G3" s="7" t="s">
        <v>307</v>
      </c>
      <c r="H3" s="8">
        <f>H1/SUM(H1:H2)</f>
        <v>0.875</v>
      </c>
    </row>
    <row r="4" spans="1:8" x14ac:dyDescent="0.25">
      <c r="A4" s="9" t="s">
        <v>6</v>
      </c>
      <c r="B4" s="9" t="s">
        <v>7</v>
      </c>
      <c r="C4" s="9" t="s">
        <v>305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305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305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305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305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305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305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305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305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305</v>
      </c>
      <c r="D13" s="9"/>
      <c r="E13" s="9"/>
    </row>
    <row r="14" spans="1:8" x14ac:dyDescent="0.25">
      <c r="A14" s="9" t="s">
        <v>26</v>
      </c>
      <c r="B14" s="9" t="s">
        <v>27</v>
      </c>
      <c r="C14" s="9" t="s">
        <v>306</v>
      </c>
      <c r="D14" s="13" t="s">
        <v>312</v>
      </c>
      <c r="E14" s="14">
        <v>296</v>
      </c>
    </row>
    <row r="15" spans="1:8" x14ac:dyDescent="0.25">
      <c r="A15" s="9" t="s">
        <v>28</v>
      </c>
      <c r="B15" s="9" t="s">
        <v>9</v>
      </c>
      <c r="C15" s="9" t="s">
        <v>305</v>
      </c>
      <c r="D15" s="9"/>
      <c r="E15" s="9"/>
    </row>
    <row r="16" spans="1:8" x14ac:dyDescent="0.25">
      <c r="A16" s="9" t="s">
        <v>29</v>
      </c>
      <c r="B16" s="9" t="s">
        <v>30</v>
      </c>
      <c r="C16" s="9" t="s">
        <v>305</v>
      </c>
      <c r="D16" s="9"/>
      <c r="E16" s="9"/>
    </row>
    <row r="17" spans="1:5" x14ac:dyDescent="0.25">
      <c r="A17" s="9" t="s">
        <v>31</v>
      </c>
      <c r="B17" s="9" t="s">
        <v>32</v>
      </c>
      <c r="C17" s="9" t="s">
        <v>305</v>
      </c>
      <c r="D17" s="9"/>
      <c r="E17" s="9"/>
    </row>
    <row r="18" spans="1:5" x14ac:dyDescent="0.25">
      <c r="A18" s="9" t="s">
        <v>33</v>
      </c>
      <c r="B18" s="9" t="s">
        <v>34</v>
      </c>
      <c r="C18" s="9"/>
      <c r="D18" s="9" t="s">
        <v>308</v>
      </c>
      <c r="E18" s="9"/>
    </row>
    <row r="19" spans="1:5" x14ac:dyDescent="0.25">
      <c r="A19" s="9" t="s">
        <v>35</v>
      </c>
      <c r="B19" s="9" t="s">
        <v>36</v>
      </c>
      <c r="C19" s="9" t="s">
        <v>305</v>
      </c>
      <c r="D19" s="9"/>
      <c r="E19" s="9"/>
    </row>
    <row r="20" spans="1:5" x14ac:dyDescent="0.25">
      <c r="A20" s="9" t="s">
        <v>37</v>
      </c>
      <c r="B20" s="9" t="s">
        <v>38</v>
      </c>
      <c r="C20" s="9" t="s">
        <v>306</v>
      </c>
      <c r="D20" s="9" t="s">
        <v>309</v>
      </c>
      <c r="E20" s="9"/>
    </row>
    <row r="21" spans="1:5" x14ac:dyDescent="0.25">
      <c r="A21" s="9" t="s">
        <v>39</v>
      </c>
      <c r="B21" s="9" t="s">
        <v>9</v>
      </c>
      <c r="C21" s="9" t="s">
        <v>305</v>
      </c>
      <c r="D21" s="9"/>
      <c r="E21" s="9"/>
    </row>
    <row r="22" spans="1:5" x14ac:dyDescent="0.25">
      <c r="A22" s="9" t="s">
        <v>40</v>
      </c>
      <c r="B22" s="9" t="s">
        <v>41</v>
      </c>
      <c r="C22" s="9" t="s">
        <v>305</v>
      </c>
      <c r="D22" s="9"/>
      <c r="E22" s="9"/>
    </row>
    <row r="23" spans="1:5" x14ac:dyDescent="0.25">
      <c r="A23" s="9" t="s">
        <v>42</v>
      </c>
      <c r="B23" s="9" t="s">
        <v>41</v>
      </c>
      <c r="C23" s="9" t="s">
        <v>305</v>
      </c>
      <c r="D23" s="9"/>
      <c r="E23" s="9"/>
    </row>
    <row r="24" spans="1:5" x14ac:dyDescent="0.25">
      <c r="A24" s="9" t="s">
        <v>43</v>
      </c>
      <c r="B24" s="9" t="s">
        <v>44</v>
      </c>
      <c r="C24" s="9" t="s">
        <v>306</v>
      </c>
      <c r="D24" s="9" t="s">
        <v>288</v>
      </c>
      <c r="E24" s="10">
        <v>22295</v>
      </c>
    </row>
    <row r="25" spans="1:5" x14ac:dyDescent="0.25">
      <c r="A25" s="9" t="s">
        <v>45</v>
      </c>
      <c r="B25" s="9" t="s">
        <v>9</v>
      </c>
      <c r="C25" s="9" t="s">
        <v>305</v>
      </c>
      <c r="D25" s="9"/>
      <c r="E25" s="9"/>
    </row>
    <row r="26" spans="1:5" x14ac:dyDescent="0.25">
      <c r="A26" s="9" t="s">
        <v>46</v>
      </c>
      <c r="B26" s="9" t="s">
        <v>47</v>
      </c>
      <c r="C26" s="9" t="s">
        <v>305</v>
      </c>
      <c r="D26" s="9"/>
      <c r="E26" s="9"/>
    </row>
    <row r="27" spans="1:5" x14ac:dyDescent="0.25">
      <c r="A27" s="9" t="s">
        <v>48</v>
      </c>
      <c r="B27" s="9" t="s">
        <v>44</v>
      </c>
      <c r="C27" s="9" t="s">
        <v>305</v>
      </c>
      <c r="D27" s="9"/>
      <c r="E27" s="9"/>
    </row>
    <row r="28" spans="1:5" x14ac:dyDescent="0.25">
      <c r="A28" s="9" t="s">
        <v>49</v>
      </c>
      <c r="B28" s="9" t="s">
        <v>9</v>
      </c>
      <c r="C28" s="9" t="s">
        <v>306</v>
      </c>
      <c r="D28" s="9" t="s">
        <v>38</v>
      </c>
      <c r="E28" s="10">
        <v>16484</v>
      </c>
    </row>
    <row r="29" spans="1:5" x14ac:dyDescent="0.25">
      <c r="A29" s="9" t="s">
        <v>50</v>
      </c>
      <c r="B29" s="9" t="s">
        <v>51</v>
      </c>
      <c r="C29" s="9" t="s">
        <v>305</v>
      </c>
      <c r="D29" s="9"/>
      <c r="E29" s="9"/>
    </row>
    <row r="30" spans="1:5" x14ac:dyDescent="0.25">
      <c r="A30" s="9" t="s">
        <v>52</v>
      </c>
      <c r="B30" s="9" t="s">
        <v>53</v>
      </c>
      <c r="C30" s="9" t="s">
        <v>305</v>
      </c>
      <c r="D30" s="9"/>
      <c r="E30" s="9"/>
    </row>
    <row r="31" spans="1:5" x14ac:dyDescent="0.25">
      <c r="A31" s="9" t="s">
        <v>54</v>
      </c>
      <c r="B31" s="9" t="s">
        <v>55</v>
      </c>
      <c r="C31" s="9" t="s">
        <v>305</v>
      </c>
      <c r="D31" s="9"/>
      <c r="E31" s="9"/>
    </row>
    <row r="32" spans="1:5" x14ac:dyDescent="0.25">
      <c r="A32" s="9" t="s">
        <v>56</v>
      </c>
      <c r="B32" s="9" t="s">
        <v>9</v>
      </c>
      <c r="C32" s="9" t="s">
        <v>305</v>
      </c>
      <c r="D32" s="9"/>
      <c r="E32" s="9"/>
    </row>
    <row r="33" spans="1:5" x14ac:dyDescent="0.25">
      <c r="A33" s="9" t="s">
        <v>57</v>
      </c>
      <c r="B33" s="9" t="s">
        <v>58</v>
      </c>
      <c r="C33" s="9" t="s">
        <v>305</v>
      </c>
      <c r="D33" s="9" t="s">
        <v>58</v>
      </c>
      <c r="E33" s="10">
        <v>222</v>
      </c>
    </row>
    <row r="34" spans="1:5" x14ac:dyDescent="0.25">
      <c r="A34" s="9" t="s">
        <v>59</v>
      </c>
      <c r="B34" s="9" t="s">
        <v>60</v>
      </c>
      <c r="C34" s="9" t="s">
        <v>305</v>
      </c>
      <c r="D34" s="9" t="s">
        <v>60</v>
      </c>
      <c r="E34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8"/>
  <sheetViews>
    <sheetView workbookViewId="0"/>
  </sheetViews>
  <sheetFormatPr defaultRowHeight="15" x14ac:dyDescent="0.25"/>
  <cols>
    <col min="1" max="1" width="58.42578125" customWidth="1"/>
    <col min="2" max="2" width="58.7109375" customWidth="1"/>
    <col min="3" max="3" width="11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G1" s="3" t="s">
        <v>305</v>
      </c>
      <c r="H1" s="4">
        <f>COUNTIF(C:C,G1)</f>
        <v>37</v>
      </c>
    </row>
    <row r="2" spans="1:8" x14ac:dyDescent="0.25">
      <c r="A2" s="9" t="s">
        <v>2</v>
      </c>
      <c r="B2" s="9" t="s">
        <v>3</v>
      </c>
      <c r="C2" s="9" t="s">
        <v>305</v>
      </c>
      <c r="D2" s="9"/>
      <c r="E2" s="9"/>
      <c r="G2" s="5" t="s">
        <v>306</v>
      </c>
      <c r="H2" s="6">
        <f>COUNTIF(C:C,G2)</f>
        <v>9</v>
      </c>
    </row>
    <row r="3" spans="1:8" ht="15.75" thickBot="1" x14ac:dyDescent="0.3">
      <c r="A3" s="9" t="s">
        <v>4</v>
      </c>
      <c r="B3" s="9" t="s">
        <v>5</v>
      </c>
      <c r="C3" s="9" t="s">
        <v>305</v>
      </c>
      <c r="D3" s="9"/>
      <c r="E3" s="9"/>
      <c r="G3" s="7" t="s">
        <v>307</v>
      </c>
      <c r="H3" s="8">
        <f>H1/SUM(H1:H2)</f>
        <v>0.80434782608695654</v>
      </c>
    </row>
    <row r="4" spans="1:8" x14ac:dyDescent="0.25">
      <c r="A4" s="9" t="s">
        <v>6</v>
      </c>
      <c r="B4" s="9" t="s">
        <v>7</v>
      </c>
      <c r="C4" s="9" t="s">
        <v>305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305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305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305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305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305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305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305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305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305</v>
      </c>
      <c r="D13" s="9"/>
      <c r="E13" s="9"/>
    </row>
    <row r="14" spans="1:8" x14ac:dyDescent="0.25">
      <c r="A14" s="9" t="s">
        <v>279</v>
      </c>
      <c r="B14" s="9" t="s">
        <v>280</v>
      </c>
      <c r="C14" s="9" t="s">
        <v>306</v>
      </c>
      <c r="D14" s="9" t="s">
        <v>310</v>
      </c>
      <c r="E14" s="9"/>
    </row>
    <row r="15" spans="1:8" x14ac:dyDescent="0.25">
      <c r="A15" s="9" t="s">
        <v>281</v>
      </c>
      <c r="B15" s="9" t="s">
        <v>282</v>
      </c>
      <c r="C15" s="9" t="s">
        <v>306</v>
      </c>
      <c r="D15" s="9" t="s">
        <v>311</v>
      </c>
      <c r="E15" s="10">
        <v>25236</v>
      </c>
    </row>
    <row r="16" spans="1:8" x14ac:dyDescent="0.25">
      <c r="A16" s="9" t="s">
        <v>283</v>
      </c>
      <c r="B16" s="9" t="s">
        <v>27</v>
      </c>
      <c r="C16" s="9" t="s">
        <v>305</v>
      </c>
      <c r="D16" s="13" t="s">
        <v>326</v>
      </c>
      <c r="E16" s="14">
        <v>294</v>
      </c>
    </row>
    <row r="17" spans="1:6" x14ac:dyDescent="0.25">
      <c r="A17" s="9" t="s">
        <v>284</v>
      </c>
      <c r="B17" s="9" t="s">
        <v>285</v>
      </c>
      <c r="C17" s="9" t="s">
        <v>305</v>
      </c>
      <c r="D17" s="9"/>
      <c r="E17" s="9"/>
    </row>
    <row r="18" spans="1:6" x14ac:dyDescent="0.25">
      <c r="A18" s="9" t="s">
        <v>26</v>
      </c>
      <c r="B18" s="9" t="s">
        <v>27</v>
      </c>
      <c r="C18" s="9" t="s">
        <v>306</v>
      </c>
      <c r="D18" s="9" t="s">
        <v>312</v>
      </c>
      <c r="E18" s="10">
        <v>296</v>
      </c>
    </row>
    <row r="19" spans="1:6" x14ac:dyDescent="0.25">
      <c r="A19" s="9" t="s">
        <v>28</v>
      </c>
      <c r="B19" s="9" t="s">
        <v>9</v>
      </c>
      <c r="C19" s="9" t="s">
        <v>305</v>
      </c>
      <c r="D19" s="9"/>
      <c r="E19" s="9"/>
    </row>
    <row r="20" spans="1:6" x14ac:dyDescent="0.25">
      <c r="A20" s="9" t="s">
        <v>29</v>
      </c>
      <c r="B20" s="9" t="s">
        <v>30</v>
      </c>
      <c r="C20" s="9" t="s">
        <v>305</v>
      </c>
      <c r="D20" s="9"/>
      <c r="E20" s="9"/>
    </row>
    <row r="21" spans="1:6" x14ac:dyDescent="0.25">
      <c r="A21" s="9" t="s">
        <v>31</v>
      </c>
      <c r="B21" s="9" t="s">
        <v>32</v>
      </c>
      <c r="C21" s="9" t="s">
        <v>305</v>
      </c>
      <c r="D21" s="9"/>
      <c r="E21" s="9"/>
    </row>
    <row r="22" spans="1:6" x14ac:dyDescent="0.25">
      <c r="A22" s="9" t="s">
        <v>33</v>
      </c>
      <c r="B22" s="9" t="s">
        <v>34</v>
      </c>
      <c r="C22" s="9"/>
      <c r="D22" s="9" t="s">
        <v>308</v>
      </c>
      <c r="E22" s="9"/>
    </row>
    <row r="23" spans="1:6" x14ac:dyDescent="0.25">
      <c r="A23" s="9" t="s">
        <v>35</v>
      </c>
      <c r="B23" s="9" t="s">
        <v>36</v>
      </c>
      <c r="C23" s="9" t="s">
        <v>305</v>
      </c>
      <c r="D23" s="9"/>
      <c r="E23" s="9"/>
    </row>
    <row r="24" spans="1:6" x14ac:dyDescent="0.25">
      <c r="A24" s="9" t="s">
        <v>37</v>
      </c>
      <c r="B24" s="9" t="s">
        <v>38</v>
      </c>
      <c r="C24" s="9" t="s">
        <v>306</v>
      </c>
      <c r="D24" s="9" t="s">
        <v>309</v>
      </c>
      <c r="E24" s="9"/>
    </row>
    <row r="25" spans="1:6" x14ac:dyDescent="0.25">
      <c r="A25" s="9" t="s">
        <v>286</v>
      </c>
      <c r="B25" s="9" t="s">
        <v>9</v>
      </c>
      <c r="C25" s="9" t="s">
        <v>305</v>
      </c>
      <c r="D25" s="9"/>
      <c r="E25" s="9"/>
    </row>
    <row r="26" spans="1:6" x14ac:dyDescent="0.25">
      <c r="A26" s="9" t="s">
        <v>40</v>
      </c>
      <c r="B26" s="9" t="s">
        <v>41</v>
      </c>
      <c r="C26" s="9" t="s">
        <v>305</v>
      </c>
      <c r="D26" s="9"/>
      <c r="E26" s="9"/>
    </row>
    <row r="27" spans="1:6" x14ac:dyDescent="0.25">
      <c r="A27" s="9" t="s">
        <v>42</v>
      </c>
      <c r="B27" s="9" t="s">
        <v>41</v>
      </c>
      <c r="C27" s="9" t="s">
        <v>305</v>
      </c>
      <c r="D27" s="9"/>
      <c r="E27" s="9"/>
    </row>
    <row r="28" spans="1:6" x14ac:dyDescent="0.25">
      <c r="A28" s="9" t="s">
        <v>287</v>
      </c>
      <c r="B28" s="9" t="s">
        <v>288</v>
      </c>
      <c r="C28" s="9" t="s">
        <v>305</v>
      </c>
      <c r="D28" s="9"/>
      <c r="E28" s="9"/>
    </row>
    <row r="29" spans="1:6" x14ac:dyDescent="0.25">
      <c r="A29" s="9" t="s">
        <v>289</v>
      </c>
      <c r="B29" s="9" t="s">
        <v>9</v>
      </c>
      <c r="C29" s="9" t="s">
        <v>305</v>
      </c>
      <c r="D29" s="9"/>
      <c r="E29" s="9"/>
    </row>
    <row r="30" spans="1:6" x14ac:dyDescent="0.25">
      <c r="A30" s="9" t="s">
        <v>290</v>
      </c>
      <c r="B30" s="9" t="s">
        <v>47</v>
      </c>
      <c r="C30" s="9" t="s">
        <v>305</v>
      </c>
      <c r="D30" s="9"/>
      <c r="E30" s="9"/>
    </row>
    <row r="31" spans="1:6" x14ac:dyDescent="0.25">
      <c r="A31" s="9" t="s">
        <v>291</v>
      </c>
      <c r="B31" s="9" t="s">
        <v>44</v>
      </c>
      <c r="C31" s="9" t="s">
        <v>305</v>
      </c>
      <c r="D31" s="9"/>
      <c r="E31" s="9"/>
    </row>
    <row r="32" spans="1:6" x14ac:dyDescent="0.25">
      <c r="A32" s="15" t="s">
        <v>327</v>
      </c>
      <c r="B32" s="15"/>
      <c r="C32" s="15" t="s">
        <v>306</v>
      </c>
      <c r="D32" s="15" t="s">
        <v>47</v>
      </c>
      <c r="E32" s="15">
        <v>22294</v>
      </c>
      <c r="F32" s="16" t="s">
        <v>328</v>
      </c>
    </row>
    <row r="33" spans="1:6" x14ac:dyDescent="0.25">
      <c r="A33" s="9" t="s">
        <v>49</v>
      </c>
      <c r="B33" s="9" t="s">
        <v>9</v>
      </c>
      <c r="C33" s="9" t="s">
        <v>306</v>
      </c>
      <c r="D33" s="9" t="s">
        <v>38</v>
      </c>
      <c r="E33" s="10">
        <v>16484</v>
      </c>
      <c r="F33" t="s">
        <v>329</v>
      </c>
    </row>
    <row r="34" spans="1:6" x14ac:dyDescent="0.25">
      <c r="A34" s="9" t="s">
        <v>50</v>
      </c>
      <c r="B34" s="9" t="s">
        <v>51</v>
      </c>
      <c r="C34" s="9" t="s">
        <v>305</v>
      </c>
      <c r="D34" s="9"/>
      <c r="E34" s="9"/>
    </row>
    <row r="35" spans="1:6" x14ac:dyDescent="0.25">
      <c r="A35" s="9" t="s">
        <v>292</v>
      </c>
      <c r="B35" s="9" t="s">
        <v>293</v>
      </c>
      <c r="C35" s="9" t="s">
        <v>306</v>
      </c>
      <c r="D35" s="9" t="s">
        <v>309</v>
      </c>
      <c r="E35" s="10"/>
    </row>
    <row r="36" spans="1:6" x14ac:dyDescent="0.25">
      <c r="A36" s="9" t="s">
        <v>294</v>
      </c>
      <c r="B36" s="9" t="s">
        <v>295</v>
      </c>
      <c r="C36" s="9" t="s">
        <v>305</v>
      </c>
      <c r="D36" s="9" t="s">
        <v>295</v>
      </c>
      <c r="E36" s="10">
        <v>22299</v>
      </c>
    </row>
    <row r="37" spans="1:6" x14ac:dyDescent="0.25">
      <c r="A37" s="9" t="s">
        <v>296</v>
      </c>
      <c r="B37" s="9" t="s">
        <v>297</v>
      </c>
      <c r="C37" s="9" t="s">
        <v>305</v>
      </c>
      <c r="D37" s="9" t="s">
        <v>297</v>
      </c>
      <c r="E37" s="10">
        <v>22298</v>
      </c>
    </row>
    <row r="38" spans="1:6" x14ac:dyDescent="0.25">
      <c r="A38" s="9" t="s">
        <v>298</v>
      </c>
      <c r="B38" s="9" t="s">
        <v>299</v>
      </c>
      <c r="C38" s="9" t="s">
        <v>306</v>
      </c>
      <c r="D38" s="9" t="s">
        <v>309</v>
      </c>
      <c r="E38" s="10"/>
    </row>
    <row r="39" spans="1:6" x14ac:dyDescent="0.25">
      <c r="A39" s="9" t="s">
        <v>294</v>
      </c>
      <c r="B39" s="9" t="s">
        <v>295</v>
      </c>
      <c r="C39" s="9" t="s">
        <v>305</v>
      </c>
      <c r="D39" s="9" t="s">
        <v>295</v>
      </c>
      <c r="E39" s="10">
        <v>22291</v>
      </c>
    </row>
    <row r="40" spans="1:6" x14ac:dyDescent="0.25">
      <c r="A40" s="9" t="s">
        <v>296</v>
      </c>
      <c r="B40" s="9" t="s">
        <v>297</v>
      </c>
      <c r="C40" s="9" t="s">
        <v>305</v>
      </c>
      <c r="D40" s="9" t="s">
        <v>297</v>
      </c>
      <c r="E40" s="10">
        <v>22290</v>
      </c>
    </row>
    <row r="41" spans="1:6" x14ac:dyDescent="0.25">
      <c r="A41" s="9" t="s">
        <v>300</v>
      </c>
      <c r="B41" s="9" t="s">
        <v>301</v>
      </c>
      <c r="C41" s="9" t="s">
        <v>306</v>
      </c>
      <c r="D41" s="9" t="s">
        <v>309</v>
      </c>
      <c r="E41" s="10"/>
    </row>
    <row r="42" spans="1:6" x14ac:dyDescent="0.25">
      <c r="A42" s="9" t="s">
        <v>294</v>
      </c>
      <c r="B42" s="9" t="s">
        <v>295</v>
      </c>
      <c r="C42" s="9" t="s">
        <v>305</v>
      </c>
      <c r="D42" s="9" t="s">
        <v>295</v>
      </c>
      <c r="E42" s="10">
        <v>22303</v>
      </c>
    </row>
    <row r="43" spans="1:6" x14ac:dyDescent="0.25">
      <c r="A43" s="9" t="s">
        <v>296</v>
      </c>
      <c r="B43" s="9" t="s">
        <v>297</v>
      </c>
      <c r="C43" s="9" t="s">
        <v>305</v>
      </c>
      <c r="D43" s="9" t="s">
        <v>297</v>
      </c>
      <c r="E43" s="10">
        <v>22302</v>
      </c>
    </row>
    <row r="44" spans="1:6" x14ac:dyDescent="0.25">
      <c r="A44" s="9" t="s">
        <v>52</v>
      </c>
      <c r="B44" s="9" t="s">
        <v>53</v>
      </c>
      <c r="C44" s="9" t="s">
        <v>305</v>
      </c>
      <c r="D44" s="9"/>
      <c r="E44" s="9"/>
    </row>
    <row r="45" spans="1:6" x14ac:dyDescent="0.25">
      <c r="A45" s="9" t="s">
        <v>54</v>
      </c>
      <c r="B45" s="9" t="s">
        <v>55</v>
      </c>
      <c r="C45" s="9" t="s">
        <v>305</v>
      </c>
      <c r="D45" s="9"/>
      <c r="E45" s="9"/>
    </row>
    <row r="46" spans="1:6" x14ac:dyDescent="0.25">
      <c r="A46" s="9" t="s">
        <v>56</v>
      </c>
      <c r="B46" s="9" t="s">
        <v>9</v>
      </c>
      <c r="C46" s="9" t="s">
        <v>305</v>
      </c>
      <c r="D46" s="9"/>
      <c r="E46" s="9"/>
    </row>
    <row r="47" spans="1:6" x14ac:dyDescent="0.25">
      <c r="A47" s="9" t="s">
        <v>57</v>
      </c>
      <c r="B47" s="9" t="s">
        <v>58</v>
      </c>
      <c r="C47" s="9" t="s">
        <v>305</v>
      </c>
      <c r="D47" s="9" t="s">
        <v>58</v>
      </c>
      <c r="E47" s="10">
        <v>222</v>
      </c>
    </row>
    <row r="48" spans="1:6" x14ac:dyDescent="0.25">
      <c r="A48" s="9" t="s">
        <v>59</v>
      </c>
      <c r="B48" s="9" t="s">
        <v>60</v>
      </c>
      <c r="C48" s="9" t="s">
        <v>305</v>
      </c>
      <c r="D48" s="9" t="s">
        <v>60</v>
      </c>
      <c r="E48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/>
  </sheetViews>
  <sheetFormatPr defaultRowHeight="15" x14ac:dyDescent="0.25"/>
  <cols>
    <col min="1" max="1" width="54.42578125" customWidth="1"/>
    <col min="2" max="2" width="41.7109375" customWidth="1"/>
    <col min="3" max="3" width="10.855468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G1" s="3" t="s">
        <v>305</v>
      </c>
      <c r="H1" s="4">
        <f>COUNTIF(C:C,G1)</f>
        <v>48</v>
      </c>
    </row>
    <row r="2" spans="1:8" x14ac:dyDescent="0.25">
      <c r="A2" s="9" t="s">
        <v>61</v>
      </c>
      <c r="B2" s="9" t="s">
        <v>9</v>
      </c>
      <c r="C2" s="9" t="s">
        <v>305</v>
      </c>
      <c r="D2" s="9"/>
      <c r="E2" s="9"/>
      <c r="G2" s="5" t="s">
        <v>306</v>
      </c>
      <c r="H2" s="6">
        <f>COUNTIF(C:C,G2)</f>
        <v>5</v>
      </c>
    </row>
    <row r="3" spans="1:8" ht="15.75" thickBot="1" x14ac:dyDescent="0.3">
      <c r="A3" s="9" t="s">
        <v>62</v>
      </c>
      <c r="B3" s="9" t="s">
        <v>63</v>
      </c>
      <c r="C3" s="9" t="s">
        <v>305</v>
      </c>
      <c r="D3" s="9"/>
      <c r="E3" s="9"/>
      <c r="G3" s="7" t="s">
        <v>307</v>
      </c>
      <c r="H3" s="8">
        <f>H1/SUM(H1:H2)</f>
        <v>0.90566037735849059</v>
      </c>
    </row>
    <row r="4" spans="1:8" x14ac:dyDescent="0.25">
      <c r="A4" s="9" t="s">
        <v>64</v>
      </c>
      <c r="B4" s="9" t="s">
        <v>65</v>
      </c>
      <c r="C4" s="9" t="s">
        <v>305</v>
      </c>
      <c r="D4" s="9"/>
      <c r="E4" s="9"/>
    </row>
    <row r="5" spans="1:8" x14ac:dyDescent="0.25">
      <c r="A5" s="9" t="s">
        <v>66</v>
      </c>
      <c r="B5" s="9" t="s">
        <v>67</v>
      </c>
      <c r="C5" s="9" t="s">
        <v>305</v>
      </c>
      <c r="D5" s="9"/>
      <c r="E5" s="9"/>
    </row>
    <row r="6" spans="1:8" x14ac:dyDescent="0.25">
      <c r="A6" s="9" t="s">
        <v>68</v>
      </c>
      <c r="B6" s="9" t="s">
        <v>68</v>
      </c>
      <c r="C6" s="9" t="s">
        <v>305</v>
      </c>
      <c r="D6" s="9"/>
      <c r="E6" s="9"/>
    </row>
    <row r="7" spans="1:8" x14ac:dyDescent="0.25">
      <c r="A7" s="9" t="s">
        <v>69</v>
      </c>
      <c r="B7" s="9" t="s">
        <v>70</v>
      </c>
      <c r="C7" s="9" t="s">
        <v>305</v>
      </c>
      <c r="D7" s="9"/>
      <c r="E7" s="9"/>
    </row>
    <row r="8" spans="1:8" x14ac:dyDescent="0.25">
      <c r="A8" s="9" t="s">
        <v>71</v>
      </c>
      <c r="B8" s="9" t="s">
        <v>72</v>
      </c>
      <c r="C8" s="9" t="s">
        <v>305</v>
      </c>
      <c r="D8" s="9"/>
      <c r="E8" s="9"/>
    </row>
    <row r="9" spans="1:8" x14ac:dyDescent="0.25">
      <c r="A9" s="9" t="s">
        <v>73</v>
      </c>
      <c r="B9" s="9" t="s">
        <v>9</v>
      </c>
      <c r="C9" s="9" t="s">
        <v>305</v>
      </c>
      <c r="D9" s="9"/>
      <c r="E9" s="9"/>
    </row>
    <row r="10" spans="1:8" x14ac:dyDescent="0.25">
      <c r="A10" s="9" t="s">
        <v>74</v>
      </c>
      <c r="B10" s="9" t="s">
        <v>75</v>
      </c>
      <c r="C10" s="9" t="s">
        <v>305</v>
      </c>
      <c r="D10" s="9" t="s">
        <v>75</v>
      </c>
      <c r="E10" s="10">
        <v>13748</v>
      </c>
    </row>
    <row r="11" spans="1:8" x14ac:dyDescent="0.25">
      <c r="A11" s="9" t="s">
        <v>76</v>
      </c>
      <c r="B11" s="9" t="s">
        <v>75</v>
      </c>
      <c r="C11" s="9" t="s">
        <v>305</v>
      </c>
      <c r="D11" s="9" t="s">
        <v>75</v>
      </c>
      <c r="E11" s="10">
        <v>13748</v>
      </c>
    </row>
    <row r="12" spans="1:8" x14ac:dyDescent="0.25">
      <c r="A12" s="9" t="s">
        <v>77</v>
      </c>
      <c r="B12" s="9" t="s">
        <v>78</v>
      </c>
      <c r="C12" s="9" t="s">
        <v>305</v>
      </c>
      <c r="D12" s="9"/>
      <c r="E12" s="9"/>
    </row>
    <row r="13" spans="1:8" x14ac:dyDescent="0.25">
      <c r="A13" s="9" t="s">
        <v>79</v>
      </c>
      <c r="B13" s="9" t="s">
        <v>80</v>
      </c>
      <c r="C13" s="9" t="s">
        <v>305</v>
      </c>
      <c r="D13" s="9"/>
      <c r="E13" s="9"/>
    </row>
    <row r="14" spans="1:8" x14ac:dyDescent="0.25">
      <c r="A14" s="9" t="s">
        <v>81</v>
      </c>
      <c r="B14" s="9" t="s">
        <v>82</v>
      </c>
      <c r="C14" s="9" t="s">
        <v>305</v>
      </c>
      <c r="D14" s="9"/>
      <c r="E14" s="9"/>
    </row>
    <row r="15" spans="1:8" x14ac:dyDescent="0.25">
      <c r="A15" s="9" t="s">
        <v>83</v>
      </c>
      <c r="B15" s="9" t="s">
        <v>84</v>
      </c>
      <c r="C15" s="9" t="s">
        <v>305</v>
      </c>
      <c r="D15" s="9"/>
      <c r="E15" s="9"/>
    </row>
    <row r="16" spans="1:8" x14ac:dyDescent="0.25">
      <c r="A16" s="9" t="s">
        <v>85</v>
      </c>
      <c r="B16" s="9" t="s">
        <v>86</v>
      </c>
      <c r="C16" s="9" t="s">
        <v>305</v>
      </c>
      <c r="D16" s="9"/>
      <c r="E16" s="9"/>
    </row>
    <row r="17" spans="1:5" x14ac:dyDescent="0.25">
      <c r="A17" s="9" t="s">
        <v>87</v>
      </c>
      <c r="B17" s="9" t="s">
        <v>9</v>
      </c>
      <c r="C17" s="9" t="s">
        <v>305</v>
      </c>
      <c r="D17" s="9"/>
      <c r="E17" s="9"/>
    </row>
    <row r="18" spans="1:5" x14ac:dyDescent="0.25">
      <c r="A18" s="9" t="s">
        <v>88</v>
      </c>
      <c r="B18" s="9" t="s">
        <v>88</v>
      </c>
      <c r="C18" s="9" t="s">
        <v>305</v>
      </c>
      <c r="D18" s="9"/>
      <c r="E18" s="9"/>
    </row>
    <row r="19" spans="1:5" x14ac:dyDescent="0.25">
      <c r="A19" s="9" t="s">
        <v>73</v>
      </c>
      <c r="B19" s="9" t="s">
        <v>9</v>
      </c>
      <c r="C19" s="9" t="s">
        <v>305</v>
      </c>
      <c r="D19" s="9"/>
      <c r="E19" s="9"/>
    </row>
    <row r="20" spans="1:5" x14ac:dyDescent="0.25">
      <c r="A20" s="9" t="s">
        <v>89</v>
      </c>
      <c r="B20" s="9" t="s">
        <v>75</v>
      </c>
      <c r="C20" s="9" t="s">
        <v>306</v>
      </c>
      <c r="D20" s="9" t="s">
        <v>313</v>
      </c>
      <c r="E20" s="10">
        <v>13724</v>
      </c>
    </row>
    <row r="21" spans="1:5" x14ac:dyDescent="0.25">
      <c r="A21" s="9" t="s">
        <v>90</v>
      </c>
      <c r="B21" s="9" t="s">
        <v>91</v>
      </c>
      <c r="C21" s="9" t="s">
        <v>305</v>
      </c>
      <c r="D21" s="9" t="s">
        <v>91</v>
      </c>
      <c r="E21" s="10">
        <v>13780</v>
      </c>
    </row>
    <row r="22" spans="1:5" x14ac:dyDescent="0.25">
      <c r="A22" s="9" t="s">
        <v>92</v>
      </c>
      <c r="B22" s="9" t="s">
        <v>93</v>
      </c>
      <c r="C22" s="9" t="s">
        <v>305</v>
      </c>
      <c r="D22" s="9"/>
      <c r="E22" s="9"/>
    </row>
    <row r="23" spans="1:5" x14ac:dyDescent="0.25">
      <c r="A23" s="9" t="s">
        <v>94</v>
      </c>
      <c r="B23" s="9" t="s">
        <v>95</v>
      </c>
      <c r="C23" s="9" t="s">
        <v>305</v>
      </c>
      <c r="D23" s="9"/>
      <c r="E23" s="9"/>
    </row>
    <row r="24" spans="1:5" x14ac:dyDescent="0.25">
      <c r="A24" s="9" t="s">
        <v>77</v>
      </c>
      <c r="B24" s="9" t="s">
        <v>78</v>
      </c>
      <c r="C24" s="9" t="s">
        <v>306</v>
      </c>
      <c r="D24" s="9" t="s">
        <v>314</v>
      </c>
      <c r="E24" s="10">
        <v>20231</v>
      </c>
    </row>
    <row r="25" spans="1:5" x14ac:dyDescent="0.25">
      <c r="A25" s="9" t="s">
        <v>96</v>
      </c>
      <c r="B25" s="9" t="s">
        <v>97</v>
      </c>
      <c r="C25" s="9" t="s">
        <v>305</v>
      </c>
      <c r="D25" s="9"/>
      <c r="E25" s="9"/>
    </row>
    <row r="26" spans="1:5" x14ac:dyDescent="0.25">
      <c r="A26" s="9" t="s">
        <v>98</v>
      </c>
      <c r="B26" s="9" t="s">
        <v>99</v>
      </c>
      <c r="C26" s="9" t="s">
        <v>305</v>
      </c>
      <c r="D26" s="9"/>
      <c r="E26" s="9"/>
    </row>
    <row r="27" spans="1:5" x14ac:dyDescent="0.25">
      <c r="A27" s="9" t="s">
        <v>100</v>
      </c>
      <c r="B27" s="9" t="s">
        <v>101</v>
      </c>
      <c r="C27" s="9" t="s">
        <v>305</v>
      </c>
      <c r="D27" s="9"/>
      <c r="E27" s="9"/>
    </row>
    <row r="28" spans="1:5" x14ac:dyDescent="0.25">
      <c r="A28" s="9" t="s">
        <v>102</v>
      </c>
      <c r="B28" s="9" t="s">
        <v>9</v>
      </c>
      <c r="C28" s="9" t="s">
        <v>305</v>
      </c>
      <c r="D28" s="9"/>
      <c r="E28" s="9"/>
    </row>
    <row r="29" spans="1:5" x14ac:dyDescent="0.25">
      <c r="A29" s="9" t="s">
        <v>103</v>
      </c>
      <c r="B29" s="9" t="s">
        <v>9</v>
      </c>
      <c r="C29" s="9" t="s">
        <v>305</v>
      </c>
      <c r="D29" s="9"/>
      <c r="E29" s="9"/>
    </row>
    <row r="30" spans="1:5" x14ac:dyDescent="0.25">
      <c r="A30" s="9" t="s">
        <v>104</v>
      </c>
      <c r="B30" s="9" t="s">
        <v>105</v>
      </c>
      <c r="C30" s="9" t="s">
        <v>305</v>
      </c>
      <c r="D30" s="9"/>
      <c r="E30" s="9"/>
    </row>
    <row r="31" spans="1:5" x14ac:dyDescent="0.25">
      <c r="A31" s="9" t="s">
        <v>106</v>
      </c>
      <c r="B31" s="9" t="s">
        <v>107</v>
      </c>
      <c r="C31" s="9" t="s">
        <v>305</v>
      </c>
      <c r="D31" s="9"/>
      <c r="E31" s="9"/>
    </row>
    <row r="32" spans="1:5" x14ac:dyDescent="0.25">
      <c r="A32" s="9" t="s">
        <v>108</v>
      </c>
      <c r="B32" s="9" t="s">
        <v>109</v>
      </c>
      <c r="C32" s="9" t="s">
        <v>305</v>
      </c>
      <c r="D32" s="9"/>
      <c r="E32" s="9"/>
    </row>
    <row r="33" spans="1:5" x14ac:dyDescent="0.25">
      <c r="A33" s="9" t="s">
        <v>110</v>
      </c>
      <c r="B33" s="9" t="s">
        <v>9</v>
      </c>
      <c r="C33" s="9" t="s">
        <v>305</v>
      </c>
      <c r="D33" s="9"/>
      <c r="E33" s="9"/>
    </row>
    <row r="34" spans="1:5" x14ac:dyDescent="0.25">
      <c r="A34" s="9" t="s">
        <v>111</v>
      </c>
      <c r="B34" s="9" t="s">
        <v>9</v>
      </c>
      <c r="C34" s="9" t="s">
        <v>305</v>
      </c>
      <c r="D34" s="9"/>
      <c r="E34" s="9"/>
    </row>
    <row r="35" spans="1:5" x14ac:dyDescent="0.25">
      <c r="A35" s="9" t="s">
        <v>112</v>
      </c>
      <c r="B35" s="9" t="s">
        <v>9</v>
      </c>
      <c r="C35" s="9" t="s">
        <v>305</v>
      </c>
      <c r="D35" s="9"/>
      <c r="E35" s="9"/>
    </row>
    <row r="36" spans="1:5" x14ac:dyDescent="0.25">
      <c r="A36" s="9" t="s">
        <v>113</v>
      </c>
      <c r="B36" s="9" t="s">
        <v>113</v>
      </c>
      <c r="C36" s="9" t="s">
        <v>305</v>
      </c>
      <c r="D36" s="9" t="s">
        <v>113</v>
      </c>
      <c r="E36" s="10">
        <v>20223</v>
      </c>
    </row>
    <row r="37" spans="1:5" x14ac:dyDescent="0.25">
      <c r="A37" s="9" t="s">
        <v>114</v>
      </c>
      <c r="B37" s="9" t="s">
        <v>114</v>
      </c>
      <c r="C37" s="9" t="s">
        <v>305</v>
      </c>
      <c r="D37" s="9" t="s">
        <v>114</v>
      </c>
      <c r="E37" s="10">
        <v>30340</v>
      </c>
    </row>
    <row r="38" spans="1:5" x14ac:dyDescent="0.25">
      <c r="A38" s="9" t="s">
        <v>115</v>
      </c>
      <c r="B38" s="9" t="s">
        <v>116</v>
      </c>
      <c r="C38" s="9" t="s">
        <v>305</v>
      </c>
      <c r="D38" s="9"/>
      <c r="E38" s="10"/>
    </row>
    <row r="39" spans="1:5" x14ac:dyDescent="0.25">
      <c r="A39" s="9" t="s">
        <v>117</v>
      </c>
      <c r="B39" s="9" t="s">
        <v>118</v>
      </c>
      <c r="C39" s="9" t="s">
        <v>305</v>
      </c>
      <c r="D39" s="9"/>
      <c r="E39" s="9"/>
    </row>
    <row r="40" spans="1:5" x14ac:dyDescent="0.25">
      <c r="A40" s="9" t="s">
        <v>119</v>
      </c>
      <c r="B40" s="9" t="s">
        <v>120</v>
      </c>
      <c r="C40" s="9" t="s">
        <v>305</v>
      </c>
      <c r="D40" s="9"/>
      <c r="E40" s="9"/>
    </row>
    <row r="41" spans="1:5" x14ac:dyDescent="0.25">
      <c r="A41" s="9" t="s">
        <v>121</v>
      </c>
      <c r="B41" s="9" t="s">
        <v>9</v>
      </c>
      <c r="C41" s="9" t="s">
        <v>305</v>
      </c>
      <c r="D41" s="9"/>
      <c r="E41" s="9"/>
    </row>
    <row r="42" spans="1:5" x14ac:dyDescent="0.25">
      <c r="A42" s="9" t="s">
        <v>122</v>
      </c>
      <c r="B42" s="9" t="s">
        <v>123</v>
      </c>
      <c r="C42" s="9" t="s">
        <v>305</v>
      </c>
      <c r="D42" s="9" t="s">
        <v>123</v>
      </c>
      <c r="E42" s="10">
        <v>26450</v>
      </c>
    </row>
    <row r="43" spans="1:5" x14ac:dyDescent="0.25">
      <c r="A43" s="9" t="s">
        <v>112</v>
      </c>
      <c r="B43" s="9" t="s">
        <v>9</v>
      </c>
      <c r="C43" s="9" t="s">
        <v>305</v>
      </c>
      <c r="D43" s="9"/>
      <c r="E43" s="9"/>
    </row>
    <row r="44" spans="1:5" x14ac:dyDescent="0.25">
      <c r="A44" s="9" t="s">
        <v>113</v>
      </c>
      <c r="B44" s="9" t="s">
        <v>113</v>
      </c>
      <c r="C44" s="9" t="s">
        <v>305</v>
      </c>
      <c r="D44" s="9" t="s">
        <v>113</v>
      </c>
      <c r="E44" s="10">
        <v>20209</v>
      </c>
    </row>
    <row r="45" spans="1:5" x14ac:dyDescent="0.25">
      <c r="A45" s="9" t="s">
        <v>114</v>
      </c>
      <c r="B45" s="9" t="s">
        <v>114</v>
      </c>
      <c r="C45" s="9" t="s">
        <v>305</v>
      </c>
      <c r="D45" s="9" t="s">
        <v>114</v>
      </c>
      <c r="E45" s="10">
        <v>25716</v>
      </c>
    </row>
    <row r="46" spans="1:5" x14ac:dyDescent="0.25">
      <c r="A46" s="9" t="s">
        <v>124</v>
      </c>
      <c r="B46" s="9" t="s">
        <v>125</v>
      </c>
      <c r="C46" s="9" t="s">
        <v>306</v>
      </c>
      <c r="D46" s="9" t="s">
        <v>309</v>
      </c>
      <c r="E46" s="9"/>
    </row>
    <row r="47" spans="1:5" x14ac:dyDescent="0.25">
      <c r="A47" s="9" t="s">
        <v>126</v>
      </c>
      <c r="B47" s="9" t="s">
        <v>125</v>
      </c>
      <c r="C47" s="9" t="s">
        <v>305</v>
      </c>
      <c r="D47" s="9" t="s">
        <v>125</v>
      </c>
      <c r="E47" s="10">
        <v>13779</v>
      </c>
    </row>
    <row r="48" spans="1:5" x14ac:dyDescent="0.25">
      <c r="A48" s="9" t="s">
        <v>127</v>
      </c>
      <c r="B48" s="9" t="s">
        <v>125</v>
      </c>
      <c r="C48" s="9" t="s">
        <v>305</v>
      </c>
      <c r="D48" s="9" t="s">
        <v>125</v>
      </c>
      <c r="E48" s="10">
        <v>13779</v>
      </c>
    </row>
    <row r="49" spans="1:5" x14ac:dyDescent="0.25">
      <c r="A49" s="9" t="s">
        <v>128</v>
      </c>
      <c r="B49" s="9" t="s">
        <v>129</v>
      </c>
      <c r="C49" s="9" t="s">
        <v>306</v>
      </c>
      <c r="D49" s="9" t="s">
        <v>315</v>
      </c>
      <c r="E49" s="10">
        <v>20214</v>
      </c>
    </row>
    <row r="50" spans="1:5" x14ac:dyDescent="0.25">
      <c r="A50" s="9" t="s">
        <v>130</v>
      </c>
      <c r="B50" s="9" t="s">
        <v>123</v>
      </c>
      <c r="C50" s="9" t="s">
        <v>305</v>
      </c>
      <c r="D50" s="9"/>
      <c r="E50" s="9"/>
    </row>
    <row r="51" spans="1:5" x14ac:dyDescent="0.25">
      <c r="A51" s="9" t="s">
        <v>115</v>
      </c>
      <c r="B51" s="9" t="s">
        <v>116</v>
      </c>
      <c r="C51" s="9" t="s">
        <v>306</v>
      </c>
      <c r="D51" s="9" t="s">
        <v>316</v>
      </c>
      <c r="E51" s="10">
        <v>13767</v>
      </c>
    </row>
    <row r="52" spans="1:5" x14ac:dyDescent="0.25">
      <c r="A52" s="9" t="s">
        <v>131</v>
      </c>
      <c r="B52" s="9" t="s">
        <v>132</v>
      </c>
      <c r="C52" s="9" t="s">
        <v>305</v>
      </c>
      <c r="D52" s="9"/>
      <c r="E52" s="9"/>
    </row>
    <row r="53" spans="1:5" x14ac:dyDescent="0.25">
      <c r="A53" s="9" t="s">
        <v>133</v>
      </c>
      <c r="B53" s="9" t="s">
        <v>134</v>
      </c>
      <c r="C53" s="9" t="s">
        <v>305</v>
      </c>
      <c r="D53" s="9"/>
      <c r="E53" s="9"/>
    </row>
    <row r="54" spans="1:5" x14ac:dyDescent="0.25">
      <c r="A54" s="9" t="s">
        <v>135</v>
      </c>
      <c r="B54" s="9" t="s">
        <v>34</v>
      </c>
      <c r="C54" s="9"/>
      <c r="D54" s="9" t="s">
        <v>308</v>
      </c>
      <c r="E54" s="9"/>
    </row>
    <row r="55" spans="1:5" x14ac:dyDescent="0.25">
      <c r="A55" s="9" t="s">
        <v>136</v>
      </c>
      <c r="B55" s="9" t="s">
        <v>137</v>
      </c>
      <c r="C55" s="9" t="s">
        <v>305</v>
      </c>
      <c r="D55" s="9"/>
      <c r="E55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9"/>
  <sheetViews>
    <sheetView workbookViewId="0"/>
  </sheetViews>
  <sheetFormatPr defaultRowHeight="15" x14ac:dyDescent="0.25"/>
  <cols>
    <col min="1" max="1" width="50.28515625" customWidth="1"/>
    <col min="2" max="2" width="41.85546875" customWidth="1"/>
    <col min="3" max="3" width="10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G1" s="3" t="s">
        <v>305</v>
      </c>
      <c r="H1" s="4">
        <f>COUNTIF(C:C,G1)</f>
        <v>49</v>
      </c>
    </row>
    <row r="2" spans="1:8" x14ac:dyDescent="0.25">
      <c r="A2" s="9" t="s">
        <v>61</v>
      </c>
      <c r="B2" s="9" t="s">
        <v>9</v>
      </c>
      <c r="C2" s="9" t="s">
        <v>305</v>
      </c>
      <c r="D2" s="9"/>
      <c r="E2" s="9"/>
      <c r="G2" s="5" t="s">
        <v>306</v>
      </c>
      <c r="H2" s="6">
        <f>COUNTIF(C:C,G2)</f>
        <v>7</v>
      </c>
    </row>
    <row r="3" spans="1:8" ht="15.75" thickBot="1" x14ac:dyDescent="0.3">
      <c r="A3" s="9" t="s">
        <v>62</v>
      </c>
      <c r="B3" s="9" t="s">
        <v>63</v>
      </c>
      <c r="C3" s="9" t="s">
        <v>305</v>
      </c>
      <c r="D3" s="9"/>
      <c r="E3" s="9"/>
      <c r="G3" s="7" t="s">
        <v>307</v>
      </c>
      <c r="H3" s="8">
        <f>H1/SUM(H1:H2)</f>
        <v>0.875</v>
      </c>
    </row>
    <row r="4" spans="1:8" x14ac:dyDescent="0.25">
      <c r="A4" s="9" t="s">
        <v>64</v>
      </c>
      <c r="B4" s="9" t="s">
        <v>65</v>
      </c>
      <c r="C4" s="9" t="s">
        <v>305</v>
      </c>
      <c r="D4" s="9"/>
      <c r="E4" s="9"/>
    </row>
    <row r="5" spans="1:8" x14ac:dyDescent="0.25">
      <c r="A5" s="9" t="s">
        <v>66</v>
      </c>
      <c r="B5" s="9" t="s">
        <v>67</v>
      </c>
      <c r="C5" s="9" t="s">
        <v>305</v>
      </c>
      <c r="D5" s="9"/>
      <c r="E5" s="9"/>
    </row>
    <row r="6" spans="1:8" x14ac:dyDescent="0.25">
      <c r="A6" s="9" t="s">
        <v>68</v>
      </c>
      <c r="B6" s="9" t="s">
        <v>68</v>
      </c>
      <c r="C6" s="9" t="s">
        <v>306</v>
      </c>
      <c r="D6" s="9" t="s">
        <v>317</v>
      </c>
      <c r="E6" s="10">
        <v>13734</v>
      </c>
    </row>
    <row r="7" spans="1:8" x14ac:dyDescent="0.25">
      <c r="A7" s="9" t="s">
        <v>69</v>
      </c>
      <c r="B7" s="9" t="s">
        <v>70</v>
      </c>
      <c r="C7" s="9" t="s">
        <v>305</v>
      </c>
      <c r="D7" s="9"/>
      <c r="E7" s="9"/>
    </row>
    <row r="8" spans="1:8" x14ac:dyDescent="0.25">
      <c r="A8" s="9" t="s">
        <v>71</v>
      </c>
      <c r="B8" s="9" t="s">
        <v>72</v>
      </c>
      <c r="C8" s="9" t="s">
        <v>305</v>
      </c>
      <c r="D8" s="9"/>
      <c r="E8" s="9"/>
    </row>
    <row r="9" spans="1:8" x14ac:dyDescent="0.25">
      <c r="A9" s="9" t="s">
        <v>238</v>
      </c>
      <c r="B9" s="9" t="s">
        <v>238</v>
      </c>
      <c r="C9" s="9" t="s">
        <v>305</v>
      </c>
      <c r="D9" s="9"/>
      <c r="E9" s="9"/>
    </row>
    <row r="10" spans="1:8" x14ac:dyDescent="0.25">
      <c r="A10" s="9" t="s">
        <v>239</v>
      </c>
      <c r="B10" s="9" t="s">
        <v>75</v>
      </c>
      <c r="C10" s="9" t="s">
        <v>305</v>
      </c>
      <c r="D10" s="9" t="s">
        <v>75</v>
      </c>
      <c r="E10" s="10">
        <v>13748</v>
      </c>
    </row>
    <row r="11" spans="1:8" x14ac:dyDescent="0.25">
      <c r="A11" s="9" t="s">
        <v>73</v>
      </c>
      <c r="B11" s="9" t="s">
        <v>9</v>
      </c>
      <c r="C11" s="9" t="s">
        <v>305</v>
      </c>
      <c r="D11" s="9"/>
      <c r="E11" s="9"/>
    </row>
    <row r="12" spans="1:8" x14ac:dyDescent="0.25">
      <c r="A12" s="9" t="s">
        <v>89</v>
      </c>
      <c r="B12" s="9" t="s">
        <v>75</v>
      </c>
      <c r="C12" s="9" t="s">
        <v>305</v>
      </c>
      <c r="D12" s="9" t="s">
        <v>75</v>
      </c>
      <c r="E12" s="10">
        <v>13748</v>
      </c>
    </row>
    <row r="13" spans="1:8" x14ac:dyDescent="0.25">
      <c r="A13" s="9" t="s">
        <v>77</v>
      </c>
      <c r="B13" s="9" t="s">
        <v>78</v>
      </c>
      <c r="C13" s="9" t="s">
        <v>305</v>
      </c>
      <c r="D13" s="9"/>
      <c r="E13" s="9"/>
    </row>
    <row r="14" spans="1:8" x14ac:dyDescent="0.25">
      <c r="A14" s="9" t="s">
        <v>79</v>
      </c>
      <c r="B14" s="9" t="s">
        <v>80</v>
      </c>
      <c r="C14" s="9" t="s">
        <v>305</v>
      </c>
      <c r="D14" s="9"/>
      <c r="E14" s="9"/>
    </row>
    <row r="15" spans="1:8" x14ac:dyDescent="0.25">
      <c r="A15" s="9" t="s">
        <v>81</v>
      </c>
      <c r="B15" s="9" t="s">
        <v>82</v>
      </c>
      <c r="C15" s="9" t="s">
        <v>305</v>
      </c>
      <c r="D15" s="9"/>
      <c r="E15" s="9"/>
    </row>
    <row r="16" spans="1:8" x14ac:dyDescent="0.25">
      <c r="A16" s="9" t="s">
        <v>83</v>
      </c>
      <c r="B16" s="9" t="s">
        <v>84</v>
      </c>
      <c r="C16" s="9" t="s">
        <v>305</v>
      </c>
      <c r="D16" s="9"/>
      <c r="E16" s="9"/>
    </row>
    <row r="17" spans="1:5" x14ac:dyDescent="0.25">
      <c r="A17" s="9" t="s">
        <v>85</v>
      </c>
      <c r="B17" s="9" t="s">
        <v>86</v>
      </c>
      <c r="C17" s="9" t="s">
        <v>305</v>
      </c>
      <c r="D17" s="9"/>
      <c r="E17" s="9"/>
    </row>
    <row r="18" spans="1:5" x14ac:dyDescent="0.25">
      <c r="A18" s="9" t="s">
        <v>87</v>
      </c>
      <c r="B18" s="9" t="s">
        <v>9</v>
      </c>
      <c r="C18" s="9" t="s">
        <v>305</v>
      </c>
      <c r="D18" s="9"/>
      <c r="E18" s="9"/>
    </row>
    <row r="19" spans="1:5" x14ac:dyDescent="0.25">
      <c r="A19" s="9" t="s">
        <v>88</v>
      </c>
      <c r="B19" s="9" t="s">
        <v>88</v>
      </c>
      <c r="C19" s="9" t="s">
        <v>305</v>
      </c>
      <c r="D19" s="9"/>
      <c r="E19" s="9"/>
    </row>
    <row r="20" spans="1:5" x14ac:dyDescent="0.25">
      <c r="A20" s="9" t="s">
        <v>73</v>
      </c>
      <c r="B20" s="9" t="s">
        <v>9</v>
      </c>
      <c r="C20" s="9" t="s">
        <v>305</v>
      </c>
      <c r="D20" s="9"/>
      <c r="E20" s="9"/>
    </row>
    <row r="21" spans="1:5" x14ac:dyDescent="0.25">
      <c r="A21" s="9" t="s">
        <v>89</v>
      </c>
      <c r="B21" s="9" t="s">
        <v>75</v>
      </c>
      <c r="C21" s="9" t="s">
        <v>306</v>
      </c>
      <c r="D21" s="9" t="s">
        <v>313</v>
      </c>
      <c r="E21" s="10">
        <v>13724</v>
      </c>
    </row>
    <row r="22" spans="1:5" x14ac:dyDescent="0.25">
      <c r="A22" s="9" t="s">
        <v>90</v>
      </c>
      <c r="B22" s="9" t="s">
        <v>91</v>
      </c>
      <c r="C22" s="9" t="s">
        <v>305</v>
      </c>
      <c r="D22" s="9" t="s">
        <v>91</v>
      </c>
      <c r="E22" s="10">
        <v>13780</v>
      </c>
    </row>
    <row r="23" spans="1:5" x14ac:dyDescent="0.25">
      <c r="A23" s="9" t="s">
        <v>92</v>
      </c>
      <c r="B23" s="9" t="s">
        <v>93</v>
      </c>
      <c r="C23" s="9" t="s">
        <v>305</v>
      </c>
      <c r="D23" s="9"/>
      <c r="E23" s="9"/>
    </row>
    <row r="24" spans="1:5" x14ac:dyDescent="0.25">
      <c r="A24" s="9" t="s">
        <v>94</v>
      </c>
      <c r="B24" s="9" t="s">
        <v>95</v>
      </c>
      <c r="C24" s="9" t="s">
        <v>305</v>
      </c>
      <c r="D24" s="9"/>
      <c r="E24" s="9"/>
    </row>
    <row r="25" spans="1:5" x14ac:dyDescent="0.25">
      <c r="A25" s="9" t="s">
        <v>77</v>
      </c>
      <c r="B25" s="9" t="s">
        <v>78</v>
      </c>
      <c r="C25" s="9" t="s">
        <v>306</v>
      </c>
      <c r="D25" s="9" t="s">
        <v>314</v>
      </c>
      <c r="E25" s="10">
        <v>20231</v>
      </c>
    </row>
    <row r="26" spans="1:5" x14ac:dyDescent="0.25">
      <c r="A26" s="9" t="s">
        <v>96</v>
      </c>
      <c r="B26" s="9" t="s">
        <v>97</v>
      </c>
      <c r="C26" s="9" t="s">
        <v>305</v>
      </c>
      <c r="D26" s="9"/>
      <c r="E26" s="9"/>
    </row>
    <row r="27" spans="1:5" x14ac:dyDescent="0.25">
      <c r="A27" s="9" t="s">
        <v>240</v>
      </c>
      <c r="B27" s="9" t="s">
        <v>99</v>
      </c>
      <c r="C27" s="9" t="s">
        <v>305</v>
      </c>
      <c r="D27" s="9"/>
      <c r="E27" s="9"/>
    </row>
    <row r="28" spans="1:5" x14ac:dyDescent="0.25">
      <c r="A28" s="9" t="s">
        <v>241</v>
      </c>
      <c r="B28" s="9" t="s">
        <v>101</v>
      </c>
      <c r="C28" s="9" t="s">
        <v>305</v>
      </c>
      <c r="D28" s="9"/>
      <c r="E28" s="9"/>
    </row>
    <row r="29" spans="1:5" x14ac:dyDescent="0.25">
      <c r="A29" s="9" t="s">
        <v>102</v>
      </c>
      <c r="B29" s="9" t="s">
        <v>9</v>
      </c>
      <c r="C29" s="9" t="s">
        <v>305</v>
      </c>
      <c r="D29" s="9"/>
      <c r="E29" s="9"/>
    </row>
    <row r="30" spans="1:5" x14ac:dyDescent="0.25">
      <c r="A30" s="9" t="s">
        <v>103</v>
      </c>
      <c r="B30" s="9" t="s">
        <v>9</v>
      </c>
      <c r="C30" s="9" t="s">
        <v>305</v>
      </c>
      <c r="D30" s="9"/>
      <c r="E30" s="9"/>
    </row>
    <row r="31" spans="1:5" x14ac:dyDescent="0.25">
      <c r="A31" s="9" t="s">
        <v>104</v>
      </c>
      <c r="B31" s="9" t="s">
        <v>105</v>
      </c>
      <c r="C31" s="9" t="s">
        <v>305</v>
      </c>
      <c r="D31" s="9"/>
      <c r="E31" s="9"/>
    </row>
    <row r="32" spans="1:5" x14ac:dyDescent="0.25">
      <c r="A32" s="9" t="s">
        <v>106</v>
      </c>
      <c r="B32" s="9" t="s">
        <v>107</v>
      </c>
      <c r="C32" s="9" t="s">
        <v>305</v>
      </c>
      <c r="D32" s="9"/>
      <c r="E32" s="9"/>
    </row>
    <row r="33" spans="1:5" x14ac:dyDescent="0.25">
      <c r="A33" s="9" t="s">
        <v>242</v>
      </c>
      <c r="B33" s="9" t="s">
        <v>109</v>
      </c>
      <c r="C33" s="9" t="s">
        <v>305</v>
      </c>
      <c r="D33" s="9"/>
      <c r="E33" s="9"/>
    </row>
    <row r="34" spans="1:5" x14ac:dyDescent="0.25">
      <c r="A34" s="9" t="s">
        <v>243</v>
      </c>
      <c r="B34" s="9" t="s">
        <v>9</v>
      </c>
      <c r="C34" s="9" t="s">
        <v>306</v>
      </c>
      <c r="D34" s="9" t="s">
        <v>318</v>
      </c>
      <c r="E34" s="10">
        <v>13744</v>
      </c>
    </row>
    <row r="35" spans="1:5" x14ac:dyDescent="0.25">
      <c r="A35" s="9" t="s">
        <v>108</v>
      </c>
      <c r="B35" s="9" t="s">
        <v>109</v>
      </c>
      <c r="C35" s="9"/>
      <c r="D35" s="9" t="s">
        <v>310</v>
      </c>
      <c r="E35" s="9"/>
    </row>
    <row r="36" spans="1:5" x14ac:dyDescent="0.25">
      <c r="A36" s="9" t="s">
        <v>111</v>
      </c>
      <c r="B36" s="9" t="s">
        <v>9</v>
      </c>
      <c r="C36" s="9" t="s">
        <v>305</v>
      </c>
      <c r="D36" s="9"/>
      <c r="E36" s="9"/>
    </row>
    <row r="37" spans="1:5" x14ac:dyDescent="0.25">
      <c r="A37" s="9" t="s">
        <v>112</v>
      </c>
      <c r="B37" s="9" t="s">
        <v>9</v>
      </c>
      <c r="C37" s="9" t="s">
        <v>305</v>
      </c>
      <c r="D37" s="9"/>
      <c r="E37" s="9"/>
    </row>
    <row r="38" spans="1:5" x14ac:dyDescent="0.25">
      <c r="A38" s="9" t="s">
        <v>113</v>
      </c>
      <c r="B38" s="9" t="s">
        <v>113</v>
      </c>
      <c r="C38" s="9" t="s">
        <v>305</v>
      </c>
      <c r="D38" s="9" t="s">
        <v>113</v>
      </c>
      <c r="E38" s="10">
        <v>20223</v>
      </c>
    </row>
    <row r="39" spans="1:5" x14ac:dyDescent="0.25">
      <c r="A39" s="9" t="s">
        <v>114</v>
      </c>
      <c r="B39" s="9" t="s">
        <v>114</v>
      </c>
      <c r="C39" s="9" t="s">
        <v>305</v>
      </c>
      <c r="D39" s="9" t="s">
        <v>114</v>
      </c>
      <c r="E39" s="10">
        <v>30340</v>
      </c>
    </row>
    <row r="40" spans="1:5" x14ac:dyDescent="0.25">
      <c r="A40" s="9" t="s">
        <v>128</v>
      </c>
      <c r="B40" s="9" t="s">
        <v>129</v>
      </c>
      <c r="C40" s="9" t="s">
        <v>305</v>
      </c>
      <c r="D40" s="9"/>
      <c r="E40" s="9"/>
    </row>
    <row r="41" spans="1:5" x14ac:dyDescent="0.25">
      <c r="A41" s="9" t="s">
        <v>115</v>
      </c>
      <c r="B41" s="9" t="s">
        <v>116</v>
      </c>
      <c r="C41" s="9" t="s">
        <v>305</v>
      </c>
      <c r="D41" s="9"/>
      <c r="E41" s="10"/>
    </row>
    <row r="42" spans="1:5" x14ac:dyDescent="0.25">
      <c r="A42" s="9" t="s">
        <v>244</v>
      </c>
      <c r="B42" s="9" t="s">
        <v>245</v>
      </c>
      <c r="C42" s="9" t="s">
        <v>305</v>
      </c>
      <c r="D42" s="9"/>
      <c r="E42" s="9"/>
    </row>
    <row r="43" spans="1:5" x14ac:dyDescent="0.25">
      <c r="A43" s="9" t="s">
        <v>117</v>
      </c>
      <c r="B43" s="9" t="s">
        <v>118</v>
      </c>
      <c r="C43" s="9" t="s">
        <v>305</v>
      </c>
      <c r="D43" s="9"/>
      <c r="E43" s="9"/>
    </row>
    <row r="44" spans="1:5" x14ac:dyDescent="0.25">
      <c r="A44" s="9" t="s">
        <v>119</v>
      </c>
      <c r="B44" s="9" t="s">
        <v>120</v>
      </c>
      <c r="C44" s="9" t="s">
        <v>305</v>
      </c>
      <c r="D44" s="9"/>
      <c r="E44" s="9"/>
    </row>
    <row r="45" spans="1:5" x14ac:dyDescent="0.25">
      <c r="A45" s="9" t="s">
        <v>121</v>
      </c>
      <c r="B45" s="9" t="s">
        <v>9</v>
      </c>
      <c r="C45" s="9" t="s">
        <v>305</v>
      </c>
      <c r="D45" s="9"/>
      <c r="E45" s="9"/>
    </row>
    <row r="46" spans="1:5" x14ac:dyDescent="0.25">
      <c r="A46" s="9" t="s">
        <v>122</v>
      </c>
      <c r="B46" s="9" t="s">
        <v>123</v>
      </c>
      <c r="C46" s="9" t="s">
        <v>305</v>
      </c>
      <c r="D46" s="9" t="s">
        <v>123</v>
      </c>
      <c r="E46" s="10">
        <v>26450</v>
      </c>
    </row>
    <row r="47" spans="1:5" x14ac:dyDescent="0.25">
      <c r="A47" s="9" t="s">
        <v>112</v>
      </c>
      <c r="B47" s="9" t="s">
        <v>9</v>
      </c>
      <c r="C47" s="9" t="s">
        <v>305</v>
      </c>
      <c r="D47" s="9"/>
      <c r="E47" s="9"/>
    </row>
    <row r="48" spans="1:5" x14ac:dyDescent="0.25">
      <c r="A48" s="9" t="s">
        <v>113</v>
      </c>
      <c r="B48" s="9" t="s">
        <v>113</v>
      </c>
      <c r="C48" s="9" t="s">
        <v>305</v>
      </c>
      <c r="D48" s="9" t="s">
        <v>113</v>
      </c>
      <c r="E48" s="10">
        <v>20209</v>
      </c>
    </row>
    <row r="49" spans="1:5" x14ac:dyDescent="0.25">
      <c r="A49" s="9" t="s">
        <v>114</v>
      </c>
      <c r="B49" s="9" t="s">
        <v>114</v>
      </c>
      <c r="C49" s="9" t="s">
        <v>305</v>
      </c>
      <c r="D49" s="9" t="s">
        <v>114</v>
      </c>
      <c r="E49" s="10">
        <v>25716</v>
      </c>
    </row>
    <row r="50" spans="1:5" x14ac:dyDescent="0.25">
      <c r="A50" s="9" t="s">
        <v>124</v>
      </c>
      <c r="B50" s="9" t="s">
        <v>125</v>
      </c>
      <c r="C50" s="9" t="s">
        <v>306</v>
      </c>
      <c r="D50" s="9" t="s">
        <v>309</v>
      </c>
      <c r="E50" s="9"/>
    </row>
    <row r="51" spans="1:5" x14ac:dyDescent="0.25">
      <c r="A51" s="9" t="s">
        <v>246</v>
      </c>
      <c r="B51" s="9" t="s">
        <v>125</v>
      </c>
      <c r="C51" s="9" t="s">
        <v>305</v>
      </c>
      <c r="D51" s="9" t="s">
        <v>125</v>
      </c>
      <c r="E51" s="10">
        <v>13779</v>
      </c>
    </row>
    <row r="52" spans="1:5" x14ac:dyDescent="0.25">
      <c r="A52" s="9" t="s">
        <v>247</v>
      </c>
      <c r="B52" s="9" t="s">
        <v>125</v>
      </c>
      <c r="C52" s="9" t="s">
        <v>305</v>
      </c>
      <c r="D52" s="9" t="s">
        <v>125</v>
      </c>
      <c r="E52" s="10">
        <v>13779</v>
      </c>
    </row>
    <row r="53" spans="1:5" x14ac:dyDescent="0.25">
      <c r="A53" s="9" t="s">
        <v>128</v>
      </c>
      <c r="B53" s="9" t="s">
        <v>129</v>
      </c>
      <c r="C53" s="9" t="s">
        <v>306</v>
      </c>
      <c r="D53" s="9" t="s">
        <v>315</v>
      </c>
      <c r="E53" s="10">
        <v>20214</v>
      </c>
    </row>
    <row r="54" spans="1:5" x14ac:dyDescent="0.25">
      <c r="A54" s="9" t="s">
        <v>130</v>
      </c>
      <c r="B54" s="9" t="s">
        <v>123</v>
      </c>
      <c r="C54" s="9" t="s">
        <v>305</v>
      </c>
      <c r="D54" s="9"/>
      <c r="E54" s="9"/>
    </row>
    <row r="55" spans="1:5" x14ac:dyDescent="0.25">
      <c r="A55" s="9" t="s">
        <v>115</v>
      </c>
      <c r="B55" s="9" t="s">
        <v>116</v>
      </c>
      <c r="C55" s="9" t="s">
        <v>306</v>
      </c>
      <c r="D55" s="9" t="s">
        <v>316</v>
      </c>
      <c r="E55" s="10">
        <v>13767</v>
      </c>
    </row>
    <row r="56" spans="1:5" x14ac:dyDescent="0.25">
      <c r="A56" s="9" t="s">
        <v>131</v>
      </c>
      <c r="B56" s="9" t="s">
        <v>132</v>
      </c>
      <c r="C56" s="9" t="s">
        <v>305</v>
      </c>
      <c r="D56" s="9"/>
      <c r="E56" s="9"/>
    </row>
    <row r="57" spans="1:5" x14ac:dyDescent="0.25">
      <c r="A57" s="9" t="s">
        <v>133</v>
      </c>
      <c r="B57" s="9" t="s">
        <v>134</v>
      </c>
      <c r="C57" s="9" t="s">
        <v>305</v>
      </c>
      <c r="D57" s="9"/>
      <c r="E57" s="9"/>
    </row>
    <row r="58" spans="1:5" x14ac:dyDescent="0.25">
      <c r="A58" s="9" t="s">
        <v>135</v>
      </c>
      <c r="B58" s="9" t="s">
        <v>34</v>
      </c>
      <c r="C58" s="9"/>
      <c r="D58" s="9" t="s">
        <v>308</v>
      </c>
      <c r="E58" s="9"/>
    </row>
    <row r="59" spans="1:5" x14ac:dyDescent="0.25">
      <c r="A59" s="9" t="s">
        <v>248</v>
      </c>
      <c r="B59" s="9" t="s">
        <v>137</v>
      </c>
      <c r="C59" s="9" t="s">
        <v>305</v>
      </c>
      <c r="D59" s="9"/>
      <c r="E5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workbookViewId="0"/>
  </sheetViews>
  <sheetFormatPr defaultRowHeight="15" x14ac:dyDescent="0.25"/>
  <cols>
    <col min="1" max="1" width="64.140625" customWidth="1"/>
    <col min="2" max="2" width="58" customWidth="1"/>
    <col min="3" max="3" width="10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G1" s="3" t="s">
        <v>305</v>
      </c>
      <c r="H1" s="4">
        <f>COUNTIF(C:C,G1)</f>
        <v>49</v>
      </c>
    </row>
    <row r="2" spans="1:8" x14ac:dyDescent="0.25">
      <c r="A2" s="9" t="s">
        <v>138</v>
      </c>
      <c r="B2" s="9" t="s">
        <v>139</v>
      </c>
      <c r="C2" s="9" t="s">
        <v>305</v>
      </c>
      <c r="D2" s="9"/>
      <c r="E2" s="9"/>
      <c r="G2" s="5" t="s">
        <v>306</v>
      </c>
      <c r="H2" s="6">
        <f>COUNTIF(C:C,G2)</f>
        <v>9</v>
      </c>
    </row>
    <row r="3" spans="1:8" ht="15.75" thickBot="1" x14ac:dyDescent="0.3">
      <c r="A3" s="9" t="s">
        <v>140</v>
      </c>
      <c r="B3" s="9" t="s">
        <v>9</v>
      </c>
      <c r="C3" s="9" t="s">
        <v>305</v>
      </c>
      <c r="D3" s="9"/>
      <c r="E3" s="9"/>
      <c r="G3" s="7" t="s">
        <v>307</v>
      </c>
      <c r="H3" s="8">
        <f>H1/SUM(H1:H2)</f>
        <v>0.84482758620689657</v>
      </c>
    </row>
    <row r="4" spans="1:8" x14ac:dyDescent="0.25">
      <c r="A4" s="9" t="s">
        <v>20</v>
      </c>
      <c r="B4" s="9" t="s">
        <v>141</v>
      </c>
      <c r="C4" s="9" t="s">
        <v>305</v>
      </c>
      <c r="D4" s="9"/>
      <c r="E4" s="9"/>
    </row>
    <row r="5" spans="1:8" x14ac:dyDescent="0.25">
      <c r="A5" s="9" t="s">
        <v>142</v>
      </c>
      <c r="B5" s="9" t="s">
        <v>143</v>
      </c>
      <c r="C5" s="9" t="s">
        <v>305</v>
      </c>
      <c r="D5" s="9"/>
      <c r="E5" s="9"/>
    </row>
    <row r="6" spans="1:8" x14ac:dyDescent="0.25">
      <c r="A6" s="9" t="s">
        <v>144</v>
      </c>
      <c r="B6" s="9" t="s">
        <v>143</v>
      </c>
      <c r="C6" s="9" t="s">
        <v>305</v>
      </c>
      <c r="D6" s="9"/>
      <c r="E6" s="9"/>
    </row>
    <row r="7" spans="1:8" x14ac:dyDescent="0.25">
      <c r="A7" s="9" t="s">
        <v>145</v>
      </c>
      <c r="B7" s="9" t="s">
        <v>146</v>
      </c>
      <c r="C7" s="9" t="s">
        <v>305</v>
      </c>
      <c r="D7" s="9"/>
      <c r="E7" s="9"/>
    </row>
    <row r="8" spans="1:8" x14ac:dyDescent="0.25">
      <c r="A8" s="9" t="s">
        <v>147</v>
      </c>
      <c r="B8" s="9" t="s">
        <v>148</v>
      </c>
      <c r="C8" s="9" t="s">
        <v>305</v>
      </c>
      <c r="D8" s="9"/>
      <c r="E8" s="9"/>
    </row>
    <row r="9" spans="1:8" x14ac:dyDescent="0.25">
      <c r="A9" s="9" t="s">
        <v>149</v>
      </c>
      <c r="B9" s="9" t="s">
        <v>150</v>
      </c>
      <c r="C9" s="9" t="s">
        <v>306</v>
      </c>
      <c r="D9" s="9" t="s">
        <v>319</v>
      </c>
      <c r="E9" s="10">
        <v>17542</v>
      </c>
    </row>
    <row r="10" spans="1:8" x14ac:dyDescent="0.25">
      <c r="A10" s="9" t="s">
        <v>151</v>
      </c>
      <c r="B10" s="9" t="s">
        <v>152</v>
      </c>
      <c r="C10" s="9" t="s">
        <v>305</v>
      </c>
      <c r="D10" s="9"/>
      <c r="E10" s="9"/>
    </row>
    <row r="11" spans="1:8" x14ac:dyDescent="0.25">
      <c r="A11" s="9" t="s">
        <v>153</v>
      </c>
      <c r="B11" s="9" t="s">
        <v>154</v>
      </c>
      <c r="C11" s="9" t="s">
        <v>306</v>
      </c>
      <c r="D11" s="9" t="s">
        <v>319</v>
      </c>
      <c r="E11" s="10">
        <v>17542</v>
      </c>
    </row>
    <row r="12" spans="1:8" x14ac:dyDescent="0.25">
      <c r="A12" s="9" t="s">
        <v>18</v>
      </c>
      <c r="B12" s="9" t="s">
        <v>155</v>
      </c>
      <c r="C12" s="9" t="s">
        <v>305</v>
      </c>
      <c r="D12" s="9"/>
      <c r="E12" s="9"/>
    </row>
    <row r="13" spans="1:8" x14ac:dyDescent="0.25">
      <c r="A13" s="9" t="s">
        <v>156</v>
      </c>
      <c r="B13" s="9" t="s">
        <v>157</v>
      </c>
      <c r="C13" s="9" t="s">
        <v>305</v>
      </c>
      <c r="D13" s="9"/>
      <c r="E13" s="9"/>
    </row>
    <row r="14" spans="1:8" x14ac:dyDescent="0.25">
      <c r="A14" s="9" t="s">
        <v>158</v>
      </c>
      <c r="B14" s="9" t="s">
        <v>159</v>
      </c>
      <c r="C14" s="9" t="s">
        <v>306</v>
      </c>
      <c r="D14" s="9" t="s">
        <v>320</v>
      </c>
      <c r="E14" s="10">
        <v>30420</v>
      </c>
    </row>
    <row r="15" spans="1:8" x14ac:dyDescent="0.25">
      <c r="A15" s="9" t="s">
        <v>160</v>
      </c>
      <c r="B15" s="9" t="s">
        <v>161</v>
      </c>
      <c r="C15" s="9" t="s">
        <v>305</v>
      </c>
      <c r="D15" s="9"/>
      <c r="E15" s="9"/>
    </row>
    <row r="16" spans="1:8" x14ac:dyDescent="0.25">
      <c r="A16" s="9" t="s">
        <v>162</v>
      </c>
      <c r="B16" s="9" t="s">
        <v>163</v>
      </c>
      <c r="C16" s="9" t="s">
        <v>305</v>
      </c>
      <c r="D16" s="9"/>
      <c r="E16" s="9"/>
    </row>
    <row r="17" spans="1:5" x14ac:dyDescent="0.25">
      <c r="A17" s="9" t="s">
        <v>164</v>
      </c>
      <c r="B17" s="9" t="s">
        <v>165</v>
      </c>
      <c r="C17" s="9" t="s">
        <v>306</v>
      </c>
      <c r="D17" s="9" t="s">
        <v>146</v>
      </c>
      <c r="E17" s="10">
        <v>30520</v>
      </c>
    </row>
    <row r="18" spans="1:5" x14ac:dyDescent="0.25">
      <c r="A18" s="9" t="s">
        <v>166</v>
      </c>
      <c r="B18" s="9" t="s">
        <v>167</v>
      </c>
      <c r="C18" s="9" t="s">
        <v>305</v>
      </c>
      <c r="D18" s="9"/>
      <c r="E18" s="9"/>
    </row>
    <row r="19" spans="1:5" x14ac:dyDescent="0.25">
      <c r="A19" s="9" t="s">
        <v>168</v>
      </c>
      <c r="B19" s="9" t="s">
        <v>9</v>
      </c>
      <c r="C19" s="9" t="s">
        <v>305</v>
      </c>
      <c r="D19" s="9"/>
      <c r="E19" s="9"/>
    </row>
    <row r="20" spans="1:5" x14ac:dyDescent="0.25">
      <c r="A20" s="9" t="s">
        <v>169</v>
      </c>
      <c r="B20" s="9" t="s">
        <v>88</v>
      </c>
      <c r="C20" s="9" t="s">
        <v>305</v>
      </c>
      <c r="D20" s="9"/>
      <c r="E20" s="9"/>
    </row>
    <row r="21" spans="1:5" x14ac:dyDescent="0.25">
      <c r="A21" s="9" t="s">
        <v>170</v>
      </c>
      <c r="B21" s="9" t="s">
        <v>171</v>
      </c>
      <c r="C21" s="9" t="s">
        <v>305</v>
      </c>
      <c r="D21" s="9"/>
      <c r="E21" s="9"/>
    </row>
    <row r="22" spans="1:5" x14ac:dyDescent="0.25">
      <c r="A22" s="9" t="s">
        <v>172</v>
      </c>
      <c r="B22" s="9" t="s">
        <v>173</v>
      </c>
      <c r="C22" s="9" t="s">
        <v>305</v>
      </c>
      <c r="D22" s="9"/>
      <c r="E22" s="9"/>
    </row>
    <row r="23" spans="1:5" x14ac:dyDescent="0.25">
      <c r="A23" s="9" t="s">
        <v>174</v>
      </c>
      <c r="B23" s="9" t="s">
        <v>175</v>
      </c>
      <c r="C23" s="9" t="s">
        <v>305</v>
      </c>
      <c r="D23" s="9"/>
      <c r="E23" s="9"/>
    </row>
    <row r="24" spans="1:5" x14ac:dyDescent="0.25">
      <c r="A24" s="9" t="s">
        <v>176</v>
      </c>
      <c r="B24" s="9" t="s">
        <v>177</v>
      </c>
      <c r="C24" s="9" t="s">
        <v>305</v>
      </c>
      <c r="D24" s="9"/>
      <c r="E24" s="9"/>
    </row>
    <row r="25" spans="1:5" x14ac:dyDescent="0.25">
      <c r="A25" s="9" t="s">
        <v>178</v>
      </c>
      <c r="B25" s="9" t="s">
        <v>179</v>
      </c>
      <c r="C25" s="9" t="s">
        <v>305</v>
      </c>
      <c r="D25" s="9"/>
      <c r="E25" s="9"/>
    </row>
    <row r="26" spans="1:5" x14ac:dyDescent="0.25">
      <c r="A26" s="9" t="s">
        <v>180</v>
      </c>
      <c r="B26" s="9" t="s">
        <v>181</v>
      </c>
      <c r="C26" s="9" t="s">
        <v>305</v>
      </c>
      <c r="D26" s="9"/>
      <c r="E26" s="9"/>
    </row>
    <row r="27" spans="1:5" x14ac:dyDescent="0.25">
      <c r="A27" s="9" t="s">
        <v>182</v>
      </c>
      <c r="B27" s="9" t="s">
        <v>181</v>
      </c>
      <c r="C27" s="9" t="s">
        <v>305</v>
      </c>
      <c r="D27" s="9"/>
      <c r="E27" s="9"/>
    </row>
    <row r="28" spans="1:5" x14ac:dyDescent="0.25">
      <c r="A28" s="9" t="s">
        <v>183</v>
      </c>
      <c r="B28" s="9" t="s">
        <v>115</v>
      </c>
      <c r="C28" s="9" t="s">
        <v>305</v>
      </c>
      <c r="D28" s="9"/>
      <c r="E28" s="9"/>
    </row>
    <row r="29" spans="1:5" x14ac:dyDescent="0.25">
      <c r="A29" s="9" t="s">
        <v>184</v>
      </c>
      <c r="B29" s="9" t="s">
        <v>185</v>
      </c>
      <c r="C29" s="9" t="s">
        <v>305</v>
      </c>
      <c r="D29" s="9"/>
      <c r="E29" s="9"/>
    </row>
    <row r="30" spans="1:5" x14ac:dyDescent="0.25">
      <c r="A30" s="9" t="s">
        <v>186</v>
      </c>
      <c r="B30" s="9" t="s">
        <v>187</v>
      </c>
      <c r="C30" s="9" t="s">
        <v>305</v>
      </c>
      <c r="D30" s="9"/>
      <c r="E30" s="9"/>
    </row>
    <row r="31" spans="1:5" x14ac:dyDescent="0.25">
      <c r="A31" s="9" t="s">
        <v>188</v>
      </c>
      <c r="B31" s="9" t="s">
        <v>189</v>
      </c>
      <c r="C31" s="9" t="s">
        <v>305</v>
      </c>
      <c r="D31" s="9"/>
      <c r="E31" s="9"/>
    </row>
    <row r="32" spans="1:5" x14ac:dyDescent="0.25">
      <c r="A32" s="9" t="s">
        <v>190</v>
      </c>
      <c r="B32" s="9" t="s">
        <v>9</v>
      </c>
      <c r="C32" s="9" t="s">
        <v>305</v>
      </c>
      <c r="D32" s="9"/>
      <c r="E32" s="9"/>
    </row>
    <row r="33" spans="1:5" x14ac:dyDescent="0.25">
      <c r="A33" s="9" t="s">
        <v>191</v>
      </c>
      <c r="B33" s="9" t="s">
        <v>192</v>
      </c>
      <c r="C33" s="9" t="s">
        <v>305</v>
      </c>
      <c r="D33" s="9"/>
      <c r="E33" s="9"/>
    </row>
    <row r="34" spans="1:5" x14ac:dyDescent="0.25">
      <c r="A34" s="9" t="s">
        <v>193</v>
      </c>
      <c r="B34" s="9" t="s">
        <v>194</v>
      </c>
      <c r="C34" s="9" t="s">
        <v>305</v>
      </c>
      <c r="D34" s="9"/>
      <c r="E34" s="9"/>
    </row>
    <row r="35" spans="1:5" x14ac:dyDescent="0.25">
      <c r="A35" s="9" t="s">
        <v>195</v>
      </c>
      <c r="B35" s="9" t="s">
        <v>196</v>
      </c>
      <c r="C35" s="9" t="s">
        <v>306</v>
      </c>
      <c r="D35" s="9" t="s">
        <v>200</v>
      </c>
      <c r="E35" s="10">
        <v>17557</v>
      </c>
    </row>
    <row r="36" spans="1:5" x14ac:dyDescent="0.25">
      <c r="A36" s="9" t="s">
        <v>197</v>
      </c>
      <c r="B36" s="9" t="s">
        <v>198</v>
      </c>
      <c r="C36" s="11" t="s">
        <v>305</v>
      </c>
      <c r="D36" s="9"/>
      <c r="E36" s="9"/>
    </row>
    <row r="37" spans="1:5" x14ac:dyDescent="0.25">
      <c r="A37" s="9" t="s">
        <v>199</v>
      </c>
      <c r="B37" s="9" t="s">
        <v>200</v>
      </c>
      <c r="C37" s="9" t="s">
        <v>305</v>
      </c>
      <c r="D37" s="9"/>
      <c r="E37" s="9"/>
    </row>
    <row r="38" spans="1:5" x14ac:dyDescent="0.25">
      <c r="A38" s="9" t="s">
        <v>201</v>
      </c>
      <c r="B38" s="9" t="s">
        <v>202</v>
      </c>
      <c r="C38" s="9" t="s">
        <v>305</v>
      </c>
      <c r="D38" s="9"/>
      <c r="E38" s="9"/>
    </row>
    <row r="39" spans="1:5" x14ac:dyDescent="0.25">
      <c r="A39" s="9" t="s">
        <v>153</v>
      </c>
      <c r="B39" s="9" t="s">
        <v>154</v>
      </c>
      <c r="C39" s="9" t="s">
        <v>306</v>
      </c>
      <c r="D39" s="9" t="s">
        <v>321</v>
      </c>
      <c r="E39" s="10">
        <v>17545</v>
      </c>
    </row>
    <row r="40" spans="1:5" x14ac:dyDescent="0.25">
      <c r="A40" s="9" t="s">
        <v>203</v>
      </c>
      <c r="B40" s="9" t="s">
        <v>204</v>
      </c>
      <c r="C40" s="9" t="s">
        <v>305</v>
      </c>
      <c r="D40" s="9"/>
      <c r="E40" s="9"/>
    </row>
    <row r="41" spans="1:5" x14ac:dyDescent="0.25">
      <c r="A41" s="9" t="s">
        <v>205</v>
      </c>
      <c r="B41" s="9" t="s">
        <v>161</v>
      </c>
      <c r="C41" s="9" t="s">
        <v>306</v>
      </c>
      <c r="D41" s="9" t="s">
        <v>323</v>
      </c>
      <c r="E41" s="10">
        <v>30457</v>
      </c>
    </row>
    <row r="42" spans="1:5" x14ac:dyDescent="0.25">
      <c r="A42" s="9" t="s">
        <v>206</v>
      </c>
      <c r="B42" s="9" t="s">
        <v>148</v>
      </c>
      <c r="C42" s="9" t="s">
        <v>305</v>
      </c>
      <c r="D42" s="9"/>
      <c r="E42" s="9"/>
    </row>
    <row r="43" spans="1:5" x14ac:dyDescent="0.25">
      <c r="A43" s="9" t="s">
        <v>207</v>
      </c>
      <c r="B43" s="9" t="s">
        <v>208</v>
      </c>
      <c r="C43" s="9" t="s">
        <v>305</v>
      </c>
      <c r="D43" s="9"/>
      <c r="E43" s="9"/>
    </row>
    <row r="44" spans="1:5" x14ac:dyDescent="0.25">
      <c r="A44" s="9" t="s">
        <v>209</v>
      </c>
      <c r="B44" s="9" t="s">
        <v>210</v>
      </c>
      <c r="C44" s="9" t="s">
        <v>305</v>
      </c>
      <c r="D44" s="9"/>
      <c r="E44" s="9"/>
    </row>
    <row r="45" spans="1:5" x14ac:dyDescent="0.25">
      <c r="A45" s="9" t="s">
        <v>211</v>
      </c>
      <c r="B45" s="9" t="s">
        <v>9</v>
      </c>
      <c r="C45" s="9" t="s">
        <v>305</v>
      </c>
      <c r="D45" s="9"/>
      <c r="E45" s="9"/>
    </row>
    <row r="46" spans="1:5" x14ac:dyDescent="0.25">
      <c r="A46" s="9" t="s">
        <v>212</v>
      </c>
      <c r="B46" s="9" t="s">
        <v>213</v>
      </c>
      <c r="C46" s="9" t="s">
        <v>305</v>
      </c>
      <c r="D46" s="9"/>
      <c r="E46" s="9"/>
    </row>
    <row r="47" spans="1:5" x14ac:dyDescent="0.25">
      <c r="A47" s="9" t="s">
        <v>214</v>
      </c>
      <c r="B47" s="9" t="s">
        <v>213</v>
      </c>
      <c r="C47" s="9" t="s">
        <v>306</v>
      </c>
      <c r="D47" s="9" t="s">
        <v>322</v>
      </c>
      <c r="E47" s="10">
        <v>30666</v>
      </c>
    </row>
    <row r="48" spans="1:5" x14ac:dyDescent="0.25">
      <c r="A48" s="9" t="s">
        <v>215</v>
      </c>
      <c r="B48" s="9" t="s">
        <v>216</v>
      </c>
      <c r="C48" s="9" t="s">
        <v>305</v>
      </c>
      <c r="D48" s="9"/>
      <c r="E48" s="9"/>
    </row>
    <row r="49" spans="1:5" x14ac:dyDescent="0.25">
      <c r="A49" s="9" t="s">
        <v>217</v>
      </c>
      <c r="B49" s="9" t="s">
        <v>218</v>
      </c>
      <c r="C49" s="9" t="s">
        <v>305</v>
      </c>
      <c r="D49" s="9"/>
      <c r="E49" s="9"/>
    </row>
    <row r="50" spans="1:5" x14ac:dyDescent="0.25">
      <c r="A50" s="9" t="s">
        <v>219</v>
      </c>
      <c r="B50" s="9" t="s">
        <v>220</v>
      </c>
      <c r="C50" s="9" t="s">
        <v>305</v>
      </c>
      <c r="D50" s="9"/>
      <c r="E50" s="9"/>
    </row>
    <row r="51" spans="1:5" x14ac:dyDescent="0.25">
      <c r="A51" s="9" t="s">
        <v>221</v>
      </c>
      <c r="B51" s="9" t="s">
        <v>222</v>
      </c>
      <c r="C51" s="9" t="s">
        <v>306</v>
      </c>
      <c r="D51" s="9" t="s">
        <v>330</v>
      </c>
      <c r="E51" s="10">
        <v>30659</v>
      </c>
    </row>
    <row r="52" spans="1:5" x14ac:dyDescent="0.25">
      <c r="A52" s="9" t="s">
        <v>223</v>
      </c>
      <c r="B52" s="9" t="s">
        <v>224</v>
      </c>
      <c r="C52" s="9" t="s">
        <v>305</v>
      </c>
      <c r="D52" s="9"/>
      <c r="E52" s="9"/>
    </row>
    <row r="53" spans="1:5" x14ac:dyDescent="0.25">
      <c r="A53" s="9" t="s">
        <v>225</v>
      </c>
      <c r="B53" s="9" t="s">
        <v>226</v>
      </c>
      <c r="C53" s="9" t="s">
        <v>305</v>
      </c>
      <c r="D53" s="9"/>
      <c r="E53" s="9"/>
    </row>
    <row r="54" spans="1:5" x14ac:dyDescent="0.25">
      <c r="A54" s="9" t="s">
        <v>227</v>
      </c>
      <c r="B54" s="9" t="s">
        <v>226</v>
      </c>
      <c r="C54" s="9" t="s">
        <v>305</v>
      </c>
      <c r="D54" s="9"/>
      <c r="E54" s="9"/>
    </row>
    <row r="55" spans="1:5" x14ac:dyDescent="0.25">
      <c r="A55" s="9" t="s">
        <v>228</v>
      </c>
      <c r="B55" s="9" t="s">
        <v>229</v>
      </c>
      <c r="C55" s="9" t="s">
        <v>305</v>
      </c>
      <c r="D55" s="9"/>
      <c r="E55" s="9"/>
    </row>
    <row r="56" spans="1:5" x14ac:dyDescent="0.25">
      <c r="A56" s="9" t="s">
        <v>230</v>
      </c>
      <c r="B56" s="9" t="s">
        <v>231</v>
      </c>
      <c r="C56" s="11" t="s">
        <v>305</v>
      </c>
      <c r="D56" s="9"/>
      <c r="E56" s="9"/>
    </row>
    <row r="57" spans="1:5" x14ac:dyDescent="0.25">
      <c r="A57" s="9" t="s">
        <v>232</v>
      </c>
      <c r="B57" s="9" t="s">
        <v>233</v>
      </c>
      <c r="C57" s="9" t="s">
        <v>305</v>
      </c>
      <c r="D57" s="9"/>
      <c r="E57" s="9"/>
    </row>
    <row r="58" spans="1:5" x14ac:dyDescent="0.25">
      <c r="A58" s="9" t="s">
        <v>234</v>
      </c>
      <c r="B58" s="9" t="s">
        <v>235</v>
      </c>
      <c r="C58" s="9" t="s">
        <v>305</v>
      </c>
      <c r="D58" s="9"/>
      <c r="E58" s="9"/>
    </row>
    <row r="59" spans="1:5" x14ac:dyDescent="0.25">
      <c r="A59" s="9" t="s">
        <v>236</v>
      </c>
      <c r="B59" s="9" t="s">
        <v>237</v>
      </c>
      <c r="C59" s="9" t="s">
        <v>305</v>
      </c>
      <c r="D59" s="9"/>
      <c r="E5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4"/>
  <sheetViews>
    <sheetView workbookViewId="0"/>
  </sheetViews>
  <sheetFormatPr defaultRowHeight="15" x14ac:dyDescent="0.25"/>
  <cols>
    <col min="1" max="1" width="58.140625" customWidth="1"/>
    <col min="2" max="2" width="60.7109375" customWidth="1"/>
    <col min="3" max="3" width="10.5703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G1" s="3" t="s">
        <v>305</v>
      </c>
      <c r="H1" s="4">
        <f>COUNTIF(C:C,G1)</f>
        <v>51</v>
      </c>
    </row>
    <row r="2" spans="1:8" x14ac:dyDescent="0.25">
      <c r="A2" s="9" t="s">
        <v>138</v>
      </c>
      <c r="B2" s="9" t="s">
        <v>139</v>
      </c>
      <c r="C2" s="9" t="s">
        <v>305</v>
      </c>
      <c r="D2" s="9"/>
      <c r="E2" s="9"/>
      <c r="G2" s="5" t="s">
        <v>306</v>
      </c>
      <c r="H2" s="6">
        <f>COUNTIF(C:C,G2)</f>
        <v>12</v>
      </c>
    </row>
    <row r="3" spans="1:8" ht="15.75" thickBot="1" x14ac:dyDescent="0.3">
      <c r="A3" s="9" t="s">
        <v>249</v>
      </c>
      <c r="B3" s="9" t="s">
        <v>9</v>
      </c>
      <c r="C3" s="9" t="s">
        <v>305</v>
      </c>
      <c r="D3" s="9"/>
      <c r="E3" s="9"/>
      <c r="G3" s="7" t="s">
        <v>307</v>
      </c>
      <c r="H3" s="8">
        <f>H1/SUM(H1:H2)</f>
        <v>0.80952380952380953</v>
      </c>
    </row>
    <row r="4" spans="1:8" x14ac:dyDescent="0.25">
      <c r="A4" s="9" t="s">
        <v>20</v>
      </c>
      <c r="B4" s="9" t="s">
        <v>141</v>
      </c>
      <c r="C4" s="9" t="s">
        <v>305</v>
      </c>
      <c r="D4" s="9"/>
      <c r="E4" s="9"/>
    </row>
    <row r="5" spans="1:8" x14ac:dyDescent="0.25">
      <c r="A5" s="9" t="s">
        <v>142</v>
      </c>
      <c r="B5" s="9" t="s">
        <v>143</v>
      </c>
      <c r="C5" s="9" t="s">
        <v>305</v>
      </c>
      <c r="D5" s="9"/>
      <c r="E5" s="9"/>
    </row>
    <row r="6" spans="1:8" x14ac:dyDescent="0.25">
      <c r="A6" s="9" t="s">
        <v>144</v>
      </c>
      <c r="B6" s="9" t="s">
        <v>143</v>
      </c>
      <c r="C6" s="9" t="s">
        <v>305</v>
      </c>
      <c r="D6" s="9"/>
      <c r="E6" s="9"/>
    </row>
    <row r="7" spans="1:8" x14ac:dyDescent="0.25">
      <c r="A7" s="9" t="s">
        <v>250</v>
      </c>
      <c r="B7" s="9" t="s">
        <v>146</v>
      </c>
      <c r="C7" s="9" t="s">
        <v>305</v>
      </c>
      <c r="D7" s="9"/>
      <c r="E7" s="9"/>
    </row>
    <row r="8" spans="1:8" x14ac:dyDescent="0.25">
      <c r="A8" s="9" t="s">
        <v>251</v>
      </c>
      <c r="B8" s="9" t="s">
        <v>150</v>
      </c>
      <c r="C8" s="9" t="s">
        <v>305</v>
      </c>
      <c r="D8" s="9"/>
      <c r="E8" s="9"/>
    </row>
    <row r="9" spans="1:8" x14ac:dyDescent="0.25">
      <c r="A9" s="9" t="s">
        <v>252</v>
      </c>
      <c r="B9" s="9" t="s">
        <v>200</v>
      </c>
      <c r="C9" s="9" t="s">
        <v>306</v>
      </c>
      <c r="D9" s="9" t="s">
        <v>319</v>
      </c>
      <c r="E9" s="10">
        <v>17542</v>
      </c>
    </row>
    <row r="10" spans="1:8" x14ac:dyDescent="0.25">
      <c r="A10" s="9" t="s">
        <v>253</v>
      </c>
      <c r="B10" s="9" t="s">
        <v>152</v>
      </c>
      <c r="C10" s="9" t="s">
        <v>305</v>
      </c>
      <c r="D10" s="9"/>
      <c r="E10" s="9"/>
    </row>
    <row r="11" spans="1:8" x14ac:dyDescent="0.25">
      <c r="A11" s="9" t="s">
        <v>153</v>
      </c>
      <c r="B11" s="9" t="s">
        <v>154</v>
      </c>
      <c r="C11" s="9" t="s">
        <v>306</v>
      </c>
      <c r="D11" s="9" t="s">
        <v>319</v>
      </c>
      <c r="E11" s="10">
        <v>17542</v>
      </c>
    </row>
    <row r="12" spans="1:8" x14ac:dyDescent="0.25">
      <c r="A12" s="9" t="s">
        <v>18</v>
      </c>
      <c r="B12" s="9" t="s">
        <v>155</v>
      </c>
      <c r="C12" s="9" t="s">
        <v>305</v>
      </c>
      <c r="D12" s="9"/>
      <c r="E12" s="9"/>
    </row>
    <row r="13" spans="1:8" x14ac:dyDescent="0.25">
      <c r="A13" s="9" t="s">
        <v>156</v>
      </c>
      <c r="B13" s="9" t="s">
        <v>157</v>
      </c>
      <c r="C13" s="9" t="s">
        <v>305</v>
      </c>
      <c r="D13" s="9"/>
      <c r="E13" s="9"/>
    </row>
    <row r="14" spans="1:8" x14ac:dyDescent="0.25">
      <c r="A14" s="9" t="s">
        <v>158</v>
      </c>
      <c r="B14" s="9" t="s">
        <v>159</v>
      </c>
      <c r="C14" s="9" t="s">
        <v>306</v>
      </c>
      <c r="D14" s="9" t="s">
        <v>320</v>
      </c>
      <c r="E14" s="10">
        <v>30420</v>
      </c>
    </row>
    <row r="15" spans="1:8" x14ac:dyDescent="0.25">
      <c r="A15" s="9" t="s">
        <v>254</v>
      </c>
      <c r="B15" s="9" t="s">
        <v>173</v>
      </c>
      <c r="C15" s="9" t="s">
        <v>306</v>
      </c>
      <c r="D15" s="9" t="s">
        <v>319</v>
      </c>
      <c r="E15" s="10">
        <v>17542</v>
      </c>
    </row>
    <row r="16" spans="1:8" x14ac:dyDescent="0.25">
      <c r="A16" s="9" t="s">
        <v>160</v>
      </c>
      <c r="B16" s="9" t="s">
        <v>161</v>
      </c>
      <c r="C16" s="9" t="s">
        <v>305</v>
      </c>
      <c r="D16" s="9"/>
      <c r="E16" s="9"/>
    </row>
    <row r="17" spans="1:5" x14ac:dyDescent="0.25">
      <c r="A17" s="9" t="s">
        <v>162</v>
      </c>
      <c r="B17" s="9" t="s">
        <v>163</v>
      </c>
      <c r="C17" s="9" t="s">
        <v>305</v>
      </c>
      <c r="D17" s="9"/>
      <c r="E17" s="9"/>
    </row>
    <row r="18" spans="1:5" x14ac:dyDescent="0.25">
      <c r="A18" s="9" t="s">
        <v>164</v>
      </c>
      <c r="B18" s="9" t="s">
        <v>165</v>
      </c>
      <c r="C18" s="9" t="s">
        <v>306</v>
      </c>
      <c r="D18" s="9" t="s">
        <v>146</v>
      </c>
      <c r="E18" s="10">
        <v>30520</v>
      </c>
    </row>
    <row r="19" spans="1:5" x14ac:dyDescent="0.25">
      <c r="A19" s="9" t="s">
        <v>166</v>
      </c>
      <c r="B19" s="9" t="s">
        <v>167</v>
      </c>
      <c r="C19" s="9" t="s">
        <v>305</v>
      </c>
      <c r="D19" s="9"/>
      <c r="E19" s="9"/>
    </row>
    <row r="20" spans="1:5" x14ac:dyDescent="0.25">
      <c r="A20" s="9" t="s">
        <v>168</v>
      </c>
      <c r="B20" s="9" t="s">
        <v>9</v>
      </c>
      <c r="C20" s="9" t="s">
        <v>305</v>
      </c>
      <c r="D20" s="9"/>
      <c r="E20" s="9"/>
    </row>
    <row r="21" spans="1:5" x14ac:dyDescent="0.25">
      <c r="A21" s="9" t="s">
        <v>169</v>
      </c>
      <c r="B21" s="9" t="s">
        <v>88</v>
      </c>
      <c r="C21" s="9" t="s">
        <v>305</v>
      </c>
      <c r="D21" s="9"/>
      <c r="E21" s="9"/>
    </row>
    <row r="22" spans="1:5" x14ac:dyDescent="0.25">
      <c r="A22" s="9" t="s">
        <v>170</v>
      </c>
      <c r="B22" s="9" t="s">
        <v>171</v>
      </c>
      <c r="C22" s="9" t="s">
        <v>305</v>
      </c>
      <c r="D22" s="9"/>
      <c r="E22" s="9"/>
    </row>
    <row r="23" spans="1:5" x14ac:dyDescent="0.25">
      <c r="A23" s="9" t="s">
        <v>172</v>
      </c>
      <c r="B23" s="9" t="s">
        <v>173</v>
      </c>
      <c r="C23" s="9" t="s">
        <v>305</v>
      </c>
      <c r="D23" s="9"/>
      <c r="E23" s="9"/>
    </row>
    <row r="24" spans="1:5" x14ac:dyDescent="0.25">
      <c r="A24" s="9" t="s">
        <v>174</v>
      </c>
      <c r="B24" s="9" t="s">
        <v>175</v>
      </c>
      <c r="C24" s="9" t="s">
        <v>305</v>
      </c>
      <c r="D24" s="9"/>
      <c r="E24" s="9"/>
    </row>
    <row r="25" spans="1:5" x14ac:dyDescent="0.25">
      <c r="A25" s="9" t="s">
        <v>255</v>
      </c>
      <c r="B25" s="9" t="s">
        <v>177</v>
      </c>
      <c r="C25" s="9" t="s">
        <v>305</v>
      </c>
      <c r="D25" s="9"/>
      <c r="E25" s="9"/>
    </row>
    <row r="26" spans="1:5" x14ac:dyDescent="0.25">
      <c r="A26" s="9" t="s">
        <v>256</v>
      </c>
      <c r="B26" s="9" t="s">
        <v>179</v>
      </c>
      <c r="C26" s="9" t="s">
        <v>305</v>
      </c>
      <c r="D26" s="9"/>
      <c r="E26" s="9"/>
    </row>
    <row r="27" spans="1:5" x14ac:dyDescent="0.25">
      <c r="A27" s="9" t="s">
        <v>257</v>
      </c>
      <c r="B27" s="9" t="s">
        <v>181</v>
      </c>
      <c r="C27" s="9" t="s">
        <v>305</v>
      </c>
      <c r="D27" s="9"/>
      <c r="E27" s="9"/>
    </row>
    <row r="28" spans="1:5" x14ac:dyDescent="0.25">
      <c r="A28" s="9" t="s">
        <v>258</v>
      </c>
      <c r="B28" s="9" t="s">
        <v>181</v>
      </c>
      <c r="C28" s="9" t="s">
        <v>305</v>
      </c>
      <c r="D28" s="9"/>
      <c r="E28" s="9"/>
    </row>
    <row r="29" spans="1:5" x14ac:dyDescent="0.25">
      <c r="A29" s="9" t="s">
        <v>259</v>
      </c>
      <c r="B29" s="9" t="s">
        <v>115</v>
      </c>
      <c r="C29" s="9" t="s">
        <v>305</v>
      </c>
      <c r="D29" s="9"/>
      <c r="E29" s="9"/>
    </row>
    <row r="30" spans="1:5" x14ac:dyDescent="0.25">
      <c r="A30" s="9" t="s">
        <v>184</v>
      </c>
      <c r="B30" s="9" t="s">
        <v>185</v>
      </c>
      <c r="C30" s="9" t="s">
        <v>305</v>
      </c>
      <c r="D30" s="9"/>
      <c r="E30" s="9"/>
    </row>
    <row r="31" spans="1:5" x14ac:dyDescent="0.25">
      <c r="A31" s="9" t="s">
        <v>186</v>
      </c>
      <c r="B31" s="9" t="s">
        <v>187</v>
      </c>
      <c r="C31" s="9" t="s">
        <v>305</v>
      </c>
      <c r="D31" s="9"/>
      <c r="E31" s="9"/>
    </row>
    <row r="32" spans="1:5" x14ac:dyDescent="0.25">
      <c r="A32" s="9" t="s">
        <v>260</v>
      </c>
      <c r="B32" s="9" t="s">
        <v>189</v>
      </c>
      <c r="C32" s="9" t="s">
        <v>305</v>
      </c>
      <c r="D32" s="9"/>
      <c r="E32" s="9"/>
    </row>
    <row r="33" spans="1:5" x14ac:dyDescent="0.25">
      <c r="A33" s="9" t="s">
        <v>190</v>
      </c>
      <c r="B33" s="9" t="s">
        <v>9</v>
      </c>
      <c r="C33" s="9" t="s">
        <v>305</v>
      </c>
      <c r="D33" s="9"/>
      <c r="E33" s="9"/>
    </row>
    <row r="34" spans="1:5" x14ac:dyDescent="0.25">
      <c r="A34" s="9" t="s">
        <v>191</v>
      </c>
      <c r="B34" s="9" t="s">
        <v>192</v>
      </c>
      <c r="C34" s="9" t="s">
        <v>305</v>
      </c>
      <c r="D34" s="9"/>
      <c r="E34" s="9"/>
    </row>
    <row r="35" spans="1:5" x14ac:dyDescent="0.25">
      <c r="A35" s="9" t="s">
        <v>261</v>
      </c>
      <c r="B35" s="9" t="s">
        <v>262</v>
      </c>
      <c r="C35" s="9" t="s">
        <v>306</v>
      </c>
      <c r="D35" s="9" t="s">
        <v>194</v>
      </c>
      <c r="E35" s="10">
        <v>30662</v>
      </c>
    </row>
    <row r="36" spans="1:5" x14ac:dyDescent="0.25">
      <c r="A36" s="9" t="s">
        <v>263</v>
      </c>
      <c r="B36" s="9" t="s">
        <v>200</v>
      </c>
      <c r="C36" s="9" t="s">
        <v>305</v>
      </c>
      <c r="D36" s="9"/>
      <c r="E36" s="9"/>
    </row>
    <row r="37" spans="1:5" x14ac:dyDescent="0.25">
      <c r="A37" s="9" t="s">
        <v>264</v>
      </c>
      <c r="B37" s="9" t="s">
        <v>200</v>
      </c>
      <c r="C37" s="9" t="s">
        <v>306</v>
      </c>
      <c r="D37" s="9" t="s">
        <v>324</v>
      </c>
      <c r="E37" s="10">
        <v>30516</v>
      </c>
    </row>
    <row r="38" spans="1:5" x14ac:dyDescent="0.25">
      <c r="A38" s="9" t="s">
        <v>199</v>
      </c>
      <c r="B38" s="9" t="s">
        <v>200</v>
      </c>
      <c r="C38" s="9" t="s">
        <v>305</v>
      </c>
      <c r="D38" s="9"/>
      <c r="E38" s="9"/>
    </row>
    <row r="39" spans="1:5" x14ac:dyDescent="0.25">
      <c r="A39" s="9" t="s">
        <v>265</v>
      </c>
      <c r="B39" s="9" t="s">
        <v>198</v>
      </c>
      <c r="C39" s="9" t="s">
        <v>305</v>
      </c>
      <c r="D39" s="9"/>
      <c r="E39" s="9"/>
    </row>
    <row r="40" spans="1:5" x14ac:dyDescent="0.25">
      <c r="A40" s="9" t="s">
        <v>266</v>
      </c>
      <c r="B40" s="9" t="s">
        <v>165</v>
      </c>
      <c r="C40" s="9" t="s">
        <v>306</v>
      </c>
      <c r="D40" s="9" t="s">
        <v>325</v>
      </c>
      <c r="E40" s="10">
        <v>30476</v>
      </c>
    </row>
    <row r="41" spans="1:5" x14ac:dyDescent="0.25">
      <c r="A41" s="9" t="s">
        <v>201</v>
      </c>
      <c r="B41" s="9" t="s">
        <v>202</v>
      </c>
      <c r="C41" s="9" t="s">
        <v>305</v>
      </c>
      <c r="D41" s="9"/>
      <c r="E41" s="9"/>
    </row>
    <row r="42" spans="1:5" x14ac:dyDescent="0.25">
      <c r="A42" s="9" t="s">
        <v>153</v>
      </c>
      <c r="B42" s="9" t="s">
        <v>154</v>
      </c>
      <c r="C42" s="9" t="s">
        <v>306</v>
      </c>
      <c r="D42" s="9" t="s">
        <v>321</v>
      </c>
      <c r="E42" s="10">
        <v>17545</v>
      </c>
    </row>
    <row r="43" spans="1:5" x14ac:dyDescent="0.25">
      <c r="A43" s="9" t="s">
        <v>267</v>
      </c>
      <c r="B43" s="9" t="s">
        <v>192</v>
      </c>
      <c r="C43" s="9" t="s">
        <v>306</v>
      </c>
      <c r="D43" s="9" t="s">
        <v>202</v>
      </c>
      <c r="E43" s="10">
        <v>17772</v>
      </c>
    </row>
    <row r="44" spans="1:5" x14ac:dyDescent="0.25">
      <c r="A44" s="9" t="s">
        <v>203</v>
      </c>
      <c r="B44" s="9" t="s">
        <v>204</v>
      </c>
      <c r="C44" s="9" t="s">
        <v>305</v>
      </c>
      <c r="D44" s="9"/>
      <c r="E44" s="9"/>
    </row>
    <row r="45" spans="1:5" x14ac:dyDescent="0.25">
      <c r="A45" s="9" t="s">
        <v>268</v>
      </c>
      <c r="B45" s="9" t="s">
        <v>148</v>
      </c>
      <c r="C45" s="9" t="s">
        <v>305</v>
      </c>
      <c r="D45" s="9"/>
      <c r="E45" s="9"/>
    </row>
    <row r="46" spans="1:5" x14ac:dyDescent="0.25">
      <c r="A46" s="9" t="s">
        <v>207</v>
      </c>
      <c r="B46" s="9" t="s">
        <v>208</v>
      </c>
      <c r="C46" s="9" t="s">
        <v>305</v>
      </c>
      <c r="D46" s="9"/>
      <c r="E46" s="9"/>
    </row>
    <row r="47" spans="1:5" x14ac:dyDescent="0.25">
      <c r="A47" s="9" t="s">
        <v>209</v>
      </c>
      <c r="B47" s="9" t="s">
        <v>210</v>
      </c>
      <c r="C47" s="9" t="s">
        <v>305</v>
      </c>
      <c r="D47" s="9"/>
      <c r="E47" s="9"/>
    </row>
    <row r="48" spans="1:5" x14ac:dyDescent="0.25">
      <c r="A48" s="9" t="s">
        <v>211</v>
      </c>
      <c r="B48" s="9" t="s">
        <v>9</v>
      </c>
      <c r="C48" s="9" t="s">
        <v>305</v>
      </c>
      <c r="D48" s="9"/>
      <c r="E48" s="9"/>
    </row>
    <row r="49" spans="1:5" x14ac:dyDescent="0.25">
      <c r="A49" s="9" t="s">
        <v>212</v>
      </c>
      <c r="B49" s="9" t="s">
        <v>213</v>
      </c>
      <c r="C49" s="9" t="s">
        <v>305</v>
      </c>
      <c r="D49" s="9"/>
      <c r="E49" s="9"/>
    </row>
    <row r="50" spans="1:5" x14ac:dyDescent="0.25">
      <c r="A50" s="9" t="s">
        <v>214</v>
      </c>
      <c r="B50" s="9" t="s">
        <v>213</v>
      </c>
      <c r="C50" s="9" t="s">
        <v>306</v>
      </c>
      <c r="D50" s="9" t="s">
        <v>322</v>
      </c>
      <c r="E50" s="10">
        <v>30666</v>
      </c>
    </row>
    <row r="51" spans="1:5" x14ac:dyDescent="0.25">
      <c r="A51" s="9" t="s">
        <v>215</v>
      </c>
      <c r="B51" s="9" t="s">
        <v>216</v>
      </c>
      <c r="C51" s="9" t="s">
        <v>305</v>
      </c>
      <c r="D51" s="9"/>
      <c r="E51" s="9"/>
    </row>
    <row r="52" spans="1:5" x14ac:dyDescent="0.25">
      <c r="A52" s="9" t="s">
        <v>269</v>
      </c>
      <c r="B52" s="9" t="s">
        <v>222</v>
      </c>
      <c r="C52" s="9" t="s">
        <v>305</v>
      </c>
      <c r="D52" s="9"/>
      <c r="E52" s="9"/>
    </row>
    <row r="53" spans="1:5" x14ac:dyDescent="0.25">
      <c r="A53" s="9" t="s">
        <v>217</v>
      </c>
      <c r="B53" s="9" t="s">
        <v>218</v>
      </c>
      <c r="C53" s="9" t="s">
        <v>305</v>
      </c>
      <c r="D53" s="9"/>
      <c r="E53" s="9"/>
    </row>
    <row r="54" spans="1:5" x14ac:dyDescent="0.25">
      <c r="A54" s="9" t="s">
        <v>219</v>
      </c>
      <c r="B54" s="9" t="s">
        <v>220</v>
      </c>
      <c r="C54" s="9" t="s">
        <v>305</v>
      </c>
      <c r="D54" s="9"/>
      <c r="E54" s="9"/>
    </row>
    <row r="55" spans="1:5" x14ac:dyDescent="0.25">
      <c r="A55" s="9" t="s">
        <v>223</v>
      </c>
      <c r="B55" s="9" t="s">
        <v>224</v>
      </c>
      <c r="C55" s="9" t="s">
        <v>305</v>
      </c>
      <c r="D55" s="9"/>
      <c r="E55" s="9"/>
    </row>
    <row r="56" spans="1:5" x14ac:dyDescent="0.25">
      <c r="A56" s="9" t="s">
        <v>225</v>
      </c>
      <c r="B56" s="9" t="s">
        <v>226</v>
      </c>
      <c r="C56" s="9" t="s">
        <v>305</v>
      </c>
      <c r="D56" s="9"/>
      <c r="E56" s="9"/>
    </row>
    <row r="57" spans="1:5" x14ac:dyDescent="0.25">
      <c r="A57" s="9" t="s">
        <v>227</v>
      </c>
      <c r="B57" s="9" t="s">
        <v>226</v>
      </c>
      <c r="C57" s="9" t="s">
        <v>305</v>
      </c>
      <c r="D57" s="9"/>
      <c r="E57" s="9"/>
    </row>
    <row r="58" spans="1:5" x14ac:dyDescent="0.25">
      <c r="A58" s="9" t="s">
        <v>270</v>
      </c>
      <c r="B58" s="9" t="s">
        <v>229</v>
      </c>
      <c r="C58" s="9" t="s">
        <v>305</v>
      </c>
      <c r="D58" s="9"/>
      <c r="E58" s="9"/>
    </row>
    <row r="59" spans="1:5" x14ac:dyDescent="0.25">
      <c r="A59" s="9" t="s">
        <v>271</v>
      </c>
      <c r="B59" s="9" t="s">
        <v>231</v>
      </c>
      <c r="C59" s="9" t="s">
        <v>305</v>
      </c>
      <c r="D59" s="9"/>
      <c r="E59" s="9"/>
    </row>
    <row r="60" spans="1:5" x14ac:dyDescent="0.25">
      <c r="A60" s="9" t="s">
        <v>272</v>
      </c>
      <c r="B60" s="9" t="s">
        <v>233</v>
      </c>
      <c r="C60" s="9" t="s">
        <v>306</v>
      </c>
      <c r="D60" s="2" t="s">
        <v>331</v>
      </c>
      <c r="E60" s="12">
        <v>30458</v>
      </c>
    </row>
    <row r="61" spans="1:5" x14ac:dyDescent="0.25">
      <c r="A61" s="9" t="s">
        <v>273</v>
      </c>
      <c r="B61" s="9" t="s">
        <v>235</v>
      </c>
      <c r="C61" s="9" t="s">
        <v>305</v>
      </c>
      <c r="D61" s="9"/>
      <c r="E61" s="9"/>
    </row>
    <row r="62" spans="1:5" x14ac:dyDescent="0.25">
      <c r="A62" s="9" t="s">
        <v>274</v>
      </c>
      <c r="B62" s="9" t="s">
        <v>275</v>
      </c>
      <c r="C62" s="9" t="s">
        <v>305</v>
      </c>
      <c r="D62" s="9"/>
      <c r="E62" s="9"/>
    </row>
    <row r="63" spans="1:5" x14ac:dyDescent="0.25">
      <c r="A63" s="9" t="s">
        <v>276</v>
      </c>
      <c r="B63" s="9" t="s">
        <v>277</v>
      </c>
      <c r="C63" s="9" t="s">
        <v>305</v>
      </c>
      <c r="D63" s="9"/>
      <c r="E63" s="9"/>
    </row>
    <row r="64" spans="1:5" x14ac:dyDescent="0.25">
      <c r="A64" s="9" t="s">
        <v>278</v>
      </c>
      <c r="B64" s="9" t="s">
        <v>237</v>
      </c>
      <c r="C64" s="9" t="s">
        <v>305</v>
      </c>
      <c r="D64" s="9"/>
      <c r="E6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2026-03-24T15:01:58Z</dcterms:created>
  <dcterms:modified xsi:type="dcterms:W3CDTF">2026-04-02T07:10:59Z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2026-04-01T03:08:02Z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c0dc1a76-a99a-42b6-b0bc-bc5fc2ece768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