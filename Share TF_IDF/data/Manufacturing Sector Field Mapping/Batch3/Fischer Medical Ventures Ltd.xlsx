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4_{3943C926-721B-473D-8969-0DA52CEDC3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Consolidated Profit &amp; Loss" sheetId="1" r:id="rId2"/>
    <sheet name="Standalone Balance Sheet" sheetId="5" r:id="rId3"/>
    <sheet name="Consolidated Balance Sheet" sheetId="6" r:id="rId4"/>
    <sheet name="Standalone Cash Flow" sheetId="3" r:id="rId5"/>
    <sheet name="Consolidated Cash Flow" sheetId="4" r:id="rId6"/>
  </sheets>
  <definedNames>
    <definedName name="_xlnm._FilterDatabase" localSheetId="3" hidden="1">'Consolidated Balance Sheet'!$A$1:$H$1</definedName>
    <definedName name="_xlnm._FilterDatabase" localSheetId="2" hidden="1">'Standalone Balance Sheet'!$A$1:$H$49</definedName>
    <definedName name="_xlnm._FilterDatabase" localSheetId="4" hidden="1">'Standalone Cash Flow'!$A$1:$H$36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3"/>
  <c r="H1" i="3"/>
  <c r="H2" i="6"/>
  <c r="H1" i="6"/>
  <c r="H2" i="5"/>
  <c r="H1" i="5"/>
  <c r="H2" i="2"/>
  <c r="H1" i="2"/>
  <c r="H3" i="6" l="1"/>
  <c r="H3" i="5"/>
  <c r="H2" i="1"/>
  <c r="H1" i="1"/>
  <c r="H3" i="1" s="1"/>
  <c r="H3" i="2"/>
  <c r="H3" i="4"/>
  <c r="H3" i="3"/>
</calcChain>
</file>

<file path=xl/sharedStrings.xml><?xml version="1.0" encoding="utf-8"?>
<sst xmlns="http://schemas.openxmlformats.org/spreadsheetml/2006/main" count="818" uniqueCount="272">
  <si>
    <t>Particulars</t>
  </si>
  <si>
    <t>Cogencis Field</t>
  </si>
  <si>
    <t>Other Income</t>
  </si>
  <si>
    <t>Miscellaneous Income</t>
  </si>
  <si>
    <t>Total Income</t>
  </si>
  <si>
    <t>Expenses :</t>
  </si>
  <si>
    <t>Lable</t>
  </si>
  <si>
    <t>Cost of Material Consumed</t>
  </si>
  <si>
    <t>Cost of Materials Consumed</t>
  </si>
  <si>
    <t>Purchase of Traded Goods</t>
  </si>
  <si>
    <t>Purchase of Stock-in-Trade</t>
  </si>
  <si>
    <t>Changes in inventories of finished goods, by-products and work in progress</t>
  </si>
  <si>
    <t>Changes in Inventories of Finished Goods, Work-In-Progress and Stock-In-Trade</t>
  </si>
  <si>
    <t>Direct Expenses</t>
  </si>
  <si>
    <t>Operating Expenses</t>
  </si>
  <si>
    <t>Employee Benefit expenses</t>
  </si>
  <si>
    <t>Employee Benefit Expense</t>
  </si>
  <si>
    <t>Depreciation and Amortization Expenses</t>
  </si>
  <si>
    <t>Depreciation, Depletion and Amortisation Expense</t>
  </si>
  <si>
    <t>Finance Cost</t>
  </si>
  <si>
    <t>Finance Costs</t>
  </si>
  <si>
    <t>Other Expenses</t>
  </si>
  <si>
    <t>Total Expenses</t>
  </si>
  <si>
    <t>Profit ( Loss ) Before exceptional and tax</t>
  </si>
  <si>
    <t>Profit/(Loss) from Ordinary Activities after Finance Costs but before Exceptional Items</t>
  </si>
  <si>
    <t>Share of Profit/Loss from Associate</t>
  </si>
  <si>
    <t>Share of Profit/(loss) of associates and Joint Ventures before ebt</t>
  </si>
  <si>
    <t>The Therapy Platform Pte Ltd</t>
  </si>
  <si>
    <t>Items that will be reclassified to Profit or Loss</t>
  </si>
  <si>
    <t>Bluesim tech pte ltd FS</t>
  </si>
  <si>
    <t>Owners of the company</t>
  </si>
  <si>
    <t>Profit/(loss) before exceptional items and tax</t>
  </si>
  <si>
    <t>Exceptional Items</t>
  </si>
  <si>
    <t>Other Exceptional Items</t>
  </si>
  <si>
    <t>Profit before tax</t>
  </si>
  <si>
    <t>Profit/(Loss) From Ordinary Activities before Tax</t>
  </si>
  <si>
    <t>Tax Expenses</t>
  </si>
  <si>
    <t>Current Tax</t>
  </si>
  <si>
    <t>Tax Expense</t>
  </si>
  <si>
    <t>Deferred Tax</t>
  </si>
  <si>
    <t>Tax pertaining to previous year</t>
  </si>
  <si>
    <t>Profit ( Loss ) from Continuing Operations</t>
  </si>
  <si>
    <t>Profit/(Loss) for the Period from Continuing Operations</t>
  </si>
  <si>
    <t>Profit ( Loss ) for the period</t>
  </si>
  <si>
    <t>Net Profit/(Loss) for the Period</t>
  </si>
  <si>
    <t>Other Comprehensive income ;</t>
  </si>
  <si>
    <t>Items that will not be reclassified to profit or loss</t>
  </si>
  <si>
    <t>Items that will not be reclassified to Profit or Loss</t>
  </si>
  <si>
    <t>Income Tax related to items that will not be reclassified to Profit or Loss</t>
  </si>
  <si>
    <t>Total Comprehensive Income for the period ( Comprising profit/ ( loss ) and other Comprehensive Income for the period</t>
  </si>
  <si>
    <t>Total Comprehensive Gain (Loss) For the Year</t>
  </si>
  <si>
    <t>Earnings per Equity Shares</t>
  </si>
  <si>
    <t>Basic</t>
  </si>
  <si>
    <t>Diluted</t>
  </si>
  <si>
    <t>Profit ( Loss ) from Discontinuing Operations</t>
  </si>
  <si>
    <t>Profit/(Loss) from Discontinuing Operations</t>
  </si>
  <si>
    <t>Tax Expenses for Discontinuing Operations</t>
  </si>
  <si>
    <t>Tax Expense of Discontinuing Operations</t>
  </si>
  <si>
    <t>Profit ( Loss ) from Discontinuing Operations ( After Tax )</t>
  </si>
  <si>
    <t>Net Profit From Discontinuing Operations (After Tax)</t>
  </si>
  <si>
    <t>Net Profit Before Tax</t>
  </si>
  <si>
    <t>Net Profit Before Tax And Exceptional Item</t>
  </si>
  <si>
    <t>Adjustments for :</t>
  </si>
  <si>
    <t>Depreciation</t>
  </si>
  <si>
    <t>Depreciation and Amortisation Expense</t>
  </si>
  <si>
    <t>Interest Income</t>
  </si>
  <si>
    <t>Interest Received</t>
  </si>
  <si>
    <t>Interest &amp; Finance Charges</t>
  </si>
  <si>
    <t>Interest Expense</t>
  </si>
  <si>
    <t>Operating Profit Before Working Capital Changes</t>
  </si>
  <si>
    <t>Changes in Other Current Asset</t>
  </si>
  <si>
    <t>Other Current and Non Current Assets</t>
  </si>
  <si>
    <t>Changes in Trade Receivables</t>
  </si>
  <si>
    <t>Trade And Other Receivables</t>
  </si>
  <si>
    <t>Changes in Inventories</t>
  </si>
  <si>
    <t>Inventories</t>
  </si>
  <si>
    <t>Changes in Trade Payables</t>
  </si>
  <si>
    <t>Trade Payables And Others</t>
  </si>
  <si>
    <t>Changes in Other Financial Liabilities</t>
  </si>
  <si>
    <t>Others-Financing Activities</t>
  </si>
  <si>
    <t>Changes in Other Financial Assets</t>
  </si>
  <si>
    <t>Other cash payments to acquire equity or debt instruments of other entities</t>
  </si>
  <si>
    <t>Changes on account of Acquisition</t>
  </si>
  <si>
    <t>Purchase Of Fixed Assets (Tangible / Intangible)</t>
  </si>
  <si>
    <t>Changes in Provisions</t>
  </si>
  <si>
    <t>Provisions</t>
  </si>
  <si>
    <t>Less : - Direct Taxes Paid</t>
  </si>
  <si>
    <t>Income Tax Paid</t>
  </si>
  <si>
    <t>Current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</si>
  <si>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</si>
  <si>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</si>
  <si>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</si>
  <si>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</si>
  <si>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and ROU Asset</t>
  </si>
  <si>
    <t>Sale of of Property, Plant and Equipment</t>
  </si>
  <si>
    <t>Sale Of Fixed Assets (Tangible / Intangible)</t>
  </si>
  <si>
    <t>Investments</t>
  </si>
  <si>
    <t>Investment Income</t>
  </si>
  <si>
    <t>Loan and advances given</t>
  </si>
  <si>
    <t>Cash Advances and Loans Made to Other Parties</t>
  </si>
  <si>
    <t>Dividend Income</t>
  </si>
  <si>
    <t>Dividend Received</t>
  </si>
  <si>
    <t>Net Cash Used in Investing Activities</t>
  </si>
  <si>
    <t>Cash Flow from Financing Activities</t>
  </si>
  <si>
    <t>Proceeds from issuance of Share Capital and Share Premium</t>
  </si>
  <si>
    <t>Proceeds From Issue Of Equity Shares (Inclu Share Premium)</t>
  </si>
  <si>
    <t>Proceeds from Borrowings</t>
  </si>
  <si>
    <t>Proceeds From Long Term Borrowings</t>
  </si>
  <si>
    <t>Changes in Lease liability</t>
  </si>
  <si>
    <t>Others-Before Working Capital Changes</t>
  </si>
  <si>
    <t>Net Cash from Financing Activities</t>
  </si>
  <si>
    <t>Net Cash Flow From Financing Activities</t>
  </si>
  <si>
    <t>Net Increase/(Decrease ) in Cash &amp; Cash Equivalents</t>
  </si>
  <si>
    <t>Net increase (decrease) in cash and cash equivalents before effect of exchange rate changes</t>
  </si>
  <si>
    <t>Opening Cash &amp; Cash Equivalents ( Cash and Bank Balances )</t>
  </si>
  <si>
    <t>Cash and Cash Equivalents at the Beginning of the Year</t>
  </si>
  <si>
    <t>Effect of exchange rates on cash and cash equivalents</t>
  </si>
  <si>
    <t>Effect of Exchange Fluctuation Translation Reserve</t>
  </si>
  <si>
    <t>Closing Cash &amp; Cash Equivalents</t>
  </si>
  <si>
    <t>Cash and Cash Equivalents at the End of the Year</t>
  </si>
  <si>
    <t>(Increase)/decrease inventories</t>
  </si>
  <si>
    <t>(Increase)/decrease Trade and other receivables</t>
  </si>
  <si>
    <t>Increase/(decrease) Trade Payables</t>
  </si>
  <si>
    <t>Increase/(decrease) Other Financial Current Liabilities</t>
  </si>
  <si>
    <t>Adjustments for other financial liabilities, non-current</t>
  </si>
  <si>
    <t>Increase/(decrease) Other Current Liabilities</t>
  </si>
  <si>
    <t>Other Current and Non Current Liabilities</t>
  </si>
  <si>
    <t>(Increase)/decrease Others current Financial Assets</t>
  </si>
  <si>
    <t>(Increase)/decrease Others Non Current Assets</t>
  </si>
  <si>
    <t>(Increase)/decrease Others Current Assets</t>
  </si>
  <si>
    <t>Increase/(decrease) Non current Provisions</t>
  </si>
  <si>
    <t>Increase/(decrease) Short term Provisions</t>
  </si>
  <si>
    <t>(Increase)/decrease Lease Liabilities current</t>
  </si>
  <si>
    <t>(Increase)/decrease Others Non Current financial Assets</t>
  </si>
  <si>
    <t>(Increase)/decrease FCTR</t>
  </si>
  <si>
    <t>CASH GENERATED FROM OPERATIONS</t>
  </si>
  <si>
    <t>Cash Generated From Operations</t>
  </si>
  <si>
    <t>Direct Taxes Paid</t>
  </si>
  <si>
    <t>NET CASH FLOW FROM OPERATING ACTIVITIES</t>
  </si>
  <si>
    <t>CASH FLOW FROM INVESTING ACTIVITIES</t>
  </si>
  <si>
    <t>Purchase of Fixed Assets</t>
  </si>
  <si>
    <t>Purchase of Investments</t>
  </si>
  <si>
    <t>Purchase Of Investments</t>
  </si>
  <si>
    <t>Refund of Capital Advance</t>
  </si>
  <si>
    <t>Other Provisions Written Off</t>
  </si>
  <si>
    <t>Sale of Fixed Deposits</t>
  </si>
  <si>
    <t>Fixed Deposits</t>
  </si>
  <si>
    <t>Loans &amp; Advances Given</t>
  </si>
  <si>
    <t>NET CASH USED IN INVESTING ACTIVITIES</t>
  </si>
  <si>
    <t>CASH FLOW FROM FINANCING ACTIVITIES</t>
  </si>
  <si>
    <t>Proceeds from Issue of shares</t>
  </si>
  <si>
    <t>(Increase)/decrease Lease Liabilities</t>
  </si>
  <si>
    <t>Payments of lease liabilities</t>
  </si>
  <si>
    <t>Proceeds/(Repaid) from Long term Borrowings</t>
  </si>
  <si>
    <t>Repayment Of Long Term Borrowings</t>
  </si>
  <si>
    <t>Finance cost paid and Rent Paid</t>
  </si>
  <si>
    <t>NET CASH USED IN FINANCING ACTIVITIES</t>
  </si>
  <si>
    <t>NET INCREASE/(DECREASE) IN CASH OR CASH EQUIVALENTS</t>
  </si>
  <si>
    <t>Add:- CASH &amp; CASH EQUIVALENTS AS AT BEGNNING</t>
  </si>
  <si>
    <t>less - CASH &amp; CASH EQUIVALENTS ACQUIRED FROM SUBSIDIARIES</t>
  </si>
  <si>
    <t>Other Adjustments</t>
  </si>
  <si>
    <t>CLOSING BALANCE OF CASH &amp; CASH EQUIVALENTS</t>
  </si>
  <si>
    <t>Non - Current Assets</t>
  </si>
  <si>
    <t>Property, plant and equipment</t>
  </si>
  <si>
    <t>Property, Plant &amp; Equipment</t>
  </si>
  <si>
    <t>ROU Asset</t>
  </si>
  <si>
    <t>NOVAL</t>
  </si>
  <si>
    <t>Deferred Tax Asset ( Net )</t>
  </si>
  <si>
    <t>Deferred Tax Assets (Net)</t>
  </si>
  <si>
    <t>Financial Assets</t>
  </si>
  <si>
    <t>Non-Current Investments</t>
  </si>
  <si>
    <t>Other Financial asset</t>
  </si>
  <si>
    <t>Other Non-Current Financial Assets</t>
  </si>
  <si>
    <t>Other Non Current Assets</t>
  </si>
  <si>
    <t>Other Non-Current Assets</t>
  </si>
  <si>
    <t>Total Non - Current Assets</t>
  </si>
  <si>
    <t>Total Non-Current Assets</t>
  </si>
  <si>
    <t>Current assets</t>
  </si>
  <si>
    <t>Financial assets</t>
  </si>
  <si>
    <t>Trade receivables</t>
  </si>
  <si>
    <t>Trade Receivables</t>
  </si>
  <si>
    <t>Cash and cash equivalents</t>
  </si>
  <si>
    <t>Cash And Cash Equivalents</t>
  </si>
  <si>
    <t>Other Current Financial Asset</t>
  </si>
  <si>
    <t>Other Current Financial Assets</t>
  </si>
  <si>
    <t>Current Tax Asset(Net )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</si>
  <si>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</si>
  <si>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</si>
  <si>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</si>
  <si>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</si>
  <si>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</si>
  <si>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</si>
  <si>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</si>
  <si>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</si>
  <si>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</si>
  <si>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</si>
  <si>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Reserve &amp; Surplus</t>
  </si>
  <si>
    <t>Money received against share warrants</t>
  </si>
  <si>
    <t>Money Received Against Share Warrants</t>
  </si>
  <si>
    <t>Total Equity</t>
  </si>
  <si>
    <t>Total Share Holder's Funds</t>
  </si>
  <si>
    <t>Liabilities</t>
  </si>
  <si>
    <t>Non - Current Liabilities</t>
  </si>
  <si>
    <t>Deferred Tax Liability</t>
  </si>
  <si>
    <t>Deferred Tax Liability (Net)</t>
  </si>
  <si>
    <t>Financial Liabilities</t>
  </si>
  <si>
    <t>Lease Liabilities</t>
  </si>
  <si>
    <t>Lease liabilities</t>
  </si>
  <si>
    <t>Borrowings</t>
  </si>
  <si>
    <t>Other Non Current Liabilities</t>
  </si>
  <si>
    <t>Other Non-Current Liabilities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</si>
  <si>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</si>
  <si>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</si>
  <si>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</si>
  <si>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</si>
  <si>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</si>
  <si>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</si>
  <si>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</si>
  <si>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</si>
  <si>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</si>
  <si>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</si>
  <si>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Short Term Provisions</t>
  </si>
  <si>
    <t>Short-Term Provisions</t>
  </si>
  <si>
    <t>Other Current Liabilities</t>
  </si>
  <si>
    <t>Other liabilities</t>
  </si>
  <si>
    <t>Current Tax Liabilities</t>
  </si>
  <si>
    <t>Current Tax Liabilities (Net)</t>
  </si>
  <si>
    <t>Total Current Liabilities</t>
  </si>
  <si>
    <t>Total Equity and Liabilities</t>
  </si>
  <si>
    <t>Total Equity And Liabilities</t>
  </si>
  <si>
    <t>CWIP</t>
  </si>
  <si>
    <t>Goodwill</t>
  </si>
  <si>
    <t>Bank balances other than cash and cash equivalents</t>
  </si>
  <si>
    <t>Bank balance other than cash and cash equivalents</t>
  </si>
  <si>
    <t>Non Controlling Interest</t>
  </si>
  <si>
    <t>Minority Interest</t>
  </si>
  <si>
    <t>Other Financial Liabilities</t>
  </si>
  <si>
    <t>Status</t>
  </si>
  <si>
    <t>Correct Field Mapping</t>
  </si>
  <si>
    <t>Field id</t>
  </si>
  <si>
    <t>Revenue from Operations</t>
  </si>
  <si>
    <t>Incorrect</t>
  </si>
  <si>
    <t>Gross Sales/Income from Operations</t>
  </si>
  <si>
    <t>The ‘Revenue from Operations’ field is not captured and has been added manually.</t>
  </si>
  <si>
    <t>Correct</t>
  </si>
  <si>
    <t>Accuracy %</t>
  </si>
  <si>
    <t>Basic EPS</t>
  </si>
  <si>
    <t>Diluted EPS</t>
  </si>
  <si>
    <t>Label</t>
  </si>
  <si>
    <t>Remeasurement of Defined benefit plan Actuarial Gains/(Losses)</t>
  </si>
  <si>
    <t xml:space="preserve">Income tax relating  on above </t>
  </si>
  <si>
    <t>Equity Instruments Through Other Comprehensive income</t>
  </si>
  <si>
    <t>Other Comprehensive lncome -Total</t>
  </si>
  <si>
    <t>Other Comprehensive Income</t>
  </si>
  <si>
    <t>The ‘Remeasurement of Defined benefit plan Actuarial Gains/(Losses)’ field is not captured and has been added manually.</t>
  </si>
  <si>
    <t>The ‘Income tax relating  on above ’ field is not captured and has been added manually.</t>
  </si>
  <si>
    <t>The ‘Equity Instruments Through Other Comprehensive income’ field is not captured and has been added manually.</t>
  </si>
  <si>
    <t>The ‘Other Comprehensive lncome -Total’ field is not captured and has been added manually.</t>
  </si>
  <si>
    <t xml:space="preserve">Ignore this field </t>
  </si>
  <si>
    <t xml:space="preserve">This field is wrongly captured </t>
  </si>
  <si>
    <t>Right-of-use asset</t>
  </si>
  <si>
    <t>Other Current Financial Liabilities</t>
  </si>
  <si>
    <t>Capital Work-In-Progress</t>
  </si>
  <si>
    <t>Goodwill On Consolidation</t>
  </si>
  <si>
    <t>correct</t>
  </si>
  <si>
    <t>Adjustments for other financial assets, non-current</t>
  </si>
  <si>
    <t>Others-From Operations</t>
  </si>
  <si>
    <t>Adjustments for other financial assets, current</t>
  </si>
  <si>
    <t>Adjustments for other financial liabilities, current</t>
  </si>
  <si>
    <t>Others-Investing Activities</t>
  </si>
  <si>
    <t>Interest Paid</t>
  </si>
  <si>
    <t>this field is show in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</si>
</sst>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zoomScaleNormal="100" workbookViewId="0"/>
  </sheetViews>
  <sheetFormatPr defaultRowHeight="15" x14ac:dyDescent="0.25"/>
  <cols>
    <col min="1" max="1" width="69" customWidth="1"/>
    <col min="2" max="2" width="72.285156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237</v>
      </c>
      <c r="D1" s="2" t="s">
        <v>238</v>
      </c>
      <c r="E1" s="3" t="s">
        <v>239</v>
      </c>
      <c r="G1" s="9" t="s">
        <v>244</v>
      </c>
      <c r="H1" s="10">
        <f>COUNTIF(C:C,G1)</f>
        <v>23</v>
      </c>
    </row>
    <row r="2" spans="1:8" x14ac:dyDescent="0.25">
      <c r="A2" s="5" t="s">
        <v>240</v>
      </c>
      <c r="B2" s="6"/>
      <c r="C2" s="6" t="s">
        <v>241</v>
      </c>
      <c r="D2" s="6" t="s">
        <v>242</v>
      </c>
      <c r="E2" s="6">
        <v>256</v>
      </c>
      <c r="F2" t="s">
        <v>243</v>
      </c>
      <c r="G2" s="7" t="s">
        <v>241</v>
      </c>
      <c r="H2" s="8">
        <f>COUNTIF(C:C,G2)</f>
        <v>8</v>
      </c>
    </row>
    <row r="3" spans="1:8" ht="15.75" thickBot="1" x14ac:dyDescent="0.3">
      <c r="A3" s="4" t="s">
        <v>2</v>
      </c>
      <c r="B3" s="4" t="s">
        <v>3</v>
      </c>
      <c r="C3" s="4" t="s">
        <v>244</v>
      </c>
      <c r="D3" s="4"/>
      <c r="E3" s="4"/>
      <c r="G3" s="11" t="s">
        <v>245</v>
      </c>
      <c r="H3" s="12">
        <f>H1/SUM(H1:H2)</f>
        <v>0.74193548387096775</v>
      </c>
    </row>
    <row r="4" spans="1:8" x14ac:dyDescent="0.25">
      <c r="A4" s="4" t="s">
        <v>4</v>
      </c>
      <c r="B4" s="4" t="s">
        <v>4</v>
      </c>
      <c r="C4" s="4" t="s">
        <v>244</v>
      </c>
      <c r="D4" s="4"/>
      <c r="E4" s="4"/>
    </row>
    <row r="5" spans="1:8" x14ac:dyDescent="0.25">
      <c r="A5" s="4" t="s">
        <v>5</v>
      </c>
      <c r="B5" s="4" t="s">
        <v>6</v>
      </c>
      <c r="C5" s="4" t="s">
        <v>244</v>
      </c>
      <c r="D5" s="4"/>
      <c r="E5" s="4"/>
    </row>
    <row r="6" spans="1:8" x14ac:dyDescent="0.25">
      <c r="A6" s="4" t="s">
        <v>9</v>
      </c>
      <c r="B6" s="4" t="s">
        <v>10</v>
      </c>
      <c r="C6" s="4" t="s">
        <v>244</v>
      </c>
      <c r="D6" s="4"/>
      <c r="E6" s="4"/>
    </row>
    <row r="7" spans="1:8" x14ac:dyDescent="0.25">
      <c r="A7" s="4" t="s">
        <v>11</v>
      </c>
      <c r="B7" s="4" t="s">
        <v>12</v>
      </c>
      <c r="C7" s="4" t="s">
        <v>244</v>
      </c>
      <c r="D7" s="4"/>
      <c r="E7" s="4"/>
    </row>
    <row r="8" spans="1:8" x14ac:dyDescent="0.25">
      <c r="A8" s="4" t="s">
        <v>15</v>
      </c>
      <c r="B8" s="4" t="s">
        <v>16</v>
      </c>
      <c r="C8" s="4" t="s">
        <v>244</v>
      </c>
      <c r="D8" s="4"/>
      <c r="E8" s="4"/>
    </row>
    <row r="9" spans="1:8" x14ac:dyDescent="0.25">
      <c r="A9" s="4" t="s">
        <v>17</v>
      </c>
      <c r="B9" s="4" t="s">
        <v>18</v>
      </c>
      <c r="C9" s="4" t="s">
        <v>244</v>
      </c>
      <c r="D9" s="4"/>
      <c r="E9" s="4"/>
    </row>
    <row r="10" spans="1:8" x14ac:dyDescent="0.25">
      <c r="A10" s="4" t="s">
        <v>19</v>
      </c>
      <c r="B10" s="4" t="s">
        <v>20</v>
      </c>
      <c r="C10" s="4" t="s">
        <v>244</v>
      </c>
      <c r="D10" s="4"/>
      <c r="E10" s="4"/>
    </row>
    <row r="11" spans="1:8" x14ac:dyDescent="0.25">
      <c r="A11" s="4" t="s">
        <v>21</v>
      </c>
      <c r="B11" s="4" t="s">
        <v>21</v>
      </c>
      <c r="C11" s="4" t="s">
        <v>244</v>
      </c>
      <c r="D11" s="4"/>
      <c r="E11" s="4"/>
    </row>
    <row r="12" spans="1:8" x14ac:dyDescent="0.25">
      <c r="A12" s="4" t="s">
        <v>22</v>
      </c>
      <c r="B12" s="4" t="s">
        <v>22</v>
      </c>
      <c r="C12" s="4" t="s">
        <v>244</v>
      </c>
      <c r="D12" s="4"/>
      <c r="E12" s="4"/>
    </row>
    <row r="13" spans="1:8" x14ac:dyDescent="0.25">
      <c r="A13" s="4" t="s">
        <v>23</v>
      </c>
      <c r="B13" s="4" t="s">
        <v>24</v>
      </c>
      <c r="C13" s="4" t="s">
        <v>244</v>
      </c>
      <c r="D13" s="4"/>
      <c r="E13" s="4"/>
    </row>
    <row r="14" spans="1:8" x14ac:dyDescent="0.25">
      <c r="A14" s="4" t="s">
        <v>34</v>
      </c>
      <c r="B14" s="4" t="s">
        <v>35</v>
      </c>
      <c r="C14" s="4" t="s">
        <v>244</v>
      </c>
      <c r="D14" s="4"/>
      <c r="E14" s="4"/>
    </row>
    <row r="15" spans="1:8" x14ac:dyDescent="0.25">
      <c r="A15" s="4" t="s">
        <v>36</v>
      </c>
      <c r="B15" s="4" t="s">
        <v>6</v>
      </c>
      <c r="C15" s="4" t="s">
        <v>244</v>
      </c>
      <c r="D15" s="4"/>
      <c r="E15" s="4"/>
    </row>
    <row r="16" spans="1:8" x14ac:dyDescent="0.25">
      <c r="A16" s="4" t="s">
        <v>37</v>
      </c>
      <c r="B16" s="4" t="s">
        <v>38</v>
      </c>
      <c r="C16" s="4" t="s">
        <v>244</v>
      </c>
      <c r="D16" s="4"/>
      <c r="E16" s="4"/>
    </row>
    <row r="17" spans="1:6" x14ac:dyDescent="0.25">
      <c r="A17" s="4" t="s">
        <v>39</v>
      </c>
      <c r="B17" s="4" t="s">
        <v>39</v>
      </c>
      <c r="C17" s="4" t="s">
        <v>244</v>
      </c>
      <c r="D17" s="4"/>
      <c r="E17" s="4"/>
    </row>
    <row r="18" spans="1:6" x14ac:dyDescent="0.25">
      <c r="A18" s="4" t="s">
        <v>41</v>
      </c>
      <c r="B18" s="4" t="s">
        <v>42</v>
      </c>
      <c r="C18" s="4" t="s">
        <v>244</v>
      </c>
      <c r="D18" s="4"/>
      <c r="E18" s="4"/>
    </row>
    <row r="19" spans="1:6" x14ac:dyDescent="0.25">
      <c r="A19" s="4" t="s">
        <v>54</v>
      </c>
      <c r="B19" s="4" t="s">
        <v>55</v>
      </c>
      <c r="C19" s="4" t="s">
        <v>244</v>
      </c>
      <c r="D19" s="4"/>
      <c r="E19" s="4"/>
    </row>
    <row r="20" spans="1:6" x14ac:dyDescent="0.25">
      <c r="A20" s="4" t="s">
        <v>56</v>
      </c>
      <c r="B20" s="4" t="s">
        <v>57</v>
      </c>
      <c r="C20" s="4" t="s">
        <v>244</v>
      </c>
      <c r="D20" s="4"/>
      <c r="E20" s="4"/>
    </row>
    <row r="21" spans="1:6" x14ac:dyDescent="0.25">
      <c r="A21" s="4" t="s">
        <v>58</v>
      </c>
      <c r="B21" s="4" t="s">
        <v>59</v>
      </c>
      <c r="C21" s="4" t="s">
        <v>244</v>
      </c>
      <c r="D21" s="4"/>
      <c r="E21" s="4"/>
    </row>
    <row r="22" spans="1:6" x14ac:dyDescent="0.25">
      <c r="A22" s="4" t="s">
        <v>43</v>
      </c>
      <c r="B22" s="4" t="s">
        <v>44</v>
      </c>
      <c r="C22" s="4" t="s">
        <v>244</v>
      </c>
      <c r="D22" s="4"/>
      <c r="E22" s="4"/>
    </row>
    <row r="23" spans="1:6" x14ac:dyDescent="0.25">
      <c r="A23" s="4" t="s">
        <v>45</v>
      </c>
      <c r="B23" s="4" t="s">
        <v>6</v>
      </c>
      <c r="C23" s="4" t="s">
        <v>244</v>
      </c>
      <c r="D23" s="4"/>
      <c r="E23" s="4"/>
    </row>
    <row r="24" spans="1:6" x14ac:dyDescent="0.25">
      <c r="A24" s="4" t="s">
        <v>46</v>
      </c>
      <c r="B24" s="4" t="s">
        <v>47</v>
      </c>
      <c r="C24" s="4" t="s">
        <v>241</v>
      </c>
      <c r="D24" s="4" t="s">
        <v>248</v>
      </c>
      <c r="E24" s="4"/>
    </row>
    <row r="25" spans="1:6" x14ac:dyDescent="0.25">
      <c r="A25" s="6" t="s">
        <v>249</v>
      </c>
      <c r="B25" s="6"/>
      <c r="C25" s="6" t="s">
        <v>241</v>
      </c>
      <c r="D25" s="6" t="s">
        <v>47</v>
      </c>
      <c r="E25" s="6">
        <v>22293</v>
      </c>
      <c r="F25" s="5" t="s">
        <v>254</v>
      </c>
    </row>
    <row r="26" spans="1:6" x14ac:dyDescent="0.25">
      <c r="A26" s="6" t="s">
        <v>250</v>
      </c>
      <c r="B26" s="6"/>
      <c r="C26" s="6" t="s">
        <v>241</v>
      </c>
      <c r="D26" s="6" t="s">
        <v>48</v>
      </c>
      <c r="E26" s="6">
        <v>22295</v>
      </c>
      <c r="F26" s="5" t="s">
        <v>255</v>
      </c>
    </row>
    <row r="27" spans="1:6" x14ac:dyDescent="0.25">
      <c r="A27" s="6" t="s">
        <v>251</v>
      </c>
      <c r="B27" s="6"/>
      <c r="C27" s="6" t="s">
        <v>241</v>
      </c>
      <c r="D27" s="6" t="s">
        <v>47</v>
      </c>
      <c r="E27" s="6">
        <v>22293</v>
      </c>
      <c r="F27" s="5" t="s">
        <v>256</v>
      </c>
    </row>
    <row r="28" spans="1:6" x14ac:dyDescent="0.25">
      <c r="A28" s="6" t="s">
        <v>252</v>
      </c>
      <c r="B28" s="6"/>
      <c r="C28" s="6" t="s">
        <v>241</v>
      </c>
      <c r="D28" s="6" t="s">
        <v>253</v>
      </c>
      <c r="E28" s="6">
        <v>16484</v>
      </c>
      <c r="F28" s="5" t="s">
        <v>257</v>
      </c>
    </row>
    <row r="29" spans="1:6" x14ac:dyDescent="0.25">
      <c r="A29" s="4" t="s">
        <v>49</v>
      </c>
      <c r="B29" s="4" t="s">
        <v>50</v>
      </c>
      <c r="C29" s="4" t="s">
        <v>244</v>
      </c>
      <c r="D29" s="4"/>
      <c r="E29" s="4"/>
    </row>
    <row r="30" spans="1:6" x14ac:dyDescent="0.25">
      <c r="A30" s="4" t="s">
        <v>51</v>
      </c>
      <c r="B30" s="4" t="s">
        <v>6</v>
      </c>
      <c r="C30" s="4" t="s">
        <v>244</v>
      </c>
      <c r="D30" s="4"/>
      <c r="E30" s="4"/>
    </row>
    <row r="31" spans="1:6" x14ac:dyDescent="0.25">
      <c r="A31" s="4" t="s">
        <v>52</v>
      </c>
      <c r="B31" s="4" t="s">
        <v>6</v>
      </c>
      <c r="C31" s="4" t="s">
        <v>241</v>
      </c>
      <c r="D31" s="4" t="s">
        <v>246</v>
      </c>
      <c r="E31" s="13">
        <v>222</v>
      </c>
    </row>
    <row r="32" spans="1:6" x14ac:dyDescent="0.25">
      <c r="A32" s="4" t="s">
        <v>53</v>
      </c>
      <c r="B32" s="4" t="s">
        <v>6</v>
      </c>
      <c r="C32" s="4" t="s">
        <v>241</v>
      </c>
      <c r="D32" s="4" t="s">
        <v>247</v>
      </c>
      <c r="E32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zoomScaleNormal="100" workbookViewId="0">
      <selection activeCell="A2" sqref="A2"/>
    </sheetView>
  </sheetViews>
  <sheetFormatPr defaultRowHeight="15" x14ac:dyDescent="0.25"/>
  <cols>
    <col min="1" max="1" width="54.28515625" customWidth="1"/>
    <col min="2" max="2" width="72.28515625" bestFit="1" customWidth="1"/>
    <col min="3" max="3" width="8.85546875" bestFit="1" customWidth="1"/>
    <col min="4" max="4" width="42.8554687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237</v>
      </c>
      <c r="D1" s="2" t="s">
        <v>238</v>
      </c>
      <c r="E1" s="3" t="s">
        <v>239</v>
      </c>
      <c r="G1" s="9" t="s">
        <v>244</v>
      </c>
      <c r="H1" s="10">
        <f>COUNTIF(C:C,G1)</f>
        <v>23</v>
      </c>
    </row>
    <row r="2" spans="1:8" x14ac:dyDescent="0.25">
      <c r="A2" s="5" t="s">
        <v>240</v>
      </c>
      <c r="B2" s="6"/>
      <c r="C2" s="6" t="s">
        <v>241</v>
      </c>
      <c r="D2" s="6" t="s">
        <v>242</v>
      </c>
      <c r="E2" s="6">
        <v>256</v>
      </c>
      <c r="G2" s="7" t="s">
        <v>241</v>
      </c>
      <c r="H2" s="8">
        <f>COUNTIF(C:C,G2)</f>
        <v>11</v>
      </c>
    </row>
    <row r="3" spans="1:8" ht="15.75" thickBot="1" x14ac:dyDescent="0.3">
      <c r="A3" s="4" t="s">
        <v>2</v>
      </c>
      <c r="B3" s="4" t="s">
        <v>3</v>
      </c>
      <c r="C3" s="4" t="s">
        <v>244</v>
      </c>
      <c r="D3" s="4"/>
      <c r="E3" s="4"/>
      <c r="G3" s="11" t="s">
        <v>245</v>
      </c>
      <c r="H3" s="12">
        <f>H1/SUM(H1:H2)</f>
        <v>0.67647058823529416</v>
      </c>
    </row>
    <row r="4" spans="1:8" x14ac:dyDescent="0.25">
      <c r="A4" s="4" t="s">
        <v>4</v>
      </c>
      <c r="B4" s="4" t="s">
        <v>4</v>
      </c>
      <c r="C4" s="4" t="s">
        <v>244</v>
      </c>
      <c r="D4" s="4"/>
      <c r="E4" s="4"/>
    </row>
    <row r="5" spans="1:8" x14ac:dyDescent="0.25">
      <c r="A5" s="4" t="s">
        <v>5</v>
      </c>
      <c r="B5" s="4" t="s">
        <v>6</v>
      </c>
      <c r="C5" s="4" t="s">
        <v>244</v>
      </c>
      <c r="D5" s="4"/>
      <c r="E5" s="4"/>
    </row>
    <row r="6" spans="1:8" x14ac:dyDescent="0.25">
      <c r="A6" s="4" t="s">
        <v>7</v>
      </c>
      <c r="B6" s="4" t="s">
        <v>8</v>
      </c>
      <c r="C6" s="4" t="s">
        <v>244</v>
      </c>
      <c r="D6" s="4"/>
      <c r="E6" s="4"/>
    </row>
    <row r="7" spans="1:8" x14ac:dyDescent="0.25">
      <c r="A7" s="4" t="s">
        <v>9</v>
      </c>
      <c r="B7" s="4" t="s">
        <v>10</v>
      </c>
      <c r="C7" s="4" t="s">
        <v>244</v>
      </c>
      <c r="D7" s="4"/>
      <c r="E7" s="4"/>
    </row>
    <row r="8" spans="1:8" x14ac:dyDescent="0.25">
      <c r="A8" s="4" t="s">
        <v>11</v>
      </c>
      <c r="B8" s="4" t="s">
        <v>12</v>
      </c>
      <c r="C8" s="4" t="s">
        <v>244</v>
      </c>
      <c r="D8" s="4"/>
      <c r="E8" s="4"/>
    </row>
    <row r="9" spans="1:8" x14ac:dyDescent="0.25">
      <c r="A9" s="4" t="s">
        <v>13</v>
      </c>
      <c r="B9" s="4" t="s">
        <v>14</v>
      </c>
      <c r="C9" s="4" t="s">
        <v>244</v>
      </c>
      <c r="D9" s="4"/>
      <c r="E9" s="4"/>
    </row>
    <row r="10" spans="1:8" x14ac:dyDescent="0.25">
      <c r="A10" s="4" t="s">
        <v>15</v>
      </c>
      <c r="B10" s="4" t="s">
        <v>16</v>
      </c>
      <c r="C10" s="4" t="s">
        <v>244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244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244</v>
      </c>
      <c r="D12" s="4"/>
      <c r="E12" s="4"/>
    </row>
    <row r="13" spans="1:8" x14ac:dyDescent="0.25">
      <c r="A13" s="4" t="s">
        <v>21</v>
      </c>
      <c r="B13" s="4" t="s">
        <v>21</v>
      </c>
      <c r="C13" s="4" t="s">
        <v>244</v>
      </c>
      <c r="D13" s="4"/>
      <c r="E13" s="4"/>
    </row>
    <row r="14" spans="1:8" x14ac:dyDescent="0.25">
      <c r="A14" s="4" t="s">
        <v>22</v>
      </c>
      <c r="B14" s="4" t="s">
        <v>22</v>
      </c>
      <c r="C14" s="4" t="s">
        <v>244</v>
      </c>
      <c r="D14" s="4"/>
      <c r="E14" s="4"/>
    </row>
    <row r="15" spans="1:8" x14ac:dyDescent="0.25">
      <c r="A15" s="4" t="s">
        <v>23</v>
      </c>
      <c r="B15" s="4" t="s">
        <v>24</v>
      </c>
      <c r="C15" s="4"/>
      <c r="D15" s="4" t="s">
        <v>258</v>
      </c>
      <c r="E15" s="4"/>
    </row>
    <row r="16" spans="1:8" x14ac:dyDescent="0.25">
      <c r="A16" s="4" t="s">
        <v>25</v>
      </c>
      <c r="B16" s="4" t="s">
        <v>26</v>
      </c>
      <c r="C16" s="4" t="s">
        <v>244</v>
      </c>
      <c r="D16" s="4"/>
      <c r="E16" s="4"/>
    </row>
    <row r="17" spans="1:6" x14ac:dyDescent="0.25">
      <c r="A17" s="6" t="s">
        <v>27</v>
      </c>
      <c r="B17" s="6" t="s">
        <v>28</v>
      </c>
      <c r="C17" s="6" t="s">
        <v>241</v>
      </c>
      <c r="D17" s="6" t="s">
        <v>259</v>
      </c>
      <c r="E17" s="6"/>
    </row>
    <row r="18" spans="1:6" x14ac:dyDescent="0.25">
      <c r="A18" s="6" t="s">
        <v>29</v>
      </c>
      <c r="B18" s="6" t="s">
        <v>30</v>
      </c>
      <c r="C18" s="6" t="s">
        <v>241</v>
      </c>
      <c r="D18" s="6" t="s">
        <v>259</v>
      </c>
      <c r="E18" s="6"/>
    </row>
    <row r="19" spans="1:6" x14ac:dyDescent="0.25">
      <c r="A19" s="4" t="s">
        <v>31</v>
      </c>
      <c r="B19" s="4" t="s">
        <v>24</v>
      </c>
      <c r="C19" s="4"/>
      <c r="D19" s="4" t="s">
        <v>271</v>
      </c>
      <c r="E19" s="4"/>
    </row>
    <row r="20" spans="1:6" x14ac:dyDescent="0.25">
      <c r="A20" s="4" t="s">
        <v>32</v>
      </c>
      <c r="B20" s="4" t="s">
        <v>33</v>
      </c>
      <c r="C20" s="4" t="s">
        <v>244</v>
      </c>
      <c r="E20" s="4"/>
    </row>
    <row r="21" spans="1:6" x14ac:dyDescent="0.25">
      <c r="A21" s="4" t="s">
        <v>34</v>
      </c>
      <c r="B21" s="4" t="s">
        <v>35</v>
      </c>
      <c r="C21" s="4" t="s">
        <v>244</v>
      </c>
      <c r="D21" s="4"/>
      <c r="E21" s="4"/>
    </row>
    <row r="22" spans="1:6" x14ac:dyDescent="0.25">
      <c r="A22" s="4" t="s">
        <v>36</v>
      </c>
      <c r="B22" s="4" t="s">
        <v>6</v>
      </c>
      <c r="C22" s="4" t="s">
        <v>244</v>
      </c>
      <c r="D22" s="4"/>
      <c r="E22" s="4"/>
    </row>
    <row r="23" spans="1:6" x14ac:dyDescent="0.25">
      <c r="A23" s="4" t="s">
        <v>37</v>
      </c>
      <c r="B23" s="4" t="s">
        <v>38</v>
      </c>
      <c r="C23" s="4" t="s">
        <v>244</v>
      </c>
      <c r="D23" s="4"/>
      <c r="E23" s="4"/>
    </row>
    <row r="24" spans="1:6" x14ac:dyDescent="0.25">
      <c r="A24" s="4" t="s">
        <v>39</v>
      </c>
      <c r="B24" s="4" t="s">
        <v>39</v>
      </c>
      <c r="C24" s="4" t="s">
        <v>244</v>
      </c>
      <c r="D24" s="4"/>
      <c r="E24" s="4"/>
    </row>
    <row r="25" spans="1:6" x14ac:dyDescent="0.25">
      <c r="A25" s="4" t="s">
        <v>40</v>
      </c>
      <c r="B25" s="4" t="s">
        <v>38</v>
      </c>
      <c r="C25" s="4" t="s">
        <v>241</v>
      </c>
      <c r="D25" s="4" t="s">
        <v>38</v>
      </c>
      <c r="E25" s="13">
        <v>318</v>
      </c>
    </row>
    <row r="26" spans="1:6" x14ac:dyDescent="0.25">
      <c r="A26" s="4" t="s">
        <v>41</v>
      </c>
      <c r="B26" s="4" t="s">
        <v>42</v>
      </c>
      <c r="C26" s="4" t="s">
        <v>244</v>
      </c>
      <c r="D26" s="4"/>
      <c r="E26" s="4"/>
    </row>
    <row r="27" spans="1:6" x14ac:dyDescent="0.25">
      <c r="A27" s="4" t="s">
        <v>43</v>
      </c>
      <c r="B27" s="4" t="s">
        <v>44</v>
      </c>
      <c r="C27" s="4" t="s">
        <v>244</v>
      </c>
      <c r="D27" s="4"/>
      <c r="E27" s="4"/>
    </row>
    <row r="28" spans="1:6" x14ac:dyDescent="0.25">
      <c r="A28" s="4" t="s">
        <v>45</v>
      </c>
      <c r="B28" s="4" t="s">
        <v>6</v>
      </c>
      <c r="C28" s="4" t="s">
        <v>244</v>
      </c>
      <c r="D28" s="4"/>
      <c r="E28" s="4"/>
    </row>
    <row r="29" spans="1:6" x14ac:dyDescent="0.25">
      <c r="A29" s="4" t="s">
        <v>46</v>
      </c>
      <c r="B29" s="4" t="s">
        <v>47</v>
      </c>
      <c r="C29" s="4" t="s">
        <v>241</v>
      </c>
      <c r="D29" s="4" t="s">
        <v>248</v>
      </c>
      <c r="E29" s="4"/>
    </row>
    <row r="30" spans="1:6" x14ac:dyDescent="0.25">
      <c r="A30" s="6" t="s">
        <v>249</v>
      </c>
      <c r="B30" s="6"/>
      <c r="C30" s="6" t="s">
        <v>241</v>
      </c>
      <c r="D30" s="6" t="s">
        <v>47</v>
      </c>
      <c r="E30" s="6">
        <v>22293</v>
      </c>
      <c r="F30" s="5" t="s">
        <v>254</v>
      </c>
    </row>
    <row r="31" spans="1:6" x14ac:dyDescent="0.25">
      <c r="A31" s="6" t="s">
        <v>250</v>
      </c>
      <c r="B31" s="6"/>
      <c r="C31" s="6" t="s">
        <v>241</v>
      </c>
      <c r="D31" s="6" t="s">
        <v>48</v>
      </c>
      <c r="E31" s="6">
        <v>22295</v>
      </c>
      <c r="F31" s="5" t="s">
        <v>255</v>
      </c>
    </row>
    <row r="32" spans="1:6" x14ac:dyDescent="0.25">
      <c r="A32" s="6" t="s">
        <v>251</v>
      </c>
      <c r="B32" s="6"/>
      <c r="C32" s="6" t="s">
        <v>241</v>
      </c>
      <c r="D32" s="6" t="s">
        <v>47</v>
      </c>
      <c r="E32" s="6">
        <v>22293</v>
      </c>
      <c r="F32" s="5" t="s">
        <v>256</v>
      </c>
    </row>
    <row r="33" spans="1:6" x14ac:dyDescent="0.25">
      <c r="A33" s="6" t="s">
        <v>252</v>
      </c>
      <c r="B33" s="6"/>
      <c r="C33" s="6" t="s">
        <v>241</v>
      </c>
      <c r="D33" s="6" t="s">
        <v>253</v>
      </c>
      <c r="E33" s="6">
        <v>16484</v>
      </c>
      <c r="F33" s="5" t="s">
        <v>257</v>
      </c>
    </row>
    <row r="34" spans="1:6" x14ac:dyDescent="0.25">
      <c r="A34" s="4" t="s">
        <v>49</v>
      </c>
      <c r="B34" s="4" t="s">
        <v>50</v>
      </c>
      <c r="C34" s="4" t="s">
        <v>244</v>
      </c>
      <c r="D34" s="4"/>
      <c r="E34" s="4"/>
    </row>
    <row r="35" spans="1:6" x14ac:dyDescent="0.25">
      <c r="A35" s="4" t="s">
        <v>51</v>
      </c>
      <c r="B35" s="4" t="s">
        <v>6</v>
      </c>
      <c r="C35" s="4" t="s">
        <v>244</v>
      </c>
      <c r="D35" s="4"/>
      <c r="E35" s="4"/>
    </row>
    <row r="36" spans="1:6" x14ac:dyDescent="0.25">
      <c r="A36" s="4" t="s">
        <v>52</v>
      </c>
      <c r="B36" s="4" t="s">
        <v>6</v>
      </c>
      <c r="C36" s="4" t="s">
        <v>241</v>
      </c>
      <c r="D36" s="4" t="s">
        <v>246</v>
      </c>
      <c r="E36" s="13">
        <v>222</v>
      </c>
    </row>
    <row r="37" spans="1:6" x14ac:dyDescent="0.25">
      <c r="A37" s="4" t="s">
        <v>53</v>
      </c>
      <c r="B37" s="4" t="s">
        <v>6</v>
      </c>
      <c r="C37" s="4" t="s">
        <v>241</v>
      </c>
      <c r="D37" s="4" t="s">
        <v>247</v>
      </c>
      <c r="E37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zoomScaleNormal="100" workbookViewId="0"/>
  </sheetViews>
  <sheetFormatPr defaultRowHeight="15" x14ac:dyDescent="0.25"/>
  <cols>
    <col min="1" max="1" width="71.7109375" bestFit="1" customWidth="1"/>
    <col min="2" max="2" width="34.42578125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237</v>
      </c>
      <c r="D1" s="2" t="s">
        <v>238</v>
      </c>
      <c r="E1" s="3" t="s">
        <v>239</v>
      </c>
      <c r="G1" s="9" t="s">
        <v>244</v>
      </c>
      <c r="H1" s="10">
        <f>COUNTIF(C:C,G1)</f>
        <v>45</v>
      </c>
    </row>
    <row r="2" spans="1:8" x14ac:dyDescent="0.25">
      <c r="A2" s="4" t="s">
        <v>162</v>
      </c>
      <c r="B2" s="4" t="s">
        <v>6</v>
      </c>
      <c r="C2" s="4" t="s">
        <v>244</v>
      </c>
      <c r="D2" s="4"/>
      <c r="E2" s="4"/>
      <c r="G2" s="7" t="s">
        <v>241</v>
      </c>
      <c r="H2" s="8">
        <f>COUNTIF(C:C,G2)</f>
        <v>3</v>
      </c>
    </row>
    <row r="3" spans="1:8" ht="15.75" thickBot="1" x14ac:dyDescent="0.3">
      <c r="A3" s="4" t="s">
        <v>163</v>
      </c>
      <c r="B3" s="4" t="s">
        <v>164</v>
      </c>
      <c r="C3" s="4" t="s">
        <v>244</v>
      </c>
      <c r="D3" s="4"/>
      <c r="E3" s="4"/>
      <c r="G3" s="11" t="s">
        <v>245</v>
      </c>
      <c r="H3" s="12">
        <f>H1/SUM(H1:H2)</f>
        <v>0.9375</v>
      </c>
    </row>
    <row r="4" spans="1:8" x14ac:dyDescent="0.25">
      <c r="A4" s="4" t="s">
        <v>165</v>
      </c>
      <c r="B4" s="4" t="s">
        <v>166</v>
      </c>
      <c r="C4" s="4" t="s">
        <v>241</v>
      </c>
      <c r="D4" s="4" t="s">
        <v>260</v>
      </c>
      <c r="E4" s="13">
        <v>30342</v>
      </c>
    </row>
    <row r="5" spans="1:8" x14ac:dyDescent="0.25">
      <c r="A5" s="4" t="s">
        <v>167</v>
      </c>
      <c r="B5" s="4" t="s">
        <v>168</v>
      </c>
      <c r="C5" s="4" t="s">
        <v>244</v>
      </c>
      <c r="D5" s="4"/>
      <c r="E5" s="4"/>
    </row>
    <row r="6" spans="1:8" x14ac:dyDescent="0.25">
      <c r="A6" s="4" t="s">
        <v>169</v>
      </c>
      <c r="B6" s="4" t="s">
        <v>6</v>
      </c>
      <c r="C6" s="4" t="s">
        <v>244</v>
      </c>
      <c r="D6" s="4"/>
      <c r="E6" s="4"/>
    </row>
    <row r="7" spans="1:8" x14ac:dyDescent="0.25">
      <c r="A7" s="4" t="s">
        <v>96</v>
      </c>
      <c r="B7" s="4" t="s">
        <v>170</v>
      </c>
      <c r="C7" s="4" t="s">
        <v>244</v>
      </c>
      <c r="D7" s="4"/>
      <c r="E7" s="4"/>
    </row>
    <row r="8" spans="1:8" x14ac:dyDescent="0.25">
      <c r="A8" s="4" t="s">
        <v>171</v>
      </c>
      <c r="B8" s="4" t="s">
        <v>172</v>
      </c>
      <c r="C8" s="4" t="s">
        <v>244</v>
      </c>
      <c r="D8" s="4"/>
      <c r="E8" s="4"/>
    </row>
    <row r="9" spans="1:8" x14ac:dyDescent="0.25">
      <c r="A9" s="4" t="s">
        <v>173</v>
      </c>
      <c r="B9" s="4" t="s">
        <v>174</v>
      </c>
      <c r="C9" s="4" t="s">
        <v>244</v>
      </c>
      <c r="D9" s="4"/>
      <c r="E9" s="4"/>
    </row>
    <row r="10" spans="1:8" x14ac:dyDescent="0.25">
      <c r="A10" s="4" t="s">
        <v>175</v>
      </c>
      <c r="B10" s="4" t="s">
        <v>176</v>
      </c>
      <c r="C10" s="4" t="s">
        <v>244</v>
      </c>
      <c r="D10" s="4"/>
      <c r="E10" s="4"/>
    </row>
    <row r="11" spans="1:8" x14ac:dyDescent="0.25">
      <c r="A11" s="4" t="s">
        <v>177</v>
      </c>
      <c r="B11" s="4" t="s">
        <v>6</v>
      </c>
      <c r="C11" s="4" t="s">
        <v>244</v>
      </c>
      <c r="D11" s="4"/>
      <c r="E11" s="4"/>
    </row>
    <row r="12" spans="1:8" x14ac:dyDescent="0.25">
      <c r="A12" s="4" t="s">
        <v>75</v>
      </c>
      <c r="B12" s="4" t="s">
        <v>75</v>
      </c>
      <c r="C12" s="4" t="s">
        <v>244</v>
      </c>
      <c r="D12" s="4"/>
      <c r="E12" s="4"/>
    </row>
    <row r="13" spans="1:8" x14ac:dyDescent="0.25">
      <c r="A13" s="4" t="s">
        <v>178</v>
      </c>
      <c r="B13" s="4" t="s">
        <v>6</v>
      </c>
      <c r="C13" s="4" t="s">
        <v>244</v>
      </c>
      <c r="D13" s="4"/>
      <c r="E13" s="4"/>
    </row>
    <row r="14" spans="1:8" x14ac:dyDescent="0.25">
      <c r="A14" s="4" t="s">
        <v>179</v>
      </c>
      <c r="B14" s="4" t="s">
        <v>180</v>
      </c>
      <c r="C14" s="4" t="s">
        <v>244</v>
      </c>
      <c r="D14" s="4" t="s">
        <v>180</v>
      </c>
      <c r="E14" s="13">
        <v>13780</v>
      </c>
    </row>
    <row r="15" spans="1:8" x14ac:dyDescent="0.25">
      <c r="A15" s="4" t="s">
        <v>181</v>
      </c>
      <c r="B15" s="4" t="s">
        <v>182</v>
      </c>
      <c r="C15" s="4" t="s">
        <v>244</v>
      </c>
      <c r="D15" s="4"/>
      <c r="E15" s="4"/>
    </row>
    <row r="16" spans="1:8" x14ac:dyDescent="0.25">
      <c r="A16" s="4" t="s">
        <v>183</v>
      </c>
      <c r="B16" s="4" t="s">
        <v>184</v>
      </c>
      <c r="C16" s="4" t="s">
        <v>244</v>
      </c>
      <c r="D16" s="4"/>
      <c r="E16" s="4"/>
    </row>
    <row r="17" spans="1:5" x14ac:dyDescent="0.25">
      <c r="A17" s="4" t="s">
        <v>185</v>
      </c>
      <c r="B17" s="4" t="s">
        <v>186</v>
      </c>
      <c r="C17" s="4" t="s">
        <v>244</v>
      </c>
      <c r="D17" s="4"/>
      <c r="E17" s="4"/>
    </row>
    <row r="18" spans="1:5" x14ac:dyDescent="0.25">
      <c r="A18" s="4" t="s">
        <v>187</v>
      </c>
      <c r="B18" s="4" t="s">
        <v>187</v>
      </c>
      <c r="C18" s="4" t="s">
        <v>244</v>
      </c>
      <c r="D18" s="4"/>
      <c r="E18" s="4"/>
    </row>
    <row r="19" spans="1:5" x14ac:dyDescent="0.25">
      <c r="A19" s="4" t="s">
        <v>188</v>
      </c>
      <c r="B19" s="4" t="s">
        <v>188</v>
      </c>
      <c r="C19" s="4" t="s">
        <v>244</v>
      </c>
      <c r="D19" s="4"/>
      <c r="E19" s="4"/>
    </row>
    <row r="20" spans="1:5" x14ac:dyDescent="0.25">
      <c r="A20" s="4" t="s">
        <v>189</v>
      </c>
      <c r="B20" s="4" t="s">
        <v>189</v>
      </c>
      <c r="C20" s="4" t="s">
        <v>244</v>
      </c>
      <c r="D20" s="4"/>
      <c r="E20" s="4"/>
    </row>
    <row r="21" spans="1:5" x14ac:dyDescent="0.25">
      <c r="A21" s="4" t="s">
        <v>190</v>
      </c>
      <c r="B21" s="4" t="s">
        <v>6</v>
      </c>
      <c r="C21" s="4" t="s">
        <v>244</v>
      </c>
      <c r="D21" s="4"/>
      <c r="E21" s="4"/>
    </row>
    <row r="22" spans="1:5" x14ac:dyDescent="0.25">
      <c r="A22" s="4" t="s">
        <v>191</v>
      </c>
      <c r="B22" s="4" t="s">
        <v>6</v>
      </c>
      <c r="C22" s="4" t="s">
        <v>244</v>
      </c>
      <c r="D22" s="4"/>
      <c r="E22" s="4"/>
    </row>
    <row r="23" spans="1:5" x14ac:dyDescent="0.25">
      <c r="A23" s="4" t="s">
        <v>192</v>
      </c>
      <c r="B23" s="4" t="s">
        <v>193</v>
      </c>
      <c r="C23" s="4" t="s">
        <v>244</v>
      </c>
      <c r="D23" s="4"/>
      <c r="E23" s="4"/>
    </row>
    <row r="24" spans="1:5" x14ac:dyDescent="0.25">
      <c r="A24" s="4" t="s">
        <v>194</v>
      </c>
      <c r="B24" s="4" t="s">
        <v>195</v>
      </c>
      <c r="C24" s="4" t="s">
        <v>244</v>
      </c>
      <c r="D24" s="4"/>
      <c r="E24" s="4"/>
    </row>
    <row r="25" spans="1:5" x14ac:dyDescent="0.25">
      <c r="A25" s="4" t="s">
        <v>196</v>
      </c>
      <c r="B25" s="4" t="s">
        <v>195</v>
      </c>
      <c r="C25" s="4" t="s">
        <v>244</v>
      </c>
      <c r="D25" s="4"/>
      <c r="E25" s="4"/>
    </row>
    <row r="26" spans="1:5" x14ac:dyDescent="0.25">
      <c r="A26" s="4" t="s">
        <v>197</v>
      </c>
      <c r="B26" s="4" t="s">
        <v>198</v>
      </c>
      <c r="C26" s="4" t="s">
        <v>244</v>
      </c>
      <c r="D26" s="4"/>
      <c r="E26" s="4"/>
    </row>
    <row r="27" spans="1:5" x14ac:dyDescent="0.25">
      <c r="A27" s="4" t="s">
        <v>199</v>
      </c>
      <c r="B27" s="4" t="s">
        <v>200</v>
      </c>
      <c r="C27" s="4" t="s">
        <v>244</v>
      </c>
      <c r="D27" s="4"/>
      <c r="E27" s="4"/>
    </row>
    <row r="28" spans="1:5" x14ac:dyDescent="0.25">
      <c r="A28" s="4" t="s">
        <v>201</v>
      </c>
      <c r="B28" s="4" t="s">
        <v>6</v>
      </c>
      <c r="C28" s="4" t="s">
        <v>244</v>
      </c>
      <c r="D28" s="4"/>
      <c r="E28" s="4"/>
    </row>
    <row r="29" spans="1:5" x14ac:dyDescent="0.25">
      <c r="A29" s="4" t="s">
        <v>202</v>
      </c>
      <c r="B29" s="4" t="s">
        <v>6</v>
      </c>
      <c r="C29" s="4" t="s">
        <v>244</v>
      </c>
      <c r="D29" s="4"/>
      <c r="E29" s="4"/>
    </row>
    <row r="30" spans="1:5" x14ac:dyDescent="0.25">
      <c r="A30" s="4" t="s">
        <v>203</v>
      </c>
      <c r="B30" s="4" t="s">
        <v>204</v>
      </c>
      <c r="C30" s="4" t="s">
        <v>244</v>
      </c>
      <c r="D30" s="4"/>
      <c r="E30" s="4"/>
    </row>
    <row r="31" spans="1:5" x14ac:dyDescent="0.25">
      <c r="A31" s="4" t="s">
        <v>205</v>
      </c>
      <c r="B31" s="4" t="s">
        <v>6</v>
      </c>
      <c r="C31" s="4" t="s">
        <v>244</v>
      </c>
      <c r="D31" s="4"/>
      <c r="E31" s="4"/>
    </row>
    <row r="32" spans="1:5" x14ac:dyDescent="0.25">
      <c r="A32" s="4" t="s">
        <v>206</v>
      </c>
      <c r="B32" s="4" t="s">
        <v>207</v>
      </c>
      <c r="C32" s="4" t="s">
        <v>244</v>
      </c>
      <c r="D32" s="4" t="s">
        <v>207</v>
      </c>
      <c r="E32" s="13">
        <v>30340</v>
      </c>
    </row>
    <row r="33" spans="1:5" x14ac:dyDescent="0.25">
      <c r="A33" s="4" t="s">
        <v>208</v>
      </c>
      <c r="B33" s="4" t="s">
        <v>208</v>
      </c>
      <c r="C33" s="4" t="s">
        <v>244</v>
      </c>
      <c r="D33" s="4"/>
      <c r="E33" s="4"/>
    </row>
    <row r="34" spans="1:5" x14ac:dyDescent="0.25">
      <c r="A34" s="4" t="s">
        <v>209</v>
      </c>
      <c r="B34" s="4" t="s">
        <v>210</v>
      </c>
      <c r="C34" s="4" t="s">
        <v>244</v>
      </c>
      <c r="D34" s="4"/>
      <c r="E34" s="4"/>
    </row>
    <row r="35" spans="1:5" x14ac:dyDescent="0.25">
      <c r="A35" s="4" t="s">
        <v>85</v>
      </c>
      <c r="B35" s="4" t="s">
        <v>211</v>
      </c>
      <c r="C35" s="4" t="s">
        <v>244</v>
      </c>
      <c r="D35" s="4"/>
      <c r="E35" s="4"/>
    </row>
    <row r="36" spans="1:5" x14ac:dyDescent="0.25">
      <c r="A36" s="4" t="s">
        <v>212</v>
      </c>
      <c r="B36" s="4" t="s">
        <v>213</v>
      </c>
      <c r="C36" s="4" t="s">
        <v>244</v>
      </c>
      <c r="D36" s="4"/>
      <c r="E36" s="4"/>
    </row>
    <row r="37" spans="1:5" x14ac:dyDescent="0.25">
      <c r="A37" s="4" t="s">
        <v>214</v>
      </c>
      <c r="B37" s="4" t="s">
        <v>6</v>
      </c>
      <c r="C37" s="4" t="s">
        <v>244</v>
      </c>
      <c r="D37" s="4"/>
      <c r="E37" s="4"/>
    </row>
    <row r="38" spans="1:5" x14ac:dyDescent="0.25">
      <c r="A38" s="4" t="s">
        <v>205</v>
      </c>
      <c r="B38" s="4" t="s">
        <v>6</v>
      </c>
      <c r="C38" s="4" t="s">
        <v>244</v>
      </c>
      <c r="D38" s="4"/>
      <c r="E38" s="4"/>
    </row>
    <row r="39" spans="1:5" x14ac:dyDescent="0.25">
      <c r="A39" s="4" t="s">
        <v>208</v>
      </c>
      <c r="B39" s="4" t="s">
        <v>208</v>
      </c>
      <c r="C39" s="4" t="s">
        <v>244</v>
      </c>
      <c r="D39" s="4"/>
      <c r="E39" s="4"/>
    </row>
    <row r="40" spans="1:5" x14ac:dyDescent="0.25">
      <c r="A40" s="4" t="s">
        <v>206</v>
      </c>
      <c r="B40" s="4" t="s">
        <v>207</v>
      </c>
      <c r="C40" s="4" t="s">
        <v>244</v>
      </c>
      <c r="D40" s="4" t="s">
        <v>207</v>
      </c>
      <c r="E40" s="13">
        <v>25716</v>
      </c>
    </row>
    <row r="41" spans="1:5" x14ac:dyDescent="0.25">
      <c r="A41" s="4" t="s">
        <v>215</v>
      </c>
      <c r="B41" s="4" t="s">
        <v>216</v>
      </c>
      <c r="C41" s="4" t="s">
        <v>241</v>
      </c>
      <c r="D41" s="4" t="s">
        <v>248</v>
      </c>
      <c r="E41" s="4"/>
    </row>
    <row r="42" spans="1:5" x14ac:dyDescent="0.25">
      <c r="A42" s="4" t="s">
        <v>217</v>
      </c>
      <c r="B42" s="4" t="s">
        <v>216</v>
      </c>
      <c r="C42" s="4" t="s">
        <v>244</v>
      </c>
      <c r="D42" s="4" t="s">
        <v>216</v>
      </c>
      <c r="E42" s="13">
        <v>13779</v>
      </c>
    </row>
    <row r="43" spans="1:5" x14ac:dyDescent="0.25">
      <c r="A43" s="4" t="s">
        <v>218</v>
      </c>
      <c r="B43" s="4" t="s">
        <v>216</v>
      </c>
      <c r="C43" s="4" t="s">
        <v>244</v>
      </c>
      <c r="D43" s="4" t="s">
        <v>216</v>
      </c>
      <c r="E43" s="13">
        <v>13779</v>
      </c>
    </row>
    <row r="44" spans="1:5" x14ac:dyDescent="0.25">
      <c r="A44" s="4" t="s">
        <v>219</v>
      </c>
      <c r="B44" s="4" t="s">
        <v>220</v>
      </c>
      <c r="C44" s="4" t="s">
        <v>241</v>
      </c>
      <c r="D44" s="4" t="s">
        <v>261</v>
      </c>
      <c r="E44" s="13">
        <v>20214</v>
      </c>
    </row>
    <row r="45" spans="1:5" x14ac:dyDescent="0.25">
      <c r="A45" s="4" t="s">
        <v>221</v>
      </c>
      <c r="B45" s="4" t="s">
        <v>222</v>
      </c>
      <c r="C45" s="4" t="s">
        <v>244</v>
      </c>
      <c r="D45" s="4"/>
      <c r="E45" s="4"/>
    </row>
    <row r="46" spans="1:5" x14ac:dyDescent="0.25">
      <c r="A46" s="4" t="s">
        <v>223</v>
      </c>
      <c r="B46" s="4" t="s">
        <v>224</v>
      </c>
      <c r="C46" s="4" t="s">
        <v>244</v>
      </c>
      <c r="D46" s="4"/>
      <c r="E46" s="4"/>
    </row>
    <row r="47" spans="1:5" x14ac:dyDescent="0.25">
      <c r="A47" s="4" t="s">
        <v>225</v>
      </c>
      <c r="B47" s="4" t="s">
        <v>226</v>
      </c>
      <c r="C47" s="4" t="s">
        <v>244</v>
      </c>
      <c r="D47" s="4"/>
      <c r="E47" s="4"/>
    </row>
    <row r="48" spans="1:5" x14ac:dyDescent="0.25">
      <c r="A48" s="4" t="s">
        <v>227</v>
      </c>
      <c r="B48" s="4" t="s">
        <v>227</v>
      </c>
      <c r="C48" s="4" t="s">
        <v>244</v>
      </c>
      <c r="D48" s="4"/>
      <c r="E48" s="4"/>
    </row>
    <row r="49" spans="1:5" x14ac:dyDescent="0.25">
      <c r="A49" s="4" t="s">
        <v>228</v>
      </c>
      <c r="B49" s="4" t="s">
        <v>229</v>
      </c>
      <c r="C49" s="4" t="s">
        <v>244</v>
      </c>
      <c r="D49" s="4"/>
      <c r="E4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zoomScaleNormal="100" workbookViewId="0">
      <selection activeCell="A2" sqref="A2"/>
    </sheetView>
  </sheetViews>
  <sheetFormatPr defaultRowHeight="15" x14ac:dyDescent="0.25"/>
  <cols>
    <col min="1" max="1" width="71.7109375" bestFit="1" customWidth="1"/>
    <col min="2" max="2" width="43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237</v>
      </c>
      <c r="D1" s="2" t="s">
        <v>238</v>
      </c>
      <c r="E1" s="3" t="s">
        <v>239</v>
      </c>
      <c r="G1" s="9" t="s">
        <v>244</v>
      </c>
      <c r="H1" s="10">
        <f>COUNTIF(C:C,G1)</f>
        <v>45</v>
      </c>
    </row>
    <row r="2" spans="1:8" x14ac:dyDescent="0.25">
      <c r="A2" s="4" t="s">
        <v>162</v>
      </c>
      <c r="B2" s="4" t="s">
        <v>6</v>
      </c>
      <c r="C2" s="4" t="s">
        <v>244</v>
      </c>
      <c r="D2" s="4"/>
      <c r="E2" s="4"/>
      <c r="G2" s="7" t="s">
        <v>241</v>
      </c>
      <c r="H2" s="8">
        <f>COUNTIF(C:C,G2)</f>
        <v>5</v>
      </c>
    </row>
    <row r="3" spans="1:8" ht="15.75" thickBot="1" x14ac:dyDescent="0.3">
      <c r="A3" s="4" t="s">
        <v>163</v>
      </c>
      <c r="B3" s="4" t="s">
        <v>164</v>
      </c>
      <c r="C3" s="4" t="s">
        <v>244</v>
      </c>
      <c r="D3" s="4"/>
      <c r="E3" s="4"/>
      <c r="G3" s="11" t="s">
        <v>245</v>
      </c>
      <c r="H3" s="12">
        <f>H1/SUM(H1:H2)</f>
        <v>0.9</v>
      </c>
    </row>
    <row r="4" spans="1:8" x14ac:dyDescent="0.25">
      <c r="A4" s="4" t="s">
        <v>230</v>
      </c>
      <c r="B4" s="4" t="s">
        <v>166</v>
      </c>
      <c r="C4" s="4" t="s">
        <v>241</v>
      </c>
      <c r="D4" s="4" t="s">
        <v>262</v>
      </c>
      <c r="E4" s="13">
        <v>13720</v>
      </c>
    </row>
    <row r="5" spans="1:8" x14ac:dyDescent="0.25">
      <c r="A5" s="4" t="s">
        <v>165</v>
      </c>
      <c r="B5" s="4" t="s">
        <v>166</v>
      </c>
      <c r="C5" s="4" t="s">
        <v>241</v>
      </c>
      <c r="D5" s="4" t="s">
        <v>260</v>
      </c>
      <c r="E5" s="13">
        <v>30342</v>
      </c>
    </row>
    <row r="6" spans="1:8" x14ac:dyDescent="0.25">
      <c r="A6" s="4" t="s">
        <v>231</v>
      </c>
      <c r="B6" s="4" t="s">
        <v>231</v>
      </c>
      <c r="C6" s="4" t="s">
        <v>241</v>
      </c>
      <c r="D6" s="4" t="s">
        <v>263</v>
      </c>
      <c r="E6" s="13">
        <v>13734</v>
      </c>
    </row>
    <row r="7" spans="1:8" x14ac:dyDescent="0.25">
      <c r="A7" s="4" t="s">
        <v>169</v>
      </c>
      <c r="B7" s="4" t="s">
        <v>6</v>
      </c>
      <c r="C7" s="4" t="s">
        <v>244</v>
      </c>
      <c r="D7" s="4"/>
      <c r="E7" s="4"/>
    </row>
    <row r="8" spans="1:8" x14ac:dyDescent="0.25">
      <c r="A8" s="4" t="s">
        <v>96</v>
      </c>
      <c r="B8" s="4" t="s">
        <v>170</v>
      </c>
      <c r="C8" s="4" t="s">
        <v>244</v>
      </c>
      <c r="D8" s="4"/>
      <c r="E8" s="4"/>
    </row>
    <row r="9" spans="1:8" x14ac:dyDescent="0.25">
      <c r="A9" s="4" t="s">
        <v>171</v>
      </c>
      <c r="B9" s="4" t="s">
        <v>172</v>
      </c>
      <c r="C9" s="4" t="s">
        <v>244</v>
      </c>
      <c r="D9" s="4"/>
      <c r="E9" s="4"/>
    </row>
    <row r="10" spans="1:8" x14ac:dyDescent="0.25">
      <c r="A10" s="4" t="s">
        <v>167</v>
      </c>
      <c r="B10" s="4" t="s">
        <v>168</v>
      </c>
      <c r="C10" s="4" t="s">
        <v>244</v>
      </c>
      <c r="D10" s="4"/>
      <c r="E10" s="4"/>
    </row>
    <row r="11" spans="1:8" x14ac:dyDescent="0.25">
      <c r="A11" s="4" t="s">
        <v>173</v>
      </c>
      <c r="B11" s="4" t="s">
        <v>174</v>
      </c>
      <c r="C11" s="4" t="s">
        <v>244</v>
      </c>
      <c r="D11" s="4"/>
      <c r="E11" s="4"/>
    </row>
    <row r="12" spans="1:8" x14ac:dyDescent="0.25">
      <c r="A12" s="4" t="s">
        <v>175</v>
      </c>
      <c r="B12" s="4" t="s">
        <v>176</v>
      </c>
      <c r="C12" s="4" t="s">
        <v>244</v>
      </c>
      <c r="D12" s="4"/>
      <c r="E12" s="4"/>
    </row>
    <row r="13" spans="1:8" x14ac:dyDescent="0.25">
      <c r="A13" s="4" t="s">
        <v>177</v>
      </c>
      <c r="B13" s="4" t="s">
        <v>6</v>
      </c>
      <c r="C13" s="4" t="s">
        <v>244</v>
      </c>
      <c r="D13" s="4"/>
      <c r="E13" s="4"/>
    </row>
    <row r="14" spans="1:8" x14ac:dyDescent="0.25">
      <c r="A14" s="4" t="s">
        <v>75</v>
      </c>
      <c r="B14" s="4" t="s">
        <v>75</v>
      </c>
      <c r="C14" s="4" t="s">
        <v>244</v>
      </c>
      <c r="D14" s="4"/>
      <c r="E14" s="4"/>
    </row>
    <row r="15" spans="1:8" x14ac:dyDescent="0.25">
      <c r="A15" s="4" t="s">
        <v>178</v>
      </c>
      <c r="B15" s="4" t="s">
        <v>6</v>
      </c>
      <c r="C15" s="4" t="s">
        <v>244</v>
      </c>
      <c r="D15" s="4"/>
      <c r="E15" s="4"/>
    </row>
    <row r="16" spans="1:8" x14ac:dyDescent="0.25">
      <c r="A16" s="4" t="s">
        <v>179</v>
      </c>
      <c r="B16" s="4" t="s">
        <v>180</v>
      </c>
      <c r="C16" s="4" t="s">
        <v>244</v>
      </c>
      <c r="D16" s="4" t="s">
        <v>180</v>
      </c>
      <c r="E16" s="13">
        <v>13780</v>
      </c>
    </row>
    <row r="17" spans="1:5" x14ac:dyDescent="0.25">
      <c r="A17" s="4" t="s">
        <v>181</v>
      </c>
      <c r="B17" s="4" t="s">
        <v>182</v>
      </c>
      <c r="C17" s="4" t="s">
        <v>244</v>
      </c>
      <c r="D17" s="4"/>
      <c r="E17" s="4"/>
    </row>
    <row r="18" spans="1:5" x14ac:dyDescent="0.25">
      <c r="A18" s="4" t="s">
        <v>232</v>
      </c>
      <c r="B18" s="4" t="s">
        <v>233</v>
      </c>
      <c r="C18" s="4" t="s">
        <v>244</v>
      </c>
      <c r="D18" s="4"/>
      <c r="E18" s="4"/>
    </row>
    <row r="19" spans="1:5" x14ac:dyDescent="0.25">
      <c r="A19" s="4" t="s">
        <v>183</v>
      </c>
      <c r="B19" s="4" t="s">
        <v>184</v>
      </c>
      <c r="C19" s="4" t="s">
        <v>244</v>
      </c>
      <c r="D19" s="4"/>
      <c r="E19" s="4"/>
    </row>
    <row r="20" spans="1:5" x14ac:dyDescent="0.25">
      <c r="A20" s="4" t="s">
        <v>185</v>
      </c>
      <c r="B20" s="4" t="s">
        <v>186</v>
      </c>
      <c r="C20" s="4" t="s">
        <v>244</v>
      </c>
      <c r="D20" s="4"/>
      <c r="E20" s="4"/>
    </row>
    <row r="21" spans="1:5" x14ac:dyDescent="0.25">
      <c r="A21" s="4" t="s">
        <v>187</v>
      </c>
      <c r="B21" s="4" t="s">
        <v>187</v>
      </c>
      <c r="C21" s="4" t="s">
        <v>244</v>
      </c>
      <c r="D21" s="4"/>
      <c r="E21" s="4"/>
    </row>
    <row r="22" spans="1:5" x14ac:dyDescent="0.25">
      <c r="A22" s="4" t="s">
        <v>188</v>
      </c>
      <c r="B22" s="4" t="s">
        <v>188</v>
      </c>
      <c r="C22" s="4" t="s">
        <v>244</v>
      </c>
      <c r="D22" s="4"/>
      <c r="E22" s="4"/>
    </row>
    <row r="23" spans="1:5" x14ac:dyDescent="0.25">
      <c r="A23" s="4" t="s">
        <v>189</v>
      </c>
      <c r="B23" s="4" t="s">
        <v>189</v>
      </c>
      <c r="C23" s="4" t="s">
        <v>244</v>
      </c>
      <c r="D23" s="4"/>
      <c r="E23" s="4"/>
    </row>
    <row r="24" spans="1:5" x14ac:dyDescent="0.25">
      <c r="A24" s="4" t="s">
        <v>190</v>
      </c>
      <c r="B24" s="4" t="s">
        <v>6</v>
      </c>
      <c r="C24" s="4" t="s">
        <v>244</v>
      </c>
      <c r="D24" s="4"/>
      <c r="E24" s="4"/>
    </row>
    <row r="25" spans="1:5" x14ac:dyDescent="0.25">
      <c r="A25" s="4" t="s">
        <v>191</v>
      </c>
      <c r="B25" s="4" t="s">
        <v>6</v>
      </c>
      <c r="C25" s="4" t="s">
        <v>244</v>
      </c>
      <c r="D25" s="4"/>
      <c r="E25" s="4"/>
    </row>
    <row r="26" spans="1:5" x14ac:dyDescent="0.25">
      <c r="A26" s="4" t="s">
        <v>192</v>
      </c>
      <c r="B26" s="4" t="s">
        <v>193</v>
      </c>
      <c r="C26" s="4" t="s">
        <v>244</v>
      </c>
      <c r="D26" s="4"/>
      <c r="E26" s="4"/>
    </row>
    <row r="27" spans="1:5" x14ac:dyDescent="0.25">
      <c r="A27" s="4" t="s">
        <v>194</v>
      </c>
      <c r="B27" s="4" t="s">
        <v>195</v>
      </c>
      <c r="C27" s="4" t="s">
        <v>244</v>
      </c>
      <c r="D27" s="4"/>
      <c r="E27" s="4"/>
    </row>
    <row r="28" spans="1:5" x14ac:dyDescent="0.25">
      <c r="A28" s="4" t="s">
        <v>234</v>
      </c>
      <c r="B28" s="4" t="s">
        <v>235</v>
      </c>
      <c r="C28" s="4" t="s">
        <v>244</v>
      </c>
      <c r="D28" s="4"/>
      <c r="E28" s="4"/>
    </row>
    <row r="29" spans="1:5" x14ac:dyDescent="0.25">
      <c r="A29" s="4" t="s">
        <v>199</v>
      </c>
      <c r="B29" s="4" t="s">
        <v>200</v>
      </c>
      <c r="C29" s="4" t="s">
        <v>244</v>
      </c>
      <c r="D29" s="4"/>
      <c r="E29" s="4"/>
    </row>
    <row r="30" spans="1:5" x14ac:dyDescent="0.25">
      <c r="A30" s="4" t="s">
        <v>201</v>
      </c>
      <c r="B30" s="4" t="s">
        <v>6</v>
      </c>
      <c r="C30" s="4" t="s">
        <v>244</v>
      </c>
      <c r="D30" s="4"/>
      <c r="E30" s="4"/>
    </row>
    <row r="31" spans="1:5" x14ac:dyDescent="0.25">
      <c r="A31" s="4" t="s">
        <v>202</v>
      </c>
      <c r="B31" s="4" t="s">
        <v>6</v>
      </c>
      <c r="C31" s="4" t="s">
        <v>244</v>
      </c>
      <c r="D31" s="4"/>
      <c r="E31" s="4"/>
    </row>
    <row r="32" spans="1:5" x14ac:dyDescent="0.25">
      <c r="A32" s="4" t="s">
        <v>203</v>
      </c>
      <c r="B32" s="4" t="s">
        <v>204</v>
      </c>
      <c r="C32" s="4" t="s">
        <v>244</v>
      </c>
      <c r="D32" s="4"/>
      <c r="E32" s="4"/>
    </row>
    <row r="33" spans="1:5" x14ac:dyDescent="0.25">
      <c r="A33" s="4" t="s">
        <v>205</v>
      </c>
      <c r="B33" s="4" t="s">
        <v>6</v>
      </c>
      <c r="C33" s="4" t="s">
        <v>244</v>
      </c>
      <c r="D33" s="4"/>
      <c r="E33" s="4"/>
    </row>
    <row r="34" spans="1:5" x14ac:dyDescent="0.25">
      <c r="A34" s="4" t="s">
        <v>206</v>
      </c>
      <c r="B34" s="4" t="s">
        <v>207</v>
      </c>
      <c r="C34" s="4" t="s">
        <v>244</v>
      </c>
      <c r="D34" s="4" t="s">
        <v>207</v>
      </c>
      <c r="E34" s="13">
        <v>30340</v>
      </c>
    </row>
    <row r="35" spans="1:5" x14ac:dyDescent="0.25">
      <c r="A35" s="4" t="s">
        <v>208</v>
      </c>
      <c r="B35" s="4" t="s">
        <v>208</v>
      </c>
      <c r="C35" s="4" t="s">
        <v>244</v>
      </c>
      <c r="D35" s="4"/>
      <c r="E35" s="4"/>
    </row>
    <row r="36" spans="1:5" x14ac:dyDescent="0.25">
      <c r="A36" s="4" t="s">
        <v>236</v>
      </c>
      <c r="B36" s="4" t="s">
        <v>220</v>
      </c>
      <c r="C36" s="4" t="s">
        <v>264</v>
      </c>
      <c r="D36" s="4"/>
      <c r="E36" s="4"/>
    </row>
    <row r="37" spans="1:5" x14ac:dyDescent="0.25">
      <c r="A37" s="4" t="s">
        <v>85</v>
      </c>
      <c r="B37" s="4" t="s">
        <v>211</v>
      </c>
      <c r="C37" s="4" t="s">
        <v>244</v>
      </c>
      <c r="D37" s="4"/>
      <c r="E37" s="4"/>
    </row>
    <row r="38" spans="1:5" x14ac:dyDescent="0.25">
      <c r="A38" s="4" t="s">
        <v>212</v>
      </c>
      <c r="B38" s="4" t="s">
        <v>213</v>
      </c>
      <c r="C38" s="4" t="s">
        <v>244</v>
      </c>
      <c r="D38" s="4"/>
      <c r="E38" s="4"/>
    </row>
    <row r="39" spans="1:5" x14ac:dyDescent="0.25">
      <c r="A39" s="4" t="s">
        <v>214</v>
      </c>
      <c r="B39" s="4" t="s">
        <v>6</v>
      </c>
      <c r="C39" s="4" t="s">
        <v>244</v>
      </c>
      <c r="D39" s="4"/>
      <c r="E39" s="4"/>
    </row>
    <row r="40" spans="1:5" x14ac:dyDescent="0.25">
      <c r="A40" s="4" t="s">
        <v>205</v>
      </c>
      <c r="B40" s="4" t="s">
        <v>6</v>
      </c>
      <c r="C40" s="4" t="s">
        <v>244</v>
      </c>
      <c r="D40" s="4"/>
      <c r="E40" s="4"/>
    </row>
    <row r="41" spans="1:5" x14ac:dyDescent="0.25">
      <c r="A41" s="4" t="s">
        <v>208</v>
      </c>
      <c r="B41" s="4" t="s">
        <v>208</v>
      </c>
      <c r="C41" s="4" t="s">
        <v>244</v>
      </c>
      <c r="D41" s="4"/>
      <c r="E41" s="4"/>
    </row>
    <row r="42" spans="1:5" x14ac:dyDescent="0.25">
      <c r="A42" s="4" t="s">
        <v>206</v>
      </c>
      <c r="B42" s="4" t="s">
        <v>207</v>
      </c>
      <c r="C42" s="4" t="s">
        <v>244</v>
      </c>
      <c r="D42" s="4" t="s">
        <v>207</v>
      </c>
      <c r="E42" s="13">
        <v>25716</v>
      </c>
    </row>
    <row r="43" spans="1:5" x14ac:dyDescent="0.25">
      <c r="A43" s="4" t="s">
        <v>215</v>
      </c>
      <c r="B43" s="4" t="s">
        <v>216</v>
      </c>
      <c r="C43" s="4" t="s">
        <v>241</v>
      </c>
      <c r="D43" s="4" t="s">
        <v>248</v>
      </c>
      <c r="E43" s="4"/>
    </row>
    <row r="44" spans="1:5" x14ac:dyDescent="0.25">
      <c r="A44" s="4" t="s">
        <v>217</v>
      </c>
      <c r="B44" s="4" t="s">
        <v>216</v>
      </c>
      <c r="C44" s="4" t="s">
        <v>244</v>
      </c>
      <c r="D44" s="4" t="s">
        <v>216</v>
      </c>
      <c r="E44" s="13">
        <v>13779</v>
      </c>
    </row>
    <row r="45" spans="1:5" x14ac:dyDescent="0.25">
      <c r="A45" s="4" t="s">
        <v>218</v>
      </c>
      <c r="B45" s="4" t="s">
        <v>216</v>
      </c>
      <c r="C45" s="4" t="s">
        <v>244</v>
      </c>
      <c r="D45" s="4" t="s">
        <v>216</v>
      </c>
      <c r="E45" s="13">
        <v>13779</v>
      </c>
    </row>
    <row r="46" spans="1:5" x14ac:dyDescent="0.25">
      <c r="A46" s="4" t="s">
        <v>219</v>
      </c>
      <c r="B46" s="4" t="s">
        <v>220</v>
      </c>
      <c r="C46" s="4" t="s">
        <v>241</v>
      </c>
      <c r="D46" s="4" t="s">
        <v>261</v>
      </c>
      <c r="E46" s="13">
        <v>20214</v>
      </c>
    </row>
    <row r="47" spans="1:5" x14ac:dyDescent="0.25">
      <c r="A47" s="4" t="s">
        <v>221</v>
      </c>
      <c r="B47" s="4" t="s">
        <v>222</v>
      </c>
      <c r="C47" s="4" t="s">
        <v>244</v>
      </c>
      <c r="D47" s="4"/>
      <c r="E47" s="4"/>
    </row>
    <row r="48" spans="1:5" x14ac:dyDescent="0.25">
      <c r="A48" s="4" t="s">
        <v>223</v>
      </c>
      <c r="B48" s="4" t="s">
        <v>224</v>
      </c>
      <c r="C48" s="4" t="s">
        <v>244</v>
      </c>
      <c r="D48" s="4"/>
      <c r="E48" s="4"/>
    </row>
    <row r="49" spans="1:5" x14ac:dyDescent="0.25">
      <c r="A49" s="4" t="s">
        <v>225</v>
      </c>
      <c r="B49" s="4" t="s">
        <v>226</v>
      </c>
      <c r="C49" s="4" t="s">
        <v>244</v>
      </c>
      <c r="D49" s="4"/>
      <c r="E49" s="4"/>
    </row>
    <row r="50" spans="1:5" x14ac:dyDescent="0.25">
      <c r="A50" s="4" t="s">
        <v>227</v>
      </c>
      <c r="B50" s="4" t="s">
        <v>227</v>
      </c>
      <c r="C50" s="4" t="s">
        <v>244</v>
      </c>
      <c r="D50" s="4"/>
      <c r="E50" s="4"/>
    </row>
    <row r="51" spans="1:5" x14ac:dyDescent="0.25">
      <c r="A51" s="4" t="s">
        <v>228</v>
      </c>
      <c r="B51" s="4" t="s">
        <v>229</v>
      </c>
      <c r="C51" s="4" t="s">
        <v>244</v>
      </c>
      <c r="D51" s="4"/>
      <c r="E51" s="4"/>
    </row>
  </sheetData>
  <autoFilter ref="A1:H1" xr:uid="{00000000-0001-0000-05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19" zoomScaleNormal="100" workbookViewId="0"/>
  </sheetViews>
  <sheetFormatPr defaultRowHeight="15" x14ac:dyDescent="0.25"/>
  <cols>
    <col min="1" max="1" width="50.7109375" bestFit="1" customWidth="1"/>
    <col min="2" max="2" width="45.5703125" customWidth="1"/>
    <col min="3" max="3" width="8.85546875" bestFit="1" customWidth="1"/>
    <col min="4" max="4" width="50.140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237</v>
      </c>
      <c r="D1" s="2" t="s">
        <v>238</v>
      </c>
      <c r="E1" s="3" t="s">
        <v>239</v>
      </c>
      <c r="G1" s="9" t="s">
        <v>244</v>
      </c>
      <c r="H1" s="10">
        <f>COUNTIF(C:C,G1)</f>
        <v>26</v>
      </c>
    </row>
    <row r="2" spans="1:8" x14ac:dyDescent="0.25">
      <c r="A2" s="4" t="s">
        <v>60</v>
      </c>
      <c r="B2" s="4" t="s">
        <v>61</v>
      </c>
      <c r="C2" s="4" t="s">
        <v>244</v>
      </c>
      <c r="D2" s="4"/>
      <c r="E2" s="4"/>
      <c r="G2" s="7" t="s">
        <v>241</v>
      </c>
      <c r="H2" s="8">
        <f>COUNTIF(C:C,G2)</f>
        <v>9</v>
      </c>
    </row>
    <row r="3" spans="1:8" ht="15.75" thickBot="1" x14ac:dyDescent="0.3">
      <c r="A3" s="4" t="s">
        <v>62</v>
      </c>
      <c r="B3" s="4" t="s">
        <v>6</v>
      </c>
      <c r="C3" s="4" t="s">
        <v>244</v>
      </c>
      <c r="D3" s="4"/>
      <c r="E3" s="4"/>
      <c r="G3" s="11" t="s">
        <v>245</v>
      </c>
      <c r="H3" s="12">
        <f>H1/SUM(H1:H2)</f>
        <v>0.74285714285714288</v>
      </c>
    </row>
    <row r="4" spans="1:8" x14ac:dyDescent="0.25">
      <c r="A4" s="4" t="s">
        <v>63</v>
      </c>
      <c r="B4" s="4" t="s">
        <v>64</v>
      </c>
      <c r="C4" s="4" t="s">
        <v>244</v>
      </c>
      <c r="D4" s="4"/>
      <c r="E4" s="4"/>
    </row>
    <row r="5" spans="1:8" x14ac:dyDescent="0.25">
      <c r="A5" s="4" t="s">
        <v>65</v>
      </c>
      <c r="B5" s="4" t="s">
        <v>66</v>
      </c>
      <c r="C5" s="4" t="s">
        <v>241</v>
      </c>
      <c r="D5" s="4" t="s">
        <v>65</v>
      </c>
      <c r="E5" s="13">
        <v>30481</v>
      </c>
    </row>
    <row r="6" spans="1:8" x14ac:dyDescent="0.25">
      <c r="A6" s="4" t="s">
        <v>67</v>
      </c>
      <c r="B6" s="4" t="s">
        <v>68</v>
      </c>
      <c r="C6" s="4" t="s">
        <v>244</v>
      </c>
      <c r="D6" s="4"/>
      <c r="E6" s="4"/>
    </row>
    <row r="7" spans="1:8" x14ac:dyDescent="0.25">
      <c r="A7" s="4" t="s">
        <v>69</v>
      </c>
      <c r="B7" s="4" t="s">
        <v>69</v>
      </c>
      <c r="C7" s="4" t="s">
        <v>244</v>
      </c>
      <c r="D7" s="4"/>
      <c r="E7" s="4"/>
    </row>
    <row r="8" spans="1:8" x14ac:dyDescent="0.25">
      <c r="A8" s="4" t="s">
        <v>62</v>
      </c>
      <c r="B8" s="4" t="s">
        <v>6</v>
      </c>
      <c r="C8" s="4" t="s">
        <v>244</v>
      </c>
      <c r="D8" s="4"/>
      <c r="E8" s="4"/>
    </row>
    <row r="9" spans="1:8" x14ac:dyDescent="0.25">
      <c r="A9" s="4" t="s">
        <v>70</v>
      </c>
      <c r="B9" s="4" t="s">
        <v>71</v>
      </c>
      <c r="C9" s="4" t="s">
        <v>244</v>
      </c>
      <c r="D9" s="4"/>
      <c r="E9" s="4"/>
    </row>
    <row r="10" spans="1:8" x14ac:dyDescent="0.25">
      <c r="A10" s="4" t="s">
        <v>72</v>
      </c>
      <c r="B10" s="4" t="s">
        <v>73</v>
      </c>
      <c r="C10" s="4" t="s">
        <v>244</v>
      </c>
      <c r="D10" s="4"/>
      <c r="E10" s="4"/>
    </row>
    <row r="11" spans="1:8" x14ac:dyDescent="0.25">
      <c r="A11" s="4" t="s">
        <v>74</v>
      </c>
      <c r="B11" s="4" t="s">
        <v>75</v>
      </c>
      <c r="C11" s="4" t="s">
        <v>244</v>
      </c>
      <c r="D11" s="4"/>
      <c r="E11" s="4"/>
    </row>
    <row r="12" spans="1:8" x14ac:dyDescent="0.25">
      <c r="A12" s="4" t="s">
        <v>76</v>
      </c>
      <c r="B12" s="4" t="s">
        <v>77</v>
      </c>
      <c r="C12" s="4" t="s">
        <v>244</v>
      </c>
      <c r="D12" s="4"/>
      <c r="E12" s="4"/>
    </row>
    <row r="13" spans="1:8" x14ac:dyDescent="0.25">
      <c r="A13" s="4" t="s">
        <v>78</v>
      </c>
      <c r="B13" s="4" t="s">
        <v>79</v>
      </c>
      <c r="C13" s="4" t="s">
        <v>241</v>
      </c>
      <c r="D13" s="4" t="s">
        <v>124</v>
      </c>
      <c r="E13" s="13">
        <v>30454</v>
      </c>
    </row>
    <row r="14" spans="1:8" x14ac:dyDescent="0.25">
      <c r="A14" s="4" t="s">
        <v>80</v>
      </c>
      <c r="B14" s="4" t="s">
        <v>81</v>
      </c>
      <c r="C14" s="4" t="s">
        <v>241</v>
      </c>
      <c r="D14" s="4" t="s">
        <v>265</v>
      </c>
      <c r="E14" s="13">
        <v>30452</v>
      </c>
    </row>
    <row r="15" spans="1:8" x14ac:dyDescent="0.25">
      <c r="A15" s="4" t="s">
        <v>82</v>
      </c>
      <c r="B15" s="4" t="s">
        <v>83</v>
      </c>
      <c r="C15" s="4" t="s">
        <v>241</v>
      </c>
      <c r="D15" s="4" t="s">
        <v>266</v>
      </c>
      <c r="E15" s="13">
        <v>17546</v>
      </c>
    </row>
    <row r="16" spans="1:8" x14ac:dyDescent="0.25">
      <c r="A16" s="4" t="s">
        <v>84</v>
      </c>
      <c r="B16" s="4" t="s">
        <v>85</v>
      </c>
      <c r="C16" s="4" t="s">
        <v>244</v>
      </c>
      <c r="D16" s="4"/>
      <c r="E16" s="4"/>
    </row>
    <row r="17" spans="1:5" x14ac:dyDescent="0.25">
      <c r="A17" s="4" t="s">
        <v>86</v>
      </c>
      <c r="B17" s="4" t="s">
        <v>87</v>
      </c>
      <c r="C17" s="4" t="s">
        <v>241</v>
      </c>
      <c r="D17" s="4" t="s">
        <v>248</v>
      </c>
      <c r="E17" s="4"/>
    </row>
    <row r="18" spans="1:5" x14ac:dyDescent="0.25">
      <c r="A18" s="4" t="s">
        <v>88</v>
      </c>
      <c r="B18" s="4" t="s">
        <v>87</v>
      </c>
      <c r="C18" s="4" t="s">
        <v>244</v>
      </c>
      <c r="D18" s="4"/>
      <c r="E18" s="4"/>
    </row>
    <row r="19" spans="1:5" x14ac:dyDescent="0.25">
      <c r="A19" s="4" t="s">
        <v>89</v>
      </c>
      <c r="B19" s="4" t="s">
        <v>90</v>
      </c>
      <c r="C19" s="4" t="s">
        <v>244</v>
      </c>
      <c r="D19" s="4"/>
      <c r="E19" s="4"/>
    </row>
    <row r="20" spans="1:5" x14ac:dyDescent="0.25">
      <c r="A20" s="4" t="s">
        <v>91</v>
      </c>
      <c r="B20" s="4" t="s">
        <v>92</v>
      </c>
      <c r="C20" s="4" t="s">
        <v>241</v>
      </c>
      <c r="D20" s="4" t="s">
        <v>248</v>
      </c>
      <c r="E20" s="4"/>
    </row>
    <row r="21" spans="1:5" x14ac:dyDescent="0.25">
      <c r="A21" s="4" t="s">
        <v>93</v>
      </c>
      <c r="B21" s="4" t="s">
        <v>83</v>
      </c>
      <c r="C21" s="4" t="s">
        <v>244</v>
      </c>
      <c r="D21" s="4"/>
      <c r="E21" s="4"/>
    </row>
    <row r="22" spans="1:5" x14ac:dyDescent="0.25">
      <c r="A22" s="4" t="s">
        <v>94</v>
      </c>
      <c r="B22" s="4" t="s">
        <v>95</v>
      </c>
      <c r="C22" s="4" t="s">
        <v>244</v>
      </c>
      <c r="D22" s="4"/>
      <c r="E22" s="4"/>
    </row>
    <row r="23" spans="1:5" x14ac:dyDescent="0.25">
      <c r="A23" s="4" t="s">
        <v>96</v>
      </c>
      <c r="B23" s="4" t="s">
        <v>97</v>
      </c>
      <c r="C23" s="4" t="s">
        <v>241</v>
      </c>
      <c r="D23" s="4" t="s">
        <v>142</v>
      </c>
      <c r="E23" s="13">
        <v>17557</v>
      </c>
    </row>
    <row r="24" spans="1:5" x14ac:dyDescent="0.25">
      <c r="A24" s="4" t="s">
        <v>98</v>
      </c>
      <c r="B24" s="4" t="s">
        <v>99</v>
      </c>
      <c r="C24" s="4" t="s">
        <v>244</v>
      </c>
      <c r="D24" s="4"/>
      <c r="E24" s="4"/>
    </row>
    <row r="25" spans="1:5" x14ac:dyDescent="0.25">
      <c r="A25" s="4" t="s">
        <v>100</v>
      </c>
      <c r="B25" s="4" t="s">
        <v>101</v>
      </c>
      <c r="C25" s="4" t="s">
        <v>244</v>
      </c>
      <c r="D25" s="4"/>
      <c r="E25" s="4"/>
    </row>
    <row r="26" spans="1:5" x14ac:dyDescent="0.25">
      <c r="A26" s="4" t="s">
        <v>102</v>
      </c>
      <c r="B26" s="4" t="s">
        <v>92</v>
      </c>
      <c r="C26" s="4" t="s">
        <v>244</v>
      </c>
      <c r="D26" s="4"/>
      <c r="E26" s="4"/>
    </row>
    <row r="27" spans="1:5" x14ac:dyDescent="0.25">
      <c r="A27" s="4" t="s">
        <v>103</v>
      </c>
      <c r="B27" s="4" t="s">
        <v>6</v>
      </c>
      <c r="C27" s="4" t="s">
        <v>244</v>
      </c>
      <c r="D27" s="4"/>
      <c r="E27" s="4"/>
    </row>
    <row r="28" spans="1:5" x14ac:dyDescent="0.25">
      <c r="A28" s="4" t="s">
        <v>104</v>
      </c>
      <c r="B28" s="4" t="s">
        <v>105</v>
      </c>
      <c r="C28" s="4" t="s">
        <v>244</v>
      </c>
      <c r="D28" s="4"/>
      <c r="E28" s="4"/>
    </row>
    <row r="29" spans="1:5" x14ac:dyDescent="0.25">
      <c r="A29" s="4" t="s">
        <v>106</v>
      </c>
      <c r="B29" s="4" t="s">
        <v>107</v>
      </c>
      <c r="C29" s="4" t="s">
        <v>244</v>
      </c>
      <c r="D29" s="4"/>
      <c r="E29" s="4"/>
    </row>
    <row r="30" spans="1:5" x14ac:dyDescent="0.25">
      <c r="A30" s="4" t="s">
        <v>108</v>
      </c>
      <c r="B30" s="4" t="s">
        <v>109</v>
      </c>
      <c r="C30" s="4" t="s">
        <v>241</v>
      </c>
      <c r="D30" s="4" t="s">
        <v>152</v>
      </c>
      <c r="E30" s="13">
        <v>30467</v>
      </c>
    </row>
    <row r="31" spans="1:5" x14ac:dyDescent="0.25">
      <c r="A31" s="4" t="s">
        <v>67</v>
      </c>
      <c r="B31" s="4" t="s">
        <v>68</v>
      </c>
      <c r="C31" s="4" t="s">
        <v>241</v>
      </c>
      <c r="D31" s="4" t="s">
        <v>270</v>
      </c>
      <c r="E31" s="13">
        <v>30484</v>
      </c>
    </row>
    <row r="32" spans="1:5" x14ac:dyDescent="0.25">
      <c r="A32" s="4" t="s">
        <v>110</v>
      </c>
      <c r="B32" s="4" t="s">
        <v>111</v>
      </c>
      <c r="C32" s="4" t="s">
        <v>244</v>
      </c>
      <c r="D32" s="4"/>
      <c r="E32" s="4"/>
    </row>
    <row r="33" spans="1:5" x14ac:dyDescent="0.25">
      <c r="A33" s="4" t="s">
        <v>112</v>
      </c>
      <c r="B33" s="4" t="s">
        <v>113</v>
      </c>
      <c r="C33" s="4" t="s">
        <v>264</v>
      </c>
      <c r="D33" s="4"/>
      <c r="E33" s="4"/>
    </row>
    <row r="34" spans="1:5" x14ac:dyDescent="0.25">
      <c r="A34" s="4" t="s">
        <v>114</v>
      </c>
      <c r="B34" s="4" t="s">
        <v>115</v>
      </c>
      <c r="C34" s="4" t="s">
        <v>244</v>
      </c>
      <c r="D34" s="4"/>
      <c r="E34" s="4"/>
    </row>
    <row r="35" spans="1:5" x14ac:dyDescent="0.25">
      <c r="A35" s="4" t="s">
        <v>116</v>
      </c>
      <c r="B35" s="4" t="s">
        <v>117</v>
      </c>
      <c r="C35" s="4" t="s">
        <v>244</v>
      </c>
      <c r="D35" s="4"/>
      <c r="E35" s="4"/>
    </row>
    <row r="36" spans="1:5" x14ac:dyDescent="0.25">
      <c r="A36" s="4" t="s">
        <v>118</v>
      </c>
      <c r="B36" s="4" t="s">
        <v>119</v>
      </c>
      <c r="C36" s="4" t="s">
        <v>244</v>
      </c>
      <c r="D36" s="4"/>
      <c r="E3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zoomScaleNormal="100" workbookViewId="0"/>
  </sheetViews>
  <sheetFormatPr defaultRowHeight="15" x14ac:dyDescent="0.25"/>
  <cols>
    <col min="1" max="1" width="56" bestFit="1" customWidth="1"/>
    <col min="2" max="2" width="52.28515625" customWidth="1"/>
    <col min="3" max="3" width="16.85546875" customWidth="1"/>
    <col min="4" max="4" width="50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237</v>
      </c>
      <c r="D1" s="2" t="s">
        <v>238</v>
      </c>
      <c r="E1" s="3" t="s">
        <v>239</v>
      </c>
      <c r="G1" s="9" t="s">
        <v>244</v>
      </c>
      <c r="H1" s="10">
        <f>COUNTIF(C:C,G1)</f>
        <v>31</v>
      </c>
    </row>
    <row r="2" spans="1:8" x14ac:dyDescent="0.25">
      <c r="A2" s="4" t="s">
        <v>60</v>
      </c>
      <c r="B2" s="4" t="s">
        <v>61</v>
      </c>
      <c r="C2" s="4" t="s">
        <v>244</v>
      </c>
      <c r="D2" s="4"/>
      <c r="E2" s="4"/>
      <c r="G2" s="7" t="s">
        <v>241</v>
      </c>
      <c r="H2" s="8">
        <f>COUNTIF(C:C,G2)</f>
        <v>8</v>
      </c>
    </row>
    <row r="3" spans="1:8" ht="15.75" thickBot="1" x14ac:dyDescent="0.3">
      <c r="A3" s="4" t="s">
        <v>62</v>
      </c>
      <c r="B3" s="4" t="s">
        <v>6</v>
      </c>
      <c r="C3" s="4" t="s">
        <v>244</v>
      </c>
      <c r="D3" s="4"/>
      <c r="E3" s="4"/>
      <c r="G3" s="11" t="s">
        <v>245</v>
      </c>
      <c r="H3" s="12">
        <f>H1/SUM(H1:H2)</f>
        <v>0.79487179487179482</v>
      </c>
    </row>
    <row r="4" spans="1:8" x14ac:dyDescent="0.25">
      <c r="A4" s="4" t="s">
        <v>19</v>
      </c>
      <c r="B4" s="4" t="s">
        <v>68</v>
      </c>
      <c r="C4" s="4" t="s">
        <v>244</v>
      </c>
      <c r="D4" s="4"/>
      <c r="E4" s="4"/>
    </row>
    <row r="5" spans="1:8" x14ac:dyDescent="0.25">
      <c r="A5" s="4" t="s">
        <v>63</v>
      </c>
      <c r="B5" s="4" t="s">
        <v>64</v>
      </c>
      <c r="C5" s="4" t="s">
        <v>244</v>
      </c>
      <c r="D5" s="4"/>
      <c r="E5" s="4"/>
    </row>
    <row r="6" spans="1:8" x14ac:dyDescent="0.25">
      <c r="A6" s="4" t="s">
        <v>69</v>
      </c>
      <c r="B6" s="4" t="s">
        <v>69</v>
      </c>
      <c r="C6" s="4" t="s">
        <v>244</v>
      </c>
      <c r="D6" s="4"/>
      <c r="E6" s="4"/>
    </row>
    <row r="7" spans="1:8" x14ac:dyDescent="0.25">
      <c r="A7" s="4" t="s">
        <v>62</v>
      </c>
      <c r="B7" s="4" t="s">
        <v>6</v>
      </c>
      <c r="C7" s="4" t="s">
        <v>244</v>
      </c>
      <c r="D7" s="4"/>
      <c r="E7" s="4"/>
    </row>
    <row r="8" spans="1:8" x14ac:dyDescent="0.25">
      <c r="A8" s="4" t="s">
        <v>120</v>
      </c>
      <c r="B8" s="4" t="s">
        <v>75</v>
      </c>
      <c r="C8" s="4" t="s">
        <v>244</v>
      </c>
      <c r="D8" s="4"/>
      <c r="E8" s="4"/>
    </row>
    <row r="9" spans="1:8" x14ac:dyDescent="0.25">
      <c r="A9" s="4" t="s">
        <v>121</v>
      </c>
      <c r="B9" s="4" t="s">
        <v>73</v>
      </c>
      <c r="C9" s="4" t="s">
        <v>244</v>
      </c>
      <c r="D9" s="4"/>
      <c r="E9" s="4"/>
    </row>
    <row r="10" spans="1:8" x14ac:dyDescent="0.25">
      <c r="A10" s="4" t="s">
        <v>122</v>
      </c>
      <c r="B10" s="4" t="s">
        <v>77</v>
      </c>
      <c r="C10" s="4" t="s">
        <v>244</v>
      </c>
      <c r="D10" s="4"/>
      <c r="E10" s="4"/>
    </row>
    <row r="11" spans="1:8" x14ac:dyDescent="0.25">
      <c r="A11" s="4" t="s">
        <v>123</v>
      </c>
      <c r="B11" s="4" t="s">
        <v>124</v>
      </c>
      <c r="C11" s="4" t="s">
        <v>241</v>
      </c>
      <c r="D11" s="4" t="s">
        <v>268</v>
      </c>
      <c r="E11" s="13">
        <v>30453</v>
      </c>
    </row>
    <row r="12" spans="1:8" x14ac:dyDescent="0.25">
      <c r="A12" s="4" t="s">
        <v>125</v>
      </c>
      <c r="B12" s="4" t="s">
        <v>126</v>
      </c>
      <c r="C12" s="4" t="s">
        <v>244</v>
      </c>
      <c r="D12" s="4"/>
      <c r="E12" s="4"/>
    </row>
    <row r="13" spans="1:8" x14ac:dyDescent="0.25">
      <c r="A13" s="4" t="s">
        <v>127</v>
      </c>
      <c r="B13" s="4" t="s">
        <v>79</v>
      </c>
      <c r="C13" s="4" t="s">
        <v>241</v>
      </c>
      <c r="D13" s="4" t="s">
        <v>267</v>
      </c>
      <c r="E13" s="13">
        <v>30451</v>
      </c>
    </row>
    <row r="14" spans="1:8" x14ac:dyDescent="0.25">
      <c r="A14" s="4" t="s">
        <v>128</v>
      </c>
      <c r="B14" s="4" t="s">
        <v>71</v>
      </c>
      <c r="C14" s="4" t="s">
        <v>244</v>
      </c>
      <c r="D14" s="4"/>
      <c r="E14" s="4"/>
    </row>
    <row r="15" spans="1:8" x14ac:dyDescent="0.25">
      <c r="A15" s="4" t="s">
        <v>129</v>
      </c>
      <c r="B15" s="4" t="s">
        <v>71</v>
      </c>
      <c r="C15" s="4" t="s">
        <v>244</v>
      </c>
      <c r="D15" s="4"/>
      <c r="E15" s="4"/>
    </row>
    <row r="16" spans="1:8" x14ac:dyDescent="0.25">
      <c r="A16" s="4" t="s">
        <v>130</v>
      </c>
      <c r="B16" s="4" t="s">
        <v>85</v>
      </c>
      <c r="C16" s="4" t="s">
        <v>244</v>
      </c>
      <c r="D16" s="4"/>
      <c r="E16" s="4"/>
    </row>
    <row r="17" spans="1:5" x14ac:dyDescent="0.25">
      <c r="A17" s="4" t="s">
        <v>131</v>
      </c>
      <c r="B17" s="4" t="s">
        <v>85</v>
      </c>
      <c r="C17" s="4" t="s">
        <v>244</v>
      </c>
      <c r="D17" s="4"/>
      <c r="E17" s="4"/>
    </row>
    <row r="18" spans="1:5" x14ac:dyDescent="0.25">
      <c r="A18" s="4" t="s">
        <v>132</v>
      </c>
      <c r="B18" s="4" t="s">
        <v>126</v>
      </c>
      <c r="C18" s="4" t="s">
        <v>244</v>
      </c>
      <c r="D18" s="4"/>
      <c r="E18" s="4"/>
    </row>
    <row r="19" spans="1:5" x14ac:dyDescent="0.25">
      <c r="A19" s="4" t="s">
        <v>133</v>
      </c>
      <c r="B19" s="4" t="s">
        <v>71</v>
      </c>
      <c r="C19" s="4" t="s">
        <v>241</v>
      </c>
      <c r="D19" s="4" t="s">
        <v>265</v>
      </c>
      <c r="E19" s="13">
        <v>30452</v>
      </c>
    </row>
    <row r="20" spans="1:5" x14ac:dyDescent="0.25">
      <c r="A20" s="4" t="s">
        <v>134</v>
      </c>
      <c r="B20" s="4" t="s">
        <v>71</v>
      </c>
      <c r="C20" s="4" t="s">
        <v>241</v>
      </c>
      <c r="D20" s="4" t="s">
        <v>266</v>
      </c>
      <c r="E20" s="13">
        <v>17546</v>
      </c>
    </row>
    <row r="21" spans="1:5" x14ac:dyDescent="0.25">
      <c r="A21" s="4" t="s">
        <v>135</v>
      </c>
      <c r="B21" s="4" t="s">
        <v>136</v>
      </c>
      <c r="C21" s="4" t="s">
        <v>244</v>
      </c>
      <c r="D21" s="4"/>
      <c r="E21" s="4"/>
    </row>
    <row r="22" spans="1:5" x14ac:dyDescent="0.25">
      <c r="A22" s="4" t="s">
        <v>137</v>
      </c>
      <c r="B22" s="4" t="s">
        <v>87</v>
      </c>
      <c r="C22" s="4" t="s">
        <v>244</v>
      </c>
      <c r="D22" s="4"/>
      <c r="E22" s="4"/>
    </row>
    <row r="23" spans="1:5" x14ac:dyDescent="0.25">
      <c r="A23" s="4" t="s">
        <v>138</v>
      </c>
      <c r="B23" s="4" t="s">
        <v>90</v>
      </c>
      <c r="C23" s="4" t="s">
        <v>244</v>
      </c>
      <c r="D23" s="4"/>
      <c r="E23" s="4"/>
    </row>
    <row r="24" spans="1:5" x14ac:dyDescent="0.25">
      <c r="A24" s="4" t="s">
        <v>139</v>
      </c>
      <c r="B24" s="4" t="s">
        <v>92</v>
      </c>
      <c r="C24" s="4" t="s">
        <v>241</v>
      </c>
      <c r="D24" s="4" t="s">
        <v>248</v>
      </c>
      <c r="E24" s="4"/>
    </row>
    <row r="25" spans="1:5" x14ac:dyDescent="0.25">
      <c r="A25" s="4" t="s">
        <v>140</v>
      </c>
      <c r="B25" s="4" t="s">
        <v>83</v>
      </c>
      <c r="C25" s="4" t="s">
        <v>244</v>
      </c>
      <c r="D25" s="4"/>
      <c r="E25" s="4"/>
    </row>
    <row r="26" spans="1:5" x14ac:dyDescent="0.25">
      <c r="A26" s="4" t="s">
        <v>141</v>
      </c>
      <c r="B26" s="4" t="s">
        <v>142</v>
      </c>
      <c r="C26" s="4" t="s">
        <v>244</v>
      </c>
      <c r="D26" s="4"/>
      <c r="E26" s="4"/>
    </row>
    <row r="27" spans="1:5" x14ac:dyDescent="0.25">
      <c r="A27" s="4" t="s">
        <v>143</v>
      </c>
      <c r="B27" s="4" t="s">
        <v>144</v>
      </c>
      <c r="C27" s="4" t="s">
        <v>241</v>
      </c>
      <c r="D27" s="4" t="s">
        <v>269</v>
      </c>
      <c r="E27" s="13">
        <v>17545</v>
      </c>
    </row>
    <row r="28" spans="1:5" x14ac:dyDescent="0.25">
      <c r="A28" s="4" t="s">
        <v>145</v>
      </c>
      <c r="B28" s="4" t="s">
        <v>146</v>
      </c>
      <c r="C28" s="4" t="s">
        <v>244</v>
      </c>
      <c r="D28" s="4"/>
      <c r="E28" s="4"/>
    </row>
    <row r="29" spans="1:5" x14ac:dyDescent="0.25">
      <c r="A29" s="4" t="s">
        <v>147</v>
      </c>
      <c r="B29" s="4" t="s">
        <v>99</v>
      </c>
      <c r="C29" s="4" t="s">
        <v>244</v>
      </c>
      <c r="D29" s="4"/>
      <c r="E29" s="4"/>
    </row>
    <row r="30" spans="1:5" x14ac:dyDescent="0.25">
      <c r="A30" s="4" t="s">
        <v>148</v>
      </c>
      <c r="B30" s="4" t="s">
        <v>92</v>
      </c>
      <c r="C30" s="4" t="s">
        <v>244</v>
      </c>
      <c r="D30" s="4"/>
      <c r="E30" s="4"/>
    </row>
    <row r="31" spans="1:5" x14ac:dyDescent="0.25">
      <c r="A31" s="4" t="s">
        <v>149</v>
      </c>
      <c r="B31" s="4" t="s">
        <v>6</v>
      </c>
      <c r="C31" s="4" t="s">
        <v>244</v>
      </c>
      <c r="D31" s="4"/>
      <c r="E31" s="4"/>
    </row>
    <row r="32" spans="1:5" x14ac:dyDescent="0.25">
      <c r="A32" s="4" t="s">
        <v>150</v>
      </c>
      <c r="B32" s="4" t="s">
        <v>105</v>
      </c>
      <c r="C32" s="4" t="s">
        <v>244</v>
      </c>
      <c r="D32" s="4"/>
      <c r="E32" s="4"/>
    </row>
    <row r="33" spans="1:5" x14ac:dyDescent="0.25">
      <c r="A33" s="4" t="s">
        <v>151</v>
      </c>
      <c r="B33" s="4" t="s">
        <v>152</v>
      </c>
      <c r="C33" s="4" t="s">
        <v>244</v>
      </c>
      <c r="D33" s="4"/>
      <c r="E33" s="4"/>
    </row>
    <row r="34" spans="1:5" x14ac:dyDescent="0.25">
      <c r="A34" s="4" t="s">
        <v>153</v>
      </c>
      <c r="B34" s="4" t="s">
        <v>154</v>
      </c>
      <c r="C34" s="4" t="s">
        <v>244</v>
      </c>
      <c r="D34" s="4"/>
      <c r="E34" s="4"/>
    </row>
    <row r="35" spans="1:5" x14ac:dyDescent="0.25">
      <c r="A35" s="4" t="s">
        <v>155</v>
      </c>
      <c r="B35" s="4" t="s">
        <v>68</v>
      </c>
      <c r="C35" s="4" t="s">
        <v>241</v>
      </c>
      <c r="D35" s="4" t="s">
        <v>270</v>
      </c>
      <c r="E35" s="13">
        <v>30484</v>
      </c>
    </row>
    <row r="36" spans="1:5" x14ac:dyDescent="0.25">
      <c r="A36" s="4" t="s">
        <v>156</v>
      </c>
      <c r="B36" s="4" t="s">
        <v>111</v>
      </c>
      <c r="C36" s="4" t="s">
        <v>244</v>
      </c>
      <c r="D36" s="4"/>
      <c r="E36" s="4"/>
    </row>
    <row r="37" spans="1:5" x14ac:dyDescent="0.25">
      <c r="A37" s="4" t="s">
        <v>157</v>
      </c>
      <c r="B37" s="4" t="s">
        <v>113</v>
      </c>
      <c r="C37" s="4" t="s">
        <v>244</v>
      </c>
      <c r="D37" s="4"/>
      <c r="E37" s="4"/>
    </row>
    <row r="38" spans="1:5" x14ac:dyDescent="0.25">
      <c r="A38" s="4" t="s">
        <v>158</v>
      </c>
      <c r="B38" s="4" t="s">
        <v>6</v>
      </c>
      <c r="C38" s="4" t="s">
        <v>241</v>
      </c>
      <c r="D38" s="4" t="s">
        <v>115</v>
      </c>
      <c r="E38" s="13">
        <v>17519</v>
      </c>
    </row>
    <row r="39" spans="1:5" x14ac:dyDescent="0.25">
      <c r="A39" s="4" t="s">
        <v>159</v>
      </c>
      <c r="B39" s="4" t="s">
        <v>160</v>
      </c>
      <c r="C39" s="4" t="s">
        <v>244</v>
      </c>
      <c r="D39" s="4"/>
      <c r="E39" s="4"/>
    </row>
    <row r="40" spans="1:5" x14ac:dyDescent="0.25">
      <c r="A40" s="4" t="s">
        <v>161</v>
      </c>
      <c r="B40" s="4" t="s">
        <v>119</v>
      </c>
      <c r="C40" s="4" t="s">
        <v>244</v>
      </c>
      <c r="D40" s="4"/>
      <c r="E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2026-03-24T14:21:01Z</dcterms:created>
  <dcterms:modified xsi:type="dcterms:W3CDTF">2026-04-01T07:57:02Z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2026-03-30T05:22:53Z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224146cf-48cf-4d03-aeb1-207103955bba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