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7AE0E53A-37AB-4765-A6A8-EB7DACB2F2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2" i="5"/>
  <c r="H2" i="3"/>
  <c r="H1" i="3"/>
  <c r="H2" i="2"/>
  <c r="H1" i="2"/>
  <c r="H3" i="2" s="1"/>
  <c r="H3" i="1"/>
  <c r="H1" i="1"/>
  <c r="H1" i="6" l="1"/>
  <c r="H3" i="6" s="1"/>
  <c r="H3" i="3"/>
  <c r="H1" i="5"/>
  <c r="H3" i="5" s="1"/>
  <c r="H1" i="4"/>
  <c r="H2" i="4"/>
  <c r="H4" i="1"/>
  <c r="H3" i="4" l="1"/>
</calcChain>
</file>

<file path=xl/sharedStrings.xml><?xml version="1.0" encoding="utf-8"?>
<sst xmlns="http://schemas.openxmlformats.org/spreadsheetml/2006/main" count="694" uniqueCount="200">
  <si>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</si>
  <si>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</si>
  <si>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</si>
  <si>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</si>
  <si>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</si>
  <si>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</si>
  <si>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</si>
  <si>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</si>
  <si>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Purchase of stock in Trade</t>
  </si>
  <si>
    <t>Purchase of Stock-in-Trade</t>
  </si>
  <si>
    <t>Changes in inventories of stock in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</si>
  <si>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</si>
  <si>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</si>
  <si>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</si>
  <si>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</si>
  <si>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</si>
  <si>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</si>
  <si>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</si>
  <si>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</si>
  <si>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</si>
  <si>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</si>
  <si>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</si>
  <si>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Profit/(loss ) before exceptional item &amp; tax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</si>
  <si>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</si>
  <si>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</si>
  <si>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</si>
  <si>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</si>
  <si>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Tax expense</t>
  </si>
  <si>
    <t>Net Profit/(Loss ) after tax</t>
  </si>
  <si>
    <t>Net Profit/(Loss) for the Period</t>
  </si>
  <si>
    <t>Paid-up Equity Share Captial (Face value of Rs.10/- each)</t>
  </si>
  <si>
    <t>Paid-Up Equity Share Capital</t>
  </si>
  <si>
    <t>Reserve &amp; Surplus ( excluding revaluation reserve )</t>
  </si>
  <si>
    <t>Reserve excluding Revaluation Reserves (as per Balance Sheet of Previous Accounting Year)</t>
  </si>
  <si>
    <t>Earnings per share (of Rs.10/- each)</t>
  </si>
  <si>
    <t>Basic ( Rs . )</t>
  </si>
  <si>
    <t>Basic EPS</t>
  </si>
  <si>
    <t>Diluted ( Rs . )</t>
  </si>
  <si>
    <t>Diluted EPS</t>
  </si>
  <si>
    <t>Shareholders ' funds</t>
  </si>
  <si>
    <t>Share capital</t>
  </si>
  <si>
    <t>Share Capital</t>
  </si>
  <si>
    <t>Reserves and surplus</t>
  </si>
  <si>
    <t>Reserves And Surplus/Other Equity</t>
  </si>
  <si>
    <t>Total Equity</t>
  </si>
  <si>
    <t>Total Share Holder's Funds</t>
  </si>
  <si>
    <t>Liabilities</t>
  </si>
  <si>
    <t>Non - current liabilities</t>
  </si>
  <si>
    <t>Long - Term Borrowings</t>
  </si>
  <si>
    <t>Borrowings</t>
  </si>
  <si>
    <t>Deferred tax liability</t>
  </si>
  <si>
    <t>Deferred Tax Liability (Net)</t>
  </si>
  <si>
    <t>Other long - term liabilities</t>
  </si>
  <si>
    <t>Other Non-Current Liabilities</t>
  </si>
  <si>
    <t>Long - term provisions</t>
  </si>
  <si>
    <t>Long-Term Provisions</t>
  </si>
  <si>
    <t>Total non - current liabilities</t>
  </si>
  <si>
    <t>Total Non-Current Liabilities</t>
  </si>
  <si>
    <t>Short - Term Borrowings</t>
  </si>
  <si>
    <t>Trade payables</t>
  </si>
  <si>
    <t>Trade Payables</t>
  </si>
  <si>
    <t xml:space="preserve">Total outstanding dues of micro enterprises and small enterprises ; and </t>
  </si>
  <si>
    <t>Total outstanding dues of creditors other than micro enterprises and small enterprises</t>
  </si>
  <si>
    <t>Other current liabilities</t>
  </si>
  <si>
    <t>Other liabilities</t>
  </si>
  <si>
    <t>Short - term provisions</t>
  </si>
  <si>
    <t>Short-Term Provisions</t>
  </si>
  <si>
    <t>Total current liabilities</t>
  </si>
  <si>
    <t>Total Current Liabilities</t>
  </si>
  <si>
    <t>Total equity and liabilities</t>
  </si>
  <si>
    <t>Total Equity And Liabilities</t>
  </si>
  <si>
    <t>Assets</t>
  </si>
  <si>
    <t>Non - current assets</t>
  </si>
  <si>
    <t>Property, plant and equipment</t>
  </si>
  <si>
    <t>Property, Plant &amp; Equipment</t>
  </si>
  <si>
    <t>Tangible assets</t>
  </si>
  <si>
    <t>Intangible assets</t>
  </si>
  <si>
    <t>Other Intangible Assets</t>
  </si>
  <si>
    <t>Work in Progress</t>
  </si>
  <si>
    <t>Capital Work-In-Progress</t>
  </si>
  <si>
    <t>Deferred tax assets</t>
  </si>
  <si>
    <t>Deferred Tax Assets (Net)</t>
  </si>
  <si>
    <t>Non - current investment</t>
  </si>
  <si>
    <t>Non-Current Investments</t>
  </si>
  <si>
    <t>Long - term loans and advances</t>
  </si>
  <si>
    <t>Loans Non-Current</t>
  </si>
  <si>
    <t>Other non - current assets</t>
  </si>
  <si>
    <t>Other Non-Current Assets</t>
  </si>
  <si>
    <t>Total non - current assets</t>
  </si>
  <si>
    <t>Total Non-Current Assets</t>
  </si>
  <si>
    <t>Current assets</t>
  </si>
  <si>
    <t>Current investment</t>
  </si>
  <si>
    <t>Current Investments</t>
  </si>
  <si>
    <t>Inventories</t>
  </si>
  <si>
    <t>Trade receivables</t>
  </si>
  <si>
    <t>Trade Receivables</t>
  </si>
  <si>
    <t>Cash and bank balances</t>
  </si>
  <si>
    <t>Bank balance other than cash and cash equivalents</t>
  </si>
  <si>
    <t>Short - term loans and advances</t>
  </si>
  <si>
    <t>Loans, Current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</si>
  <si>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</si>
  <si>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</si>
  <si>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</si>
  <si>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</si>
  <si>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</si>
  <si>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</si>
  <si>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Net Profit Before Tax And Exceptional Item</t>
  </si>
  <si>
    <t>Adjustments for :</t>
  </si>
  <si>
    <t>Depreciation and Amortisation Expense</t>
  </si>
  <si>
    <t>Liability no longer required, written back</t>
  </si>
  <si>
    <t>Other Provisions Written Off</t>
  </si>
  <si>
    <t>Bad Debts</t>
  </si>
  <si>
    <t>Provision For Doubtful Debts</t>
  </si>
  <si>
    <t>Net (profit)/ loss on disposal of property, plant and equipment</t>
  </si>
  <si>
    <t>Profit On Sale Of Fixed Assets</t>
  </si>
  <si>
    <t>Interest expense and finance cost</t>
  </si>
  <si>
    <t>Interest Expense</t>
  </si>
  <si>
    <t>Interest and other income</t>
  </si>
  <si>
    <t>Interest Income</t>
  </si>
  <si>
    <t>Changes in assets and liabilities</t>
  </si>
  <si>
    <t>Others-From Operations</t>
  </si>
  <si>
    <t>(Increase ) / Decrease in inventories</t>
  </si>
  <si>
    <t>(Increase ) / Decrease in trade receivables</t>
  </si>
  <si>
    <t>Trade And Other Receivables</t>
  </si>
  <si>
    <t>(Increase ) / Decrease in loans and advances</t>
  </si>
  <si>
    <t>Loans And Advances</t>
  </si>
  <si>
    <t>(Increase ) / Decrease in other assets</t>
  </si>
  <si>
    <t>Other Current and Non Current Assets</t>
  </si>
  <si>
    <t>Increase / ( decrease ) in trade payables</t>
  </si>
  <si>
    <t>Trade Payables And Others</t>
  </si>
  <si>
    <t>Increase / ( decrease ) in other liabilities</t>
  </si>
  <si>
    <t>Other Current and Non Current Liabilities</t>
  </si>
  <si>
    <t>Increase / ( decrease ) in provisions</t>
  </si>
  <si>
    <t>Provisions</t>
  </si>
  <si>
    <t>Cash generated from operating activities</t>
  </si>
  <si>
    <t>Cash Generated From Operations</t>
  </si>
  <si>
    <t>Taxes paid ( net of refunds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</si>
  <si>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</si>
  <si>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</si>
  <si>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</si>
  <si>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</si>
  <si>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</si>
  <si>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</t>
  </si>
  <si>
    <t>Purchase Of Fixed Assets (Tangible / Intangible)</t>
  </si>
  <si>
    <t>Purchase of work in progress</t>
  </si>
  <si>
    <t>Investment made during the year</t>
  </si>
  <si>
    <t>Purchase Of Investments</t>
  </si>
  <si>
    <t>Sale proceeds from sale of property, plant and equipment</t>
  </si>
  <si>
    <t>Sale Of Fixed Assets (Tangible / Intangible)</t>
  </si>
  <si>
    <t>Net cash generated from/(used in ) investing activities</t>
  </si>
  <si>
    <t>Cash flows from financing activities</t>
  </si>
  <si>
    <t>Proceeds from issues of equity shares</t>
  </si>
  <si>
    <t>Proceeds From Issue Of Equity Shares (Inclu Share Premium)</t>
  </si>
  <si>
    <t>Interest and finance cost</t>
  </si>
  <si>
    <t>Interest Paid</t>
  </si>
  <si>
    <t>Net proceed ( repayment ) of long term borrowings</t>
  </si>
  <si>
    <t>Repayment Of Long Term Borrowings</t>
  </si>
  <si>
    <t>Net proceed ( repayment ) of short term borrowings</t>
  </si>
  <si>
    <t>Repayment Of Short Term Borrowings</t>
  </si>
  <si>
    <t>Net cash generated from/(used in )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</si>
  <si>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</si>
  <si>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</si>
  <si>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</si>
  <si>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year</t>
  </si>
  <si>
    <t>Cash and Cash Equivalents at the Beginning of the Year</t>
  </si>
  <si>
    <t>Cash and cash equivalents at the end of year</t>
  </si>
  <si>
    <t>Cash and Cash Equivalents at the End of the Year</t>
  </si>
  <si>
    <t>Revenue from operations</t>
  </si>
  <si>
    <t>Gross Sales/Income from Operations</t>
  </si>
  <si>
    <t>Purchase of stock in trade</t>
  </si>
  <si>
    <t>Profit/(loss) before exceptional item &amp; tax</t>
  </si>
  <si>
    <t>Profit/(loss) before tax</t>
  </si>
  <si>
    <t>Net Profit/(Loss) after tax</t>
  </si>
  <si>
    <t>Minority Interest</t>
  </si>
  <si>
    <t>Profit attributed to equity shareholders</t>
  </si>
  <si>
    <t>Profit (Loss) Attributable To [Total]</t>
  </si>
  <si>
    <t>Reserve &amp; Surplus (excluding revaluation reserve)</t>
  </si>
  <si>
    <t>Basic (Rs.)</t>
  </si>
  <si>
    <t>Diluted (Rs.)</t>
  </si>
  <si>
    <t>Non Controlling Interest</t>
  </si>
  <si>
    <t xml:space="preserve">Total outstanding dues of micro enterprises and small enterprises and 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</si>
  <si>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</si>
  <si>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</si>
  <si>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</si>
  <si>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</si>
  <si>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</si>
  <si>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</si>
  <si>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</si>
  <si>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Profit/(Loss) From Ordinary Activities before Tax</t>
  </si>
  <si>
    <t>Tax Expense</t>
  </si>
  <si>
    <t xml:space="preserve"> </t>
  </si>
  <si>
    <t>Net Profit/(Loss) After Taxes But Before Share of Profit/(Loss) of Associates and Minority Interest</t>
  </si>
  <si>
    <t>Label</t>
  </si>
  <si>
    <t>Bad Debts Written Off</t>
  </si>
  <si>
    <t>Interest Received</t>
  </si>
  <si>
    <t>Proceeds From Long Term Borrowings</t>
  </si>
  <si>
    <t>Income</t>
  </si>
  <si>
    <t>This field was not captured, added manually</t>
  </si>
  <si>
    <t>Capital Work In Progress</t>
  </si>
  <si>
    <t>Increase / (decrease) in provisions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</si>
</sst>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8" xfId="0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0" fontId="0" fillId="3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/>
  </sheetViews>
  <sheetFormatPr defaultRowHeight="15" x14ac:dyDescent="0.25"/>
  <cols>
    <col min="1" max="1" width="47.5703125" customWidth="1"/>
    <col min="2" max="2" width="53" customWidth="1"/>
    <col min="3" max="3" width="12.5703125" customWidth="1"/>
    <col min="4" max="4" width="43.42578125" customWidth="1"/>
    <col min="5" max="5" width="11.5703125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G1" s="4" t="s">
        <v>184</v>
      </c>
      <c r="H1" s="5">
        <f>COUNTIF(C:C,G1)</f>
        <v>19</v>
      </c>
    </row>
    <row r="2" spans="1:8" x14ac:dyDescent="0.25">
      <c r="A2" s="17" t="s">
        <v>196</v>
      </c>
      <c r="B2" s="18"/>
      <c r="C2" s="19" t="s">
        <v>185</v>
      </c>
      <c r="D2" s="19" t="s">
        <v>192</v>
      </c>
      <c r="E2" s="15"/>
      <c r="F2" s="16" t="s">
        <v>197</v>
      </c>
      <c r="G2" s="6"/>
      <c r="H2" s="7"/>
    </row>
    <row r="3" spans="1:8" x14ac:dyDescent="0.25">
      <c r="A3" s="11" t="s">
        <v>187</v>
      </c>
      <c r="B3" s="14"/>
      <c r="C3" s="19" t="s">
        <v>185</v>
      </c>
      <c r="D3" s="11" t="s">
        <v>168</v>
      </c>
      <c r="E3" s="15">
        <v>256</v>
      </c>
      <c r="F3" s="16" t="s">
        <v>197</v>
      </c>
      <c r="G3" s="6" t="s">
        <v>185</v>
      </c>
      <c r="H3" s="7">
        <f>COUNTIF(C:C,G3)</f>
        <v>4</v>
      </c>
    </row>
    <row r="4" spans="1:8" ht="15.75" thickBot="1" x14ac:dyDescent="0.3">
      <c r="A4" s="10" t="s">
        <v>2</v>
      </c>
      <c r="B4" s="10" t="s">
        <v>3</v>
      </c>
      <c r="C4" s="10" t="s">
        <v>184</v>
      </c>
      <c r="D4" s="10"/>
      <c r="E4" s="10"/>
      <c r="G4" s="8" t="s">
        <v>186</v>
      </c>
      <c r="H4" s="9">
        <f>H1/SUM(H1:H3)</f>
        <v>0.82608695652173914</v>
      </c>
    </row>
    <row r="5" spans="1:8" x14ac:dyDescent="0.25">
      <c r="A5" s="10" t="s">
        <v>4</v>
      </c>
      <c r="B5" s="10" t="s">
        <v>5</v>
      </c>
      <c r="C5" s="10" t="s">
        <v>184</v>
      </c>
      <c r="D5" s="10"/>
      <c r="E5" s="10"/>
    </row>
    <row r="6" spans="1:8" x14ac:dyDescent="0.25">
      <c r="A6" s="10" t="s">
        <v>6</v>
      </c>
      <c r="B6" s="10" t="s">
        <v>7</v>
      </c>
      <c r="C6" s="10" t="s">
        <v>184</v>
      </c>
      <c r="D6" s="10"/>
      <c r="E6" s="10"/>
    </row>
    <row r="7" spans="1:8" x14ac:dyDescent="0.25">
      <c r="A7" s="10" t="s">
        <v>8</v>
      </c>
      <c r="B7" s="10" t="s">
        <v>9</v>
      </c>
      <c r="C7" s="10" t="s">
        <v>184</v>
      </c>
      <c r="D7" s="10"/>
      <c r="E7" s="10"/>
    </row>
    <row r="8" spans="1:8" x14ac:dyDescent="0.25">
      <c r="A8" s="10" t="s">
        <v>10</v>
      </c>
      <c r="B8" s="10" t="s">
        <v>11</v>
      </c>
      <c r="C8" s="10" t="s">
        <v>184</v>
      </c>
      <c r="D8" s="10"/>
      <c r="E8" s="10"/>
    </row>
    <row r="9" spans="1:8" x14ac:dyDescent="0.25">
      <c r="A9" s="10" t="s">
        <v>12</v>
      </c>
      <c r="B9" s="10" t="s">
        <v>13</v>
      </c>
      <c r="C9" s="10" t="s">
        <v>184</v>
      </c>
      <c r="D9" s="10"/>
      <c r="E9" s="10"/>
    </row>
    <row r="10" spans="1:8" x14ac:dyDescent="0.25">
      <c r="A10" s="10" t="s">
        <v>14</v>
      </c>
      <c r="B10" s="10" t="s">
        <v>15</v>
      </c>
      <c r="C10" s="10" t="s">
        <v>184</v>
      </c>
      <c r="D10" s="10"/>
      <c r="E10" s="10"/>
    </row>
    <row r="11" spans="1:8" x14ac:dyDescent="0.25">
      <c r="A11" s="10" t="s">
        <v>16</v>
      </c>
      <c r="B11" s="10" t="s">
        <v>17</v>
      </c>
      <c r="C11" s="10" t="s">
        <v>184</v>
      </c>
      <c r="D11" s="10"/>
      <c r="E11" s="10"/>
    </row>
    <row r="12" spans="1:8" x14ac:dyDescent="0.25">
      <c r="A12" s="10" t="s">
        <v>18</v>
      </c>
      <c r="B12" s="10" t="s">
        <v>19</v>
      </c>
      <c r="C12" s="10" t="s">
        <v>184</v>
      </c>
      <c r="D12" s="10"/>
      <c r="E12" s="10"/>
    </row>
    <row r="13" spans="1:8" x14ac:dyDescent="0.25">
      <c r="A13" s="10" t="s">
        <v>20</v>
      </c>
      <c r="B13" s="10" t="s">
        <v>21</v>
      </c>
      <c r="C13" s="10" t="s">
        <v>184</v>
      </c>
      <c r="D13" s="10"/>
      <c r="E13" s="10"/>
    </row>
    <row r="14" spans="1:8" x14ac:dyDescent="0.25">
      <c r="A14" s="10" t="s">
        <v>22</v>
      </c>
      <c r="B14" s="10" t="s">
        <v>23</v>
      </c>
      <c r="C14" s="10" t="s">
        <v>184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184</v>
      </c>
      <c r="D15" s="10"/>
      <c r="E15" s="10"/>
    </row>
    <row r="16" spans="1:8" x14ac:dyDescent="0.25">
      <c r="A16" s="10" t="s">
        <v>26</v>
      </c>
      <c r="B16" s="10" t="s">
        <v>7</v>
      </c>
      <c r="C16" s="10" t="s">
        <v>185</v>
      </c>
      <c r="D16" s="10" t="s">
        <v>188</v>
      </c>
      <c r="E16" s="12">
        <v>296</v>
      </c>
    </row>
    <row r="17" spans="1:5" x14ac:dyDescent="0.25">
      <c r="A17" s="10" t="s">
        <v>27</v>
      </c>
      <c r="B17" s="10" t="s">
        <v>7</v>
      </c>
      <c r="C17" s="10" t="s">
        <v>185</v>
      </c>
      <c r="D17" s="10" t="s">
        <v>189</v>
      </c>
      <c r="E17" s="12">
        <v>318</v>
      </c>
    </row>
    <row r="18" spans="1:5" x14ac:dyDescent="0.25">
      <c r="A18" s="10" t="s">
        <v>28</v>
      </c>
      <c r="B18" s="10" t="s">
        <v>29</v>
      </c>
      <c r="C18" s="10" t="s">
        <v>184</v>
      </c>
      <c r="D18" s="10"/>
      <c r="E18" s="10"/>
    </row>
    <row r="19" spans="1:5" x14ac:dyDescent="0.25">
      <c r="A19" s="10" t="s">
        <v>30</v>
      </c>
      <c r="B19" s="10" t="s">
        <v>31</v>
      </c>
      <c r="C19" s="10" t="s">
        <v>184</v>
      </c>
      <c r="D19" s="10"/>
      <c r="E19" s="10"/>
    </row>
    <row r="20" spans="1:5" x14ac:dyDescent="0.25">
      <c r="A20" s="10" t="s">
        <v>32</v>
      </c>
      <c r="B20" s="10" t="s">
        <v>33</v>
      </c>
      <c r="C20" s="10" t="s">
        <v>184</v>
      </c>
      <c r="D20" s="10"/>
      <c r="E20" s="10"/>
    </row>
    <row r="21" spans="1:5" x14ac:dyDescent="0.25">
      <c r="A21" s="10" t="s">
        <v>34</v>
      </c>
      <c r="B21" s="10" t="s">
        <v>7</v>
      </c>
      <c r="C21" s="10" t="s">
        <v>184</v>
      </c>
      <c r="D21" s="10"/>
      <c r="E21" s="10"/>
    </row>
    <row r="22" spans="1:5" x14ac:dyDescent="0.25">
      <c r="A22" s="10" t="s">
        <v>35</v>
      </c>
      <c r="B22" s="10" t="s">
        <v>36</v>
      </c>
      <c r="C22" s="10" t="s">
        <v>184</v>
      </c>
      <c r="D22" s="10" t="s">
        <v>36</v>
      </c>
      <c r="E22" s="12">
        <v>222</v>
      </c>
    </row>
    <row r="23" spans="1:5" x14ac:dyDescent="0.25">
      <c r="A23" s="10" t="s">
        <v>34</v>
      </c>
      <c r="B23" s="10" t="s">
        <v>7</v>
      </c>
      <c r="C23" s="10" t="s">
        <v>184</v>
      </c>
      <c r="D23" s="10"/>
      <c r="E23" s="10"/>
    </row>
    <row r="24" spans="1:5" x14ac:dyDescent="0.25">
      <c r="A24" s="10" t="s">
        <v>37</v>
      </c>
      <c r="B24" s="10" t="s">
        <v>38</v>
      </c>
      <c r="C24" s="10" t="s">
        <v>184</v>
      </c>
      <c r="D24" s="10" t="s">
        <v>38</v>
      </c>
      <c r="E24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defaultRowHeight="15" x14ac:dyDescent="0.25"/>
  <cols>
    <col min="1" max="1" width="52.28515625" customWidth="1"/>
    <col min="2" max="2" width="52.85546875" customWidth="1"/>
    <col min="3" max="3" width="13.42578125" customWidth="1"/>
    <col min="4" max="4" width="42.140625" customWidth="1"/>
    <col min="5" max="5" width="12.85546875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G1" s="4" t="s">
        <v>184</v>
      </c>
      <c r="H1" s="5">
        <f>COUNTIF(C:C,G1)</f>
        <v>18</v>
      </c>
    </row>
    <row r="2" spans="1:8" x14ac:dyDescent="0.25">
      <c r="A2" s="17" t="s">
        <v>196</v>
      </c>
      <c r="B2" s="18"/>
      <c r="C2" s="19" t="s">
        <v>185</v>
      </c>
      <c r="D2" s="19" t="s">
        <v>192</v>
      </c>
      <c r="E2" s="15"/>
      <c r="F2" s="16" t="s">
        <v>197</v>
      </c>
      <c r="G2" s="6" t="s">
        <v>185</v>
      </c>
      <c r="H2" s="7">
        <f>COUNTIF(C:C,G2)</f>
        <v>6</v>
      </c>
    </row>
    <row r="3" spans="1:8" ht="15.75" thickBot="1" x14ac:dyDescent="0.3">
      <c r="A3" s="10" t="s">
        <v>167</v>
      </c>
      <c r="B3" s="10" t="s">
        <v>168</v>
      </c>
      <c r="C3" s="10" t="s">
        <v>184</v>
      </c>
      <c r="D3" s="10"/>
      <c r="E3" s="10"/>
      <c r="G3" s="8" t="s">
        <v>186</v>
      </c>
      <c r="H3" s="9">
        <f>H1/SUM(H1:H2)</f>
        <v>0.75</v>
      </c>
    </row>
    <row r="4" spans="1:8" x14ac:dyDescent="0.25">
      <c r="A4" s="10" t="s">
        <v>2</v>
      </c>
      <c r="B4" s="10" t="s">
        <v>3</v>
      </c>
      <c r="C4" s="10" t="s">
        <v>184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184</v>
      </c>
      <c r="D5" s="10" t="s">
        <v>190</v>
      </c>
      <c r="E5" s="10"/>
    </row>
    <row r="6" spans="1:8" x14ac:dyDescent="0.25">
      <c r="A6" s="10" t="s">
        <v>169</v>
      </c>
      <c r="B6" s="10" t="s">
        <v>9</v>
      </c>
      <c r="C6" s="10" t="s">
        <v>184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184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184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184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184</v>
      </c>
      <c r="D10" s="10" t="s">
        <v>190</v>
      </c>
      <c r="E10" s="10"/>
    </row>
    <row r="11" spans="1:8" x14ac:dyDescent="0.25">
      <c r="A11" s="10" t="s">
        <v>18</v>
      </c>
      <c r="B11" s="10" t="s">
        <v>19</v>
      </c>
      <c r="C11" s="10" t="s">
        <v>184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184</v>
      </c>
      <c r="D12" s="10"/>
      <c r="E12" s="10"/>
    </row>
    <row r="13" spans="1:8" x14ac:dyDescent="0.25">
      <c r="A13" s="10" t="s">
        <v>170</v>
      </c>
      <c r="B13" s="10" t="s">
        <v>23</v>
      </c>
      <c r="C13" s="10" t="s">
        <v>184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184</v>
      </c>
      <c r="D14" s="10"/>
      <c r="E14" s="10"/>
    </row>
    <row r="15" spans="1:8" x14ac:dyDescent="0.25">
      <c r="A15" s="10" t="s">
        <v>171</v>
      </c>
      <c r="B15" s="10" t="s">
        <v>7</v>
      </c>
      <c r="C15" s="10" t="s">
        <v>185</v>
      </c>
      <c r="D15" s="10" t="s">
        <v>188</v>
      </c>
      <c r="E15" s="12">
        <v>296</v>
      </c>
    </row>
    <row r="16" spans="1:8" x14ac:dyDescent="0.25">
      <c r="A16" s="10" t="s">
        <v>27</v>
      </c>
      <c r="B16" s="10" t="s">
        <v>7</v>
      </c>
      <c r="C16" s="10" t="s">
        <v>185</v>
      </c>
      <c r="D16" s="10" t="s">
        <v>189</v>
      </c>
      <c r="E16" s="12">
        <v>318</v>
      </c>
    </row>
    <row r="17" spans="1:5" x14ac:dyDescent="0.25">
      <c r="A17" s="10" t="s">
        <v>172</v>
      </c>
      <c r="B17" s="10" t="s">
        <v>29</v>
      </c>
      <c r="C17" s="10" t="s">
        <v>185</v>
      </c>
      <c r="D17" s="10" t="s">
        <v>191</v>
      </c>
      <c r="E17" s="12">
        <v>268</v>
      </c>
    </row>
    <row r="18" spans="1:5" x14ac:dyDescent="0.25">
      <c r="A18" s="10" t="s">
        <v>173</v>
      </c>
      <c r="B18" s="10" t="s">
        <v>7</v>
      </c>
      <c r="C18" s="10" t="s">
        <v>185</v>
      </c>
      <c r="D18" s="10" t="s">
        <v>173</v>
      </c>
      <c r="E18" s="12">
        <v>264</v>
      </c>
    </row>
    <row r="19" spans="1:5" x14ac:dyDescent="0.25">
      <c r="A19" s="10" t="s">
        <v>174</v>
      </c>
      <c r="B19" s="10" t="s">
        <v>175</v>
      </c>
      <c r="C19" s="10" t="s">
        <v>185</v>
      </c>
      <c r="D19" s="10" t="s">
        <v>29</v>
      </c>
      <c r="E19" s="12">
        <v>269</v>
      </c>
    </row>
    <row r="20" spans="1:5" x14ac:dyDescent="0.25">
      <c r="A20" s="10" t="s">
        <v>30</v>
      </c>
      <c r="B20" s="10" t="s">
        <v>31</v>
      </c>
      <c r="C20" s="10" t="s">
        <v>184</v>
      </c>
      <c r="D20" s="10"/>
      <c r="E20" s="10"/>
    </row>
    <row r="21" spans="1:5" x14ac:dyDescent="0.25">
      <c r="A21" s="10" t="s">
        <v>176</v>
      </c>
      <c r="B21" s="10" t="s">
        <v>33</v>
      </c>
      <c r="C21" s="10" t="s">
        <v>184</v>
      </c>
      <c r="D21" s="10"/>
      <c r="E21" s="10"/>
    </row>
    <row r="22" spans="1:5" x14ac:dyDescent="0.25">
      <c r="A22" s="10" t="s">
        <v>34</v>
      </c>
      <c r="B22" s="10" t="s">
        <v>7</v>
      </c>
      <c r="C22" s="10" t="s">
        <v>184</v>
      </c>
      <c r="D22" s="10"/>
      <c r="E22" s="10"/>
    </row>
    <row r="23" spans="1:5" x14ac:dyDescent="0.25">
      <c r="A23" s="10" t="s">
        <v>177</v>
      </c>
      <c r="B23" s="10" t="s">
        <v>36</v>
      </c>
      <c r="C23" s="10" t="s">
        <v>184</v>
      </c>
      <c r="D23" s="10" t="s">
        <v>36</v>
      </c>
      <c r="E23" s="12">
        <v>222</v>
      </c>
    </row>
    <row r="24" spans="1:5" x14ac:dyDescent="0.25">
      <c r="A24" s="10" t="s">
        <v>34</v>
      </c>
      <c r="B24" s="10" t="s">
        <v>7</v>
      </c>
      <c r="C24" s="10" t="s">
        <v>184</v>
      </c>
      <c r="D24" s="10"/>
      <c r="E24" s="10"/>
    </row>
    <row r="25" spans="1:5" x14ac:dyDescent="0.25">
      <c r="A25" s="10" t="s">
        <v>178</v>
      </c>
      <c r="B25" s="10" t="s">
        <v>38</v>
      </c>
      <c r="C25" s="10" t="s">
        <v>184</v>
      </c>
      <c r="D25" s="10" t="s">
        <v>38</v>
      </c>
      <c r="E25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5" x14ac:dyDescent="0.25"/>
  <cols>
    <col min="1" max="1" width="47.28515625" customWidth="1"/>
    <col min="2" max="2" width="47.42578125" customWidth="1"/>
    <col min="3" max="3" width="12" customWidth="1"/>
    <col min="4" max="4" width="44.2851562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G1" s="4" t="s">
        <v>184</v>
      </c>
      <c r="H1" s="5">
        <f>COUNTIF(C:C,G1)</f>
        <v>37</v>
      </c>
    </row>
    <row r="2" spans="1:8" x14ac:dyDescent="0.25">
      <c r="A2" s="10" t="s">
        <v>39</v>
      </c>
      <c r="B2" s="10" t="s">
        <v>7</v>
      </c>
      <c r="C2" s="10" t="s">
        <v>184</v>
      </c>
      <c r="D2" s="10"/>
      <c r="E2" s="10"/>
      <c r="G2" s="6" t="s">
        <v>185</v>
      </c>
      <c r="H2" s="7">
        <f>COUNTIF(C:C,G2)</f>
        <v>2</v>
      </c>
    </row>
    <row r="3" spans="1:8" ht="15.75" thickBot="1" x14ac:dyDescent="0.3">
      <c r="A3" s="10" t="s">
        <v>40</v>
      </c>
      <c r="B3" s="10" t="s">
        <v>41</v>
      </c>
      <c r="C3" s="10" t="s">
        <v>184</v>
      </c>
      <c r="D3" s="10"/>
      <c r="E3" s="10"/>
      <c r="G3" s="8" t="s">
        <v>186</v>
      </c>
      <c r="H3" s="9">
        <f>H1/SUM(H1:H2)</f>
        <v>0.94871794871794868</v>
      </c>
    </row>
    <row r="4" spans="1:8" x14ac:dyDescent="0.25">
      <c r="A4" s="10" t="s">
        <v>42</v>
      </c>
      <c r="B4" s="10" t="s">
        <v>43</v>
      </c>
      <c r="C4" s="10" t="s">
        <v>184</v>
      </c>
      <c r="D4" s="10"/>
      <c r="E4" s="10"/>
    </row>
    <row r="5" spans="1:8" x14ac:dyDescent="0.25">
      <c r="A5" s="10" t="s">
        <v>44</v>
      </c>
      <c r="B5" s="10" t="s">
        <v>45</v>
      </c>
      <c r="C5" s="10" t="s">
        <v>184</v>
      </c>
      <c r="D5" s="10"/>
      <c r="E5" s="10"/>
    </row>
    <row r="6" spans="1:8" x14ac:dyDescent="0.25">
      <c r="A6" s="10" t="s">
        <v>46</v>
      </c>
      <c r="B6" s="10" t="s">
        <v>7</v>
      </c>
      <c r="C6" s="10" t="s">
        <v>184</v>
      </c>
      <c r="D6" s="10"/>
      <c r="E6" s="10"/>
    </row>
    <row r="7" spans="1:8" x14ac:dyDescent="0.25">
      <c r="A7" s="10" t="s">
        <v>47</v>
      </c>
      <c r="B7" s="10" t="s">
        <v>7</v>
      </c>
      <c r="C7" s="10" t="s">
        <v>184</v>
      </c>
      <c r="D7" s="10"/>
      <c r="E7" s="10"/>
    </row>
    <row r="8" spans="1:8" x14ac:dyDescent="0.25">
      <c r="A8" s="10" t="s">
        <v>48</v>
      </c>
      <c r="B8" s="10" t="s">
        <v>49</v>
      </c>
      <c r="C8" s="10" t="s">
        <v>184</v>
      </c>
      <c r="D8" s="10" t="s">
        <v>49</v>
      </c>
      <c r="E8" s="12">
        <v>20223</v>
      </c>
    </row>
    <row r="9" spans="1:8" x14ac:dyDescent="0.25">
      <c r="A9" s="10" t="s">
        <v>50</v>
      </c>
      <c r="B9" s="10" t="s">
        <v>51</v>
      </c>
      <c r="C9" s="10" t="s">
        <v>184</v>
      </c>
      <c r="D9" s="10"/>
      <c r="E9" s="10"/>
    </row>
    <row r="10" spans="1:8" x14ac:dyDescent="0.25">
      <c r="A10" s="10" t="s">
        <v>52</v>
      </c>
      <c r="B10" s="10" t="s">
        <v>53</v>
      </c>
      <c r="C10" s="10" t="s">
        <v>184</v>
      </c>
      <c r="D10" s="10"/>
      <c r="E10" s="10"/>
    </row>
    <row r="11" spans="1:8" x14ac:dyDescent="0.25">
      <c r="A11" s="10" t="s">
        <v>54</v>
      </c>
      <c r="B11" s="10" t="s">
        <v>55</v>
      </c>
      <c r="C11" s="10" t="s">
        <v>184</v>
      </c>
      <c r="D11" s="10"/>
      <c r="E11" s="10"/>
    </row>
    <row r="12" spans="1:8" x14ac:dyDescent="0.25">
      <c r="A12" s="10" t="s">
        <v>56</v>
      </c>
      <c r="B12" s="10" t="s">
        <v>57</v>
      </c>
      <c r="C12" s="10" t="s">
        <v>184</v>
      </c>
      <c r="D12" s="10"/>
      <c r="E12" s="10"/>
    </row>
    <row r="13" spans="1:8" x14ac:dyDescent="0.25">
      <c r="A13" s="10" t="s">
        <v>58</v>
      </c>
      <c r="B13" s="10" t="s">
        <v>49</v>
      </c>
      <c r="C13" s="10" t="s">
        <v>184</v>
      </c>
      <c r="D13" s="10" t="s">
        <v>49</v>
      </c>
      <c r="E13" s="12">
        <v>20209</v>
      </c>
    </row>
    <row r="14" spans="1:8" x14ac:dyDescent="0.25">
      <c r="A14" s="10" t="s">
        <v>59</v>
      </c>
      <c r="B14" s="10" t="s">
        <v>60</v>
      </c>
      <c r="C14" s="10" t="s">
        <v>185</v>
      </c>
      <c r="D14" s="10" t="s">
        <v>192</v>
      </c>
      <c r="E14" s="10"/>
    </row>
    <row r="15" spans="1:8" x14ac:dyDescent="0.25">
      <c r="A15" s="10" t="s">
        <v>61</v>
      </c>
      <c r="B15" s="10" t="s">
        <v>60</v>
      </c>
      <c r="C15" s="10" t="s">
        <v>184</v>
      </c>
      <c r="D15" s="10" t="s">
        <v>60</v>
      </c>
      <c r="E15" s="10">
        <v>13779</v>
      </c>
    </row>
    <row r="16" spans="1:8" x14ac:dyDescent="0.25">
      <c r="A16" s="10" t="s">
        <v>62</v>
      </c>
      <c r="B16" s="10" t="s">
        <v>60</v>
      </c>
      <c r="C16" s="10" t="s">
        <v>184</v>
      </c>
      <c r="D16" s="10" t="s">
        <v>60</v>
      </c>
      <c r="E16" s="12">
        <v>13779</v>
      </c>
    </row>
    <row r="17" spans="1:5" x14ac:dyDescent="0.25">
      <c r="A17" s="10" t="s">
        <v>63</v>
      </c>
      <c r="B17" s="10" t="s">
        <v>64</v>
      </c>
      <c r="C17" s="10" t="s">
        <v>184</v>
      </c>
      <c r="D17" s="10"/>
      <c r="E17" s="10"/>
    </row>
    <row r="18" spans="1:5" x14ac:dyDescent="0.25">
      <c r="A18" s="10" t="s">
        <v>65</v>
      </c>
      <c r="B18" s="10" t="s">
        <v>66</v>
      </c>
      <c r="C18" s="10" t="s">
        <v>184</v>
      </c>
      <c r="D18" s="10"/>
      <c r="E18" s="10"/>
    </row>
    <row r="19" spans="1:5" x14ac:dyDescent="0.25">
      <c r="A19" s="10" t="s">
        <v>67</v>
      </c>
      <c r="B19" s="10" t="s">
        <v>68</v>
      </c>
      <c r="C19" s="10" t="s">
        <v>184</v>
      </c>
      <c r="D19" s="10"/>
      <c r="E19" s="10"/>
    </row>
    <row r="20" spans="1:5" x14ac:dyDescent="0.25">
      <c r="A20" s="10" t="s">
        <v>69</v>
      </c>
      <c r="B20" s="10" t="s">
        <v>70</v>
      </c>
      <c r="C20" s="10" t="s">
        <v>184</v>
      </c>
      <c r="D20" s="10"/>
      <c r="E20" s="10"/>
    </row>
    <row r="21" spans="1:5" x14ac:dyDescent="0.25">
      <c r="A21" s="10" t="s">
        <v>71</v>
      </c>
      <c r="B21" s="10" t="s">
        <v>7</v>
      </c>
      <c r="C21" s="10" t="s">
        <v>184</v>
      </c>
      <c r="D21" s="10"/>
      <c r="E21" s="10"/>
    </row>
    <row r="22" spans="1:5" x14ac:dyDescent="0.25">
      <c r="A22" s="10" t="s">
        <v>72</v>
      </c>
      <c r="B22" s="10" t="s">
        <v>7</v>
      </c>
      <c r="C22" s="10" t="s">
        <v>184</v>
      </c>
      <c r="D22" s="10"/>
      <c r="E22" s="10"/>
    </row>
    <row r="23" spans="1:5" x14ac:dyDescent="0.25">
      <c r="A23" s="10" t="s">
        <v>73</v>
      </c>
      <c r="B23" s="10" t="s">
        <v>74</v>
      </c>
      <c r="C23" s="10" t="s">
        <v>185</v>
      </c>
      <c r="D23" s="10" t="s">
        <v>192</v>
      </c>
      <c r="E23" s="10"/>
    </row>
    <row r="24" spans="1:5" x14ac:dyDescent="0.25">
      <c r="A24" s="10" t="s">
        <v>75</v>
      </c>
      <c r="B24" s="10" t="s">
        <v>74</v>
      </c>
      <c r="C24" s="10" t="s">
        <v>184</v>
      </c>
      <c r="D24" s="10"/>
      <c r="E24" s="10"/>
    </row>
    <row r="25" spans="1:5" x14ac:dyDescent="0.25">
      <c r="A25" s="10" t="s">
        <v>76</v>
      </c>
      <c r="B25" s="10" t="s">
        <v>77</v>
      </c>
      <c r="C25" s="10" t="s">
        <v>184</v>
      </c>
      <c r="D25" s="10"/>
      <c r="E25" s="10"/>
    </row>
    <row r="26" spans="1:5" x14ac:dyDescent="0.25">
      <c r="A26" s="10" t="s">
        <v>78</v>
      </c>
      <c r="B26" s="10" t="s">
        <v>79</v>
      </c>
      <c r="C26" s="10" t="s">
        <v>184</v>
      </c>
      <c r="D26" s="10"/>
      <c r="E26" s="10"/>
    </row>
    <row r="27" spans="1:5" x14ac:dyDescent="0.25">
      <c r="A27" s="10" t="s">
        <v>80</v>
      </c>
      <c r="B27" s="10" t="s">
        <v>81</v>
      </c>
      <c r="C27" s="10" t="s">
        <v>184</v>
      </c>
      <c r="D27" s="10"/>
      <c r="E27" s="10"/>
    </row>
    <row r="28" spans="1:5" x14ac:dyDescent="0.25">
      <c r="A28" s="10" t="s">
        <v>82</v>
      </c>
      <c r="B28" s="10" t="s">
        <v>83</v>
      </c>
      <c r="C28" s="10" t="s">
        <v>184</v>
      </c>
      <c r="D28" s="10" t="s">
        <v>83</v>
      </c>
      <c r="E28" s="12">
        <v>13748</v>
      </c>
    </row>
    <row r="29" spans="1:5" x14ac:dyDescent="0.25">
      <c r="A29" s="10" t="s">
        <v>84</v>
      </c>
      <c r="B29" s="10" t="s">
        <v>85</v>
      </c>
      <c r="C29" s="10" t="s">
        <v>184</v>
      </c>
      <c r="D29" s="10" t="s">
        <v>85</v>
      </c>
      <c r="E29" s="12">
        <v>20217</v>
      </c>
    </row>
    <row r="30" spans="1:5" x14ac:dyDescent="0.25">
      <c r="A30" s="10" t="s">
        <v>86</v>
      </c>
      <c r="B30" s="10" t="s">
        <v>87</v>
      </c>
      <c r="C30" s="10" t="s">
        <v>184</v>
      </c>
      <c r="D30" s="10"/>
      <c r="E30" s="10"/>
    </row>
    <row r="31" spans="1:5" x14ac:dyDescent="0.25">
      <c r="A31" s="10" t="s">
        <v>88</v>
      </c>
      <c r="B31" s="10" t="s">
        <v>89</v>
      </c>
      <c r="C31" s="10" t="s">
        <v>184</v>
      </c>
      <c r="D31" s="10"/>
      <c r="E31" s="10"/>
    </row>
    <row r="32" spans="1:5" x14ac:dyDescent="0.25">
      <c r="A32" s="10" t="s">
        <v>90</v>
      </c>
      <c r="B32" s="10" t="s">
        <v>7</v>
      </c>
      <c r="C32" s="10" t="s">
        <v>184</v>
      </c>
      <c r="D32" s="10"/>
      <c r="E32" s="10"/>
    </row>
    <row r="33" spans="1:5" x14ac:dyDescent="0.25">
      <c r="A33" s="10" t="s">
        <v>91</v>
      </c>
      <c r="B33" s="10" t="s">
        <v>92</v>
      </c>
      <c r="C33" s="10" t="s">
        <v>184</v>
      </c>
      <c r="D33" s="10" t="s">
        <v>92</v>
      </c>
      <c r="E33" s="12">
        <v>13724</v>
      </c>
    </row>
    <row r="34" spans="1:5" x14ac:dyDescent="0.25">
      <c r="A34" s="10" t="s">
        <v>93</v>
      </c>
      <c r="B34" s="10" t="s">
        <v>93</v>
      </c>
      <c r="C34" s="10" t="s">
        <v>184</v>
      </c>
      <c r="D34" s="10"/>
      <c r="E34" s="10"/>
    </row>
    <row r="35" spans="1:5" x14ac:dyDescent="0.25">
      <c r="A35" s="10" t="s">
        <v>94</v>
      </c>
      <c r="B35" s="10" t="s">
        <v>95</v>
      </c>
      <c r="C35" s="10" t="s">
        <v>184</v>
      </c>
      <c r="D35" s="10" t="s">
        <v>95</v>
      </c>
      <c r="E35" s="12">
        <v>13780</v>
      </c>
    </row>
    <row r="36" spans="1:5" x14ac:dyDescent="0.25">
      <c r="A36" s="10" t="s">
        <v>96</v>
      </c>
      <c r="B36" s="10" t="s">
        <v>97</v>
      </c>
      <c r="C36" s="10" t="s">
        <v>184</v>
      </c>
      <c r="D36" s="10"/>
      <c r="E36" s="10"/>
    </row>
    <row r="37" spans="1:5" x14ac:dyDescent="0.25">
      <c r="A37" s="10" t="s">
        <v>98</v>
      </c>
      <c r="B37" s="10" t="s">
        <v>99</v>
      </c>
      <c r="C37" s="10" t="s">
        <v>184</v>
      </c>
      <c r="D37" s="10" t="s">
        <v>99</v>
      </c>
      <c r="E37" s="12">
        <v>20230</v>
      </c>
    </row>
    <row r="38" spans="1:5" x14ac:dyDescent="0.25">
      <c r="A38" s="10" t="s">
        <v>100</v>
      </c>
      <c r="B38" s="10" t="s">
        <v>101</v>
      </c>
      <c r="C38" s="10" t="s">
        <v>184</v>
      </c>
      <c r="D38" s="10"/>
      <c r="E38" s="10"/>
    </row>
    <row r="39" spans="1:5" x14ac:dyDescent="0.25">
      <c r="A39" s="10" t="s">
        <v>102</v>
      </c>
      <c r="B39" s="10" t="s">
        <v>103</v>
      </c>
      <c r="C39" s="10" t="s">
        <v>184</v>
      </c>
      <c r="D39" s="10"/>
      <c r="E39" s="10"/>
    </row>
    <row r="40" spans="1:5" x14ac:dyDescent="0.25">
      <c r="A40" s="10" t="s">
        <v>104</v>
      </c>
      <c r="B40" s="10" t="s">
        <v>105</v>
      </c>
      <c r="C40" s="10" t="s">
        <v>184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/>
  </sheetViews>
  <sheetFormatPr defaultRowHeight="15" x14ac:dyDescent="0.25"/>
  <cols>
    <col min="1" max="2" width="47.140625" customWidth="1"/>
    <col min="3" max="3" width="14.140625" customWidth="1"/>
    <col min="4" max="4" width="45.85546875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G1" s="4" t="s">
        <v>184</v>
      </c>
      <c r="H1" s="5">
        <f>COUNTIF(C:C,G1)</f>
        <v>38</v>
      </c>
    </row>
    <row r="2" spans="1:8" x14ac:dyDescent="0.25">
      <c r="A2" s="10" t="s">
        <v>39</v>
      </c>
      <c r="B2" s="10" t="s">
        <v>7</v>
      </c>
      <c r="C2" s="10" t="s">
        <v>184</v>
      </c>
      <c r="D2" s="10"/>
      <c r="E2" s="10"/>
      <c r="G2" s="6" t="s">
        <v>185</v>
      </c>
      <c r="H2" s="7">
        <f>COUNTIF(C:C,G2)</f>
        <v>2</v>
      </c>
    </row>
    <row r="3" spans="1:8" ht="15.75" thickBot="1" x14ac:dyDescent="0.3">
      <c r="A3" s="10" t="s">
        <v>40</v>
      </c>
      <c r="B3" s="10" t="s">
        <v>41</v>
      </c>
      <c r="C3" s="10" t="s">
        <v>184</v>
      </c>
      <c r="D3" s="10"/>
      <c r="E3" s="10"/>
      <c r="G3" s="8" t="s">
        <v>186</v>
      </c>
      <c r="H3" s="9">
        <f>H1/SUM(H1:H2)</f>
        <v>0.95</v>
      </c>
    </row>
    <row r="4" spans="1:8" x14ac:dyDescent="0.25">
      <c r="A4" s="10" t="s">
        <v>42</v>
      </c>
      <c r="B4" s="10" t="s">
        <v>43</v>
      </c>
      <c r="C4" s="10" t="s">
        <v>184</v>
      </c>
      <c r="D4" s="10"/>
      <c r="E4" s="10"/>
    </row>
    <row r="5" spans="1:8" x14ac:dyDescent="0.25">
      <c r="A5" s="10" t="s">
        <v>44</v>
      </c>
      <c r="B5" s="10" t="s">
        <v>45</v>
      </c>
      <c r="C5" s="10" t="s">
        <v>184</v>
      </c>
      <c r="D5" s="10" t="s">
        <v>190</v>
      </c>
      <c r="E5" s="10"/>
    </row>
    <row r="6" spans="1:8" x14ac:dyDescent="0.25">
      <c r="A6" s="10" t="s">
        <v>179</v>
      </c>
      <c r="B6" s="10" t="s">
        <v>173</v>
      </c>
      <c r="C6" s="10" t="s">
        <v>184</v>
      </c>
      <c r="D6" s="10"/>
      <c r="E6" s="10"/>
    </row>
    <row r="7" spans="1:8" x14ac:dyDescent="0.25">
      <c r="A7" s="10" t="s">
        <v>46</v>
      </c>
      <c r="B7" s="10" t="s">
        <v>7</v>
      </c>
      <c r="C7" s="10" t="s">
        <v>184</v>
      </c>
      <c r="D7" s="10"/>
      <c r="E7" s="10"/>
    </row>
    <row r="8" spans="1:8" x14ac:dyDescent="0.25">
      <c r="A8" s="10" t="s">
        <v>47</v>
      </c>
      <c r="B8" s="10" t="s">
        <v>7</v>
      </c>
      <c r="C8" s="10" t="s">
        <v>184</v>
      </c>
      <c r="D8" s="10"/>
      <c r="E8" s="10"/>
    </row>
    <row r="9" spans="1:8" x14ac:dyDescent="0.25">
      <c r="A9" s="10" t="s">
        <v>48</v>
      </c>
      <c r="B9" s="10" t="s">
        <v>49</v>
      </c>
      <c r="C9" s="10" t="s">
        <v>184</v>
      </c>
      <c r="D9" s="10" t="s">
        <v>49</v>
      </c>
      <c r="E9" s="12">
        <v>20223</v>
      </c>
    </row>
    <row r="10" spans="1:8" x14ac:dyDescent="0.25">
      <c r="A10" s="10" t="s">
        <v>50</v>
      </c>
      <c r="B10" s="10" t="s">
        <v>51</v>
      </c>
      <c r="C10" s="10" t="s">
        <v>184</v>
      </c>
      <c r="D10" s="10"/>
      <c r="E10" s="10"/>
    </row>
    <row r="11" spans="1:8" x14ac:dyDescent="0.25">
      <c r="A11" s="10" t="s">
        <v>52</v>
      </c>
      <c r="B11" s="10" t="s">
        <v>53</v>
      </c>
      <c r="C11" s="10" t="s">
        <v>184</v>
      </c>
      <c r="D11" s="10"/>
      <c r="E11" s="10"/>
    </row>
    <row r="12" spans="1:8" x14ac:dyDescent="0.25">
      <c r="A12" s="10" t="s">
        <v>54</v>
      </c>
      <c r="B12" s="10" t="s">
        <v>55</v>
      </c>
      <c r="C12" s="10" t="s">
        <v>184</v>
      </c>
      <c r="D12" s="10"/>
      <c r="E12" s="10"/>
    </row>
    <row r="13" spans="1:8" x14ac:dyDescent="0.25">
      <c r="A13" s="10" t="s">
        <v>56</v>
      </c>
      <c r="B13" s="10" t="s">
        <v>57</v>
      </c>
      <c r="C13" s="10" t="s">
        <v>184</v>
      </c>
      <c r="D13" s="10"/>
      <c r="E13" s="10"/>
    </row>
    <row r="14" spans="1:8" x14ac:dyDescent="0.25">
      <c r="A14" s="10" t="s">
        <v>58</v>
      </c>
      <c r="B14" s="10" t="s">
        <v>49</v>
      </c>
      <c r="C14" s="10" t="s">
        <v>184</v>
      </c>
      <c r="D14" s="10" t="s">
        <v>49</v>
      </c>
      <c r="E14" s="12">
        <v>20209</v>
      </c>
    </row>
    <row r="15" spans="1:8" x14ac:dyDescent="0.25">
      <c r="A15" s="10" t="s">
        <v>59</v>
      </c>
      <c r="B15" s="10" t="s">
        <v>60</v>
      </c>
      <c r="C15" s="10" t="s">
        <v>185</v>
      </c>
      <c r="D15" s="10" t="s">
        <v>192</v>
      </c>
      <c r="E15" s="10"/>
    </row>
    <row r="16" spans="1:8" x14ac:dyDescent="0.25">
      <c r="A16" s="10" t="s">
        <v>180</v>
      </c>
      <c r="B16" s="10" t="s">
        <v>60</v>
      </c>
      <c r="C16" s="10" t="s">
        <v>184</v>
      </c>
      <c r="D16" s="10" t="s">
        <v>60</v>
      </c>
      <c r="E16" s="12">
        <v>13779</v>
      </c>
    </row>
    <row r="17" spans="1:5" x14ac:dyDescent="0.25">
      <c r="A17" s="10" t="s">
        <v>62</v>
      </c>
      <c r="B17" s="10" t="s">
        <v>60</v>
      </c>
      <c r="C17" s="10" t="s">
        <v>184</v>
      </c>
      <c r="D17" s="10" t="s">
        <v>60</v>
      </c>
      <c r="E17" s="12">
        <v>13779</v>
      </c>
    </row>
    <row r="18" spans="1:5" x14ac:dyDescent="0.25">
      <c r="A18" s="10" t="s">
        <v>63</v>
      </c>
      <c r="B18" s="10" t="s">
        <v>64</v>
      </c>
      <c r="C18" s="10" t="s">
        <v>184</v>
      </c>
      <c r="D18" s="10"/>
      <c r="E18" s="10"/>
    </row>
    <row r="19" spans="1:5" x14ac:dyDescent="0.25">
      <c r="A19" s="10" t="s">
        <v>65</v>
      </c>
      <c r="B19" s="10" t="s">
        <v>66</v>
      </c>
      <c r="C19" s="10" t="s">
        <v>184</v>
      </c>
      <c r="D19" s="10"/>
      <c r="E19" s="10"/>
    </row>
    <row r="20" spans="1:5" x14ac:dyDescent="0.25">
      <c r="A20" s="10" t="s">
        <v>67</v>
      </c>
      <c r="B20" s="10" t="s">
        <v>68</v>
      </c>
      <c r="C20" s="10" t="s">
        <v>184</v>
      </c>
      <c r="D20" s="10"/>
      <c r="E20" s="10"/>
    </row>
    <row r="21" spans="1:5" x14ac:dyDescent="0.25">
      <c r="A21" s="10" t="s">
        <v>69</v>
      </c>
      <c r="B21" s="10" t="s">
        <v>70</v>
      </c>
      <c r="C21" s="10" t="s">
        <v>184</v>
      </c>
      <c r="D21" s="10"/>
      <c r="E21" s="10"/>
    </row>
    <row r="22" spans="1:5" x14ac:dyDescent="0.25">
      <c r="A22" s="10" t="s">
        <v>71</v>
      </c>
      <c r="B22" s="10" t="s">
        <v>7</v>
      </c>
      <c r="C22" s="10" t="s">
        <v>184</v>
      </c>
      <c r="D22" s="10"/>
      <c r="E22" s="10"/>
    </row>
    <row r="23" spans="1:5" x14ac:dyDescent="0.25">
      <c r="A23" s="10" t="s">
        <v>72</v>
      </c>
      <c r="B23" s="10" t="s">
        <v>7</v>
      </c>
      <c r="C23" s="10" t="s">
        <v>184</v>
      </c>
      <c r="D23" s="10"/>
      <c r="E23" s="10"/>
    </row>
    <row r="24" spans="1:5" x14ac:dyDescent="0.25">
      <c r="A24" s="10" t="s">
        <v>73</v>
      </c>
      <c r="B24" s="10" t="s">
        <v>74</v>
      </c>
      <c r="C24" s="10" t="s">
        <v>185</v>
      </c>
      <c r="D24" s="10" t="s">
        <v>192</v>
      </c>
      <c r="E24" s="10"/>
    </row>
    <row r="25" spans="1:5" x14ac:dyDescent="0.25">
      <c r="A25" s="10" t="s">
        <v>75</v>
      </c>
      <c r="B25" s="10" t="s">
        <v>74</v>
      </c>
      <c r="C25" s="10" t="s">
        <v>184</v>
      </c>
      <c r="D25" s="10"/>
      <c r="E25" s="10"/>
    </row>
    <row r="26" spans="1:5" x14ac:dyDescent="0.25">
      <c r="A26" s="10" t="s">
        <v>76</v>
      </c>
      <c r="B26" s="10" t="s">
        <v>77</v>
      </c>
      <c r="C26" s="10" t="s">
        <v>184</v>
      </c>
      <c r="D26" s="10"/>
      <c r="E26" s="10"/>
    </row>
    <row r="27" spans="1:5" x14ac:dyDescent="0.25">
      <c r="A27" s="10" t="s">
        <v>78</v>
      </c>
      <c r="B27" s="10" t="s">
        <v>79</v>
      </c>
      <c r="C27" s="10" t="s">
        <v>184</v>
      </c>
      <c r="D27" s="10"/>
      <c r="E27" s="10"/>
    </row>
    <row r="28" spans="1:5" x14ac:dyDescent="0.25">
      <c r="A28" s="10" t="s">
        <v>80</v>
      </c>
      <c r="B28" s="10" t="s">
        <v>81</v>
      </c>
      <c r="C28" s="10" t="s">
        <v>184</v>
      </c>
      <c r="D28" s="10"/>
      <c r="E28" s="10"/>
    </row>
    <row r="29" spans="1:5" x14ac:dyDescent="0.25">
      <c r="A29" s="10" t="s">
        <v>82</v>
      </c>
      <c r="B29" s="10" t="s">
        <v>83</v>
      </c>
      <c r="C29" s="10" t="s">
        <v>184</v>
      </c>
      <c r="D29" s="10" t="s">
        <v>83</v>
      </c>
      <c r="E29" s="12">
        <v>13748</v>
      </c>
    </row>
    <row r="30" spans="1:5" x14ac:dyDescent="0.25">
      <c r="A30" s="10" t="s">
        <v>84</v>
      </c>
      <c r="B30" s="10" t="s">
        <v>85</v>
      </c>
      <c r="C30" s="10" t="s">
        <v>184</v>
      </c>
      <c r="D30" s="10" t="s">
        <v>85</v>
      </c>
      <c r="E30" s="12">
        <v>20217</v>
      </c>
    </row>
    <row r="31" spans="1:5" x14ac:dyDescent="0.25">
      <c r="A31" s="10" t="s">
        <v>86</v>
      </c>
      <c r="B31" s="10" t="s">
        <v>87</v>
      </c>
      <c r="C31" s="10" t="s">
        <v>184</v>
      </c>
      <c r="D31" s="10"/>
      <c r="E31" s="10"/>
    </row>
    <row r="32" spans="1:5" x14ac:dyDescent="0.25">
      <c r="A32" s="10" t="s">
        <v>88</v>
      </c>
      <c r="B32" s="10" t="s">
        <v>89</v>
      </c>
      <c r="C32" s="10" t="s">
        <v>184</v>
      </c>
      <c r="D32" s="10"/>
      <c r="E32" s="10"/>
    </row>
    <row r="33" spans="1:5" x14ac:dyDescent="0.25">
      <c r="A33" s="10" t="s">
        <v>90</v>
      </c>
      <c r="B33" s="10" t="s">
        <v>7</v>
      </c>
      <c r="C33" s="10" t="s">
        <v>184</v>
      </c>
      <c r="D33" s="10"/>
      <c r="E33" s="10"/>
    </row>
    <row r="34" spans="1:5" x14ac:dyDescent="0.25">
      <c r="A34" s="10" t="s">
        <v>91</v>
      </c>
      <c r="B34" s="10" t="s">
        <v>92</v>
      </c>
      <c r="C34" s="10" t="s">
        <v>184</v>
      </c>
      <c r="D34" s="10" t="s">
        <v>92</v>
      </c>
      <c r="E34" s="12">
        <v>13724</v>
      </c>
    </row>
    <row r="35" spans="1:5" x14ac:dyDescent="0.25">
      <c r="A35" s="10" t="s">
        <v>93</v>
      </c>
      <c r="B35" s="10" t="s">
        <v>93</v>
      </c>
      <c r="C35" s="10" t="s">
        <v>184</v>
      </c>
      <c r="D35" s="10"/>
      <c r="E35" s="10"/>
    </row>
    <row r="36" spans="1:5" x14ac:dyDescent="0.25">
      <c r="A36" s="10" t="s">
        <v>94</v>
      </c>
      <c r="B36" s="10" t="s">
        <v>95</v>
      </c>
      <c r="C36" s="10" t="s">
        <v>184</v>
      </c>
      <c r="D36" s="10" t="s">
        <v>95</v>
      </c>
      <c r="E36" s="12">
        <v>13780</v>
      </c>
    </row>
    <row r="37" spans="1:5" x14ac:dyDescent="0.25">
      <c r="A37" s="10" t="s">
        <v>96</v>
      </c>
      <c r="B37" s="10" t="s">
        <v>97</v>
      </c>
      <c r="C37" s="10" t="s">
        <v>184</v>
      </c>
      <c r="D37" s="10"/>
      <c r="E37" s="10"/>
    </row>
    <row r="38" spans="1:5" x14ac:dyDescent="0.25">
      <c r="A38" s="10" t="s">
        <v>98</v>
      </c>
      <c r="B38" s="10" t="s">
        <v>99</v>
      </c>
      <c r="C38" s="10" t="s">
        <v>184</v>
      </c>
      <c r="D38" s="10" t="s">
        <v>99</v>
      </c>
      <c r="E38" s="12">
        <v>20230</v>
      </c>
    </row>
    <row r="39" spans="1:5" x14ac:dyDescent="0.25">
      <c r="A39" s="10" t="s">
        <v>100</v>
      </c>
      <c r="B39" s="10" t="s">
        <v>101</v>
      </c>
      <c r="C39" s="10" t="s">
        <v>184</v>
      </c>
      <c r="D39" s="10"/>
      <c r="E39" s="10"/>
    </row>
    <row r="40" spans="1:5" x14ac:dyDescent="0.25">
      <c r="A40" s="10" t="s">
        <v>102</v>
      </c>
      <c r="B40" s="10" t="s">
        <v>103</v>
      </c>
      <c r="C40" s="10" t="s">
        <v>184</v>
      </c>
      <c r="D40" s="10"/>
      <c r="E40" s="10"/>
    </row>
    <row r="41" spans="1:5" x14ac:dyDescent="0.25">
      <c r="A41" s="10" t="s">
        <v>104</v>
      </c>
      <c r="B41" s="10" t="s">
        <v>105</v>
      </c>
      <c r="C41" s="10" t="s">
        <v>184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defaultRowHeight="15" x14ac:dyDescent="0.25"/>
  <cols>
    <col min="1" max="1" width="49.28515625" customWidth="1"/>
    <col min="2" max="2" width="51.5703125" customWidth="1"/>
    <col min="3" max="3" width="12.7109375" customWidth="1"/>
    <col min="4" max="4" width="42.5703125" customWidth="1"/>
    <col min="5" max="5" width="13.85546875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G1" s="4" t="s">
        <v>184</v>
      </c>
      <c r="H1" s="5">
        <f>COUNTIF(C:C,G1)</f>
        <v>29</v>
      </c>
    </row>
    <row r="2" spans="1:8" x14ac:dyDescent="0.25">
      <c r="A2" s="10" t="s">
        <v>26</v>
      </c>
      <c r="B2" s="10" t="s">
        <v>106</v>
      </c>
      <c r="C2" s="10" t="s">
        <v>184</v>
      </c>
      <c r="D2" s="10"/>
      <c r="E2" s="10"/>
      <c r="G2" s="6" t="s">
        <v>185</v>
      </c>
      <c r="H2" s="7">
        <f>COUNTIF(C:C,G2)</f>
        <v>6</v>
      </c>
    </row>
    <row r="3" spans="1:8" ht="15.75" thickBot="1" x14ac:dyDescent="0.3">
      <c r="A3" s="10" t="s">
        <v>107</v>
      </c>
      <c r="B3" s="10" t="s">
        <v>7</v>
      </c>
      <c r="C3" s="10" t="s">
        <v>184</v>
      </c>
      <c r="D3" s="10"/>
      <c r="E3" s="10"/>
      <c r="G3" s="8" t="s">
        <v>186</v>
      </c>
      <c r="H3" s="9">
        <f>H1/SUM(H1:H2)</f>
        <v>0.82857142857142863</v>
      </c>
    </row>
    <row r="4" spans="1:8" x14ac:dyDescent="0.25">
      <c r="A4" s="10" t="s">
        <v>16</v>
      </c>
      <c r="B4" s="10" t="s">
        <v>108</v>
      </c>
      <c r="C4" s="10" t="s">
        <v>184</v>
      </c>
      <c r="D4" s="10"/>
      <c r="E4" s="10"/>
    </row>
    <row r="5" spans="1:8" x14ac:dyDescent="0.25">
      <c r="A5" s="10" t="s">
        <v>109</v>
      </c>
      <c r="B5" s="10" t="s">
        <v>110</v>
      </c>
      <c r="C5" s="10" t="s">
        <v>184</v>
      </c>
      <c r="D5" s="10"/>
      <c r="E5" s="10"/>
    </row>
    <row r="6" spans="1:8" x14ac:dyDescent="0.25">
      <c r="A6" s="10" t="s">
        <v>111</v>
      </c>
      <c r="B6" s="10" t="s">
        <v>112</v>
      </c>
      <c r="C6" s="10" t="s">
        <v>185</v>
      </c>
      <c r="D6" s="10" t="s">
        <v>193</v>
      </c>
      <c r="E6" s="12">
        <v>30361</v>
      </c>
    </row>
    <row r="7" spans="1:8" x14ac:dyDescent="0.25">
      <c r="A7" s="10" t="s">
        <v>113</v>
      </c>
      <c r="B7" s="10" t="s">
        <v>114</v>
      </c>
      <c r="C7" s="10" t="s">
        <v>184</v>
      </c>
      <c r="D7" s="10"/>
      <c r="E7" s="10"/>
    </row>
    <row r="8" spans="1:8" x14ac:dyDescent="0.25">
      <c r="A8" s="10" t="s">
        <v>115</v>
      </c>
      <c r="B8" s="10" t="s">
        <v>116</v>
      </c>
      <c r="C8" s="10" t="s">
        <v>184</v>
      </c>
      <c r="D8" s="10" t="s">
        <v>116</v>
      </c>
      <c r="E8" s="12">
        <v>30479</v>
      </c>
    </row>
    <row r="9" spans="1:8" x14ac:dyDescent="0.25">
      <c r="A9" s="10" t="s">
        <v>117</v>
      </c>
      <c r="B9" s="10" t="s">
        <v>118</v>
      </c>
      <c r="C9" s="10" t="s">
        <v>184</v>
      </c>
      <c r="D9" s="10" t="s">
        <v>118</v>
      </c>
      <c r="E9" s="12">
        <v>30481</v>
      </c>
    </row>
    <row r="10" spans="1:8" x14ac:dyDescent="0.25">
      <c r="A10" s="10" t="s">
        <v>119</v>
      </c>
      <c r="B10" s="10" t="s">
        <v>120</v>
      </c>
      <c r="C10" s="10" t="s">
        <v>185</v>
      </c>
      <c r="D10" s="10" t="s">
        <v>192</v>
      </c>
      <c r="E10" s="10"/>
    </row>
    <row r="11" spans="1:8" x14ac:dyDescent="0.25">
      <c r="A11" s="10" t="s">
        <v>121</v>
      </c>
      <c r="B11" s="10" t="s">
        <v>93</v>
      </c>
      <c r="C11" s="10" t="s">
        <v>184</v>
      </c>
      <c r="D11" s="10"/>
      <c r="E11" s="10"/>
    </row>
    <row r="12" spans="1:8" x14ac:dyDescent="0.25">
      <c r="A12" s="10" t="s">
        <v>122</v>
      </c>
      <c r="B12" s="10" t="s">
        <v>123</v>
      </c>
      <c r="C12" s="10" t="s">
        <v>184</v>
      </c>
      <c r="D12" s="10"/>
      <c r="E12" s="10"/>
    </row>
    <row r="13" spans="1:8" x14ac:dyDescent="0.25">
      <c r="A13" s="10" t="s">
        <v>124</v>
      </c>
      <c r="B13" s="10" t="s">
        <v>125</v>
      </c>
      <c r="C13" s="10" t="s">
        <v>184</v>
      </c>
      <c r="D13" s="10"/>
      <c r="E13" s="10"/>
    </row>
    <row r="14" spans="1:8" x14ac:dyDescent="0.25">
      <c r="A14" s="10" t="s">
        <v>126</v>
      </c>
      <c r="B14" s="10" t="s">
        <v>127</v>
      </c>
      <c r="C14" s="10" t="s">
        <v>184</v>
      </c>
      <c r="D14" s="10"/>
      <c r="E14" s="10"/>
    </row>
    <row r="15" spans="1:8" x14ac:dyDescent="0.25">
      <c r="A15" s="10" t="s">
        <v>128</v>
      </c>
      <c r="B15" s="10" t="s">
        <v>129</v>
      </c>
      <c r="C15" s="10" t="s">
        <v>184</v>
      </c>
      <c r="D15" s="10"/>
      <c r="E15" s="10"/>
    </row>
    <row r="16" spans="1:8" x14ac:dyDescent="0.25">
      <c r="A16" s="10" t="s">
        <v>130</v>
      </c>
      <c r="B16" s="10" t="s">
        <v>131</v>
      </c>
      <c r="C16" s="10" t="s">
        <v>184</v>
      </c>
      <c r="D16" s="10"/>
      <c r="E16" s="10"/>
    </row>
    <row r="17" spans="1:5" x14ac:dyDescent="0.25">
      <c r="A17" s="10" t="s">
        <v>132</v>
      </c>
      <c r="B17" s="10" t="s">
        <v>133</v>
      </c>
      <c r="C17" s="10" t="s">
        <v>184</v>
      </c>
      <c r="D17" s="10"/>
      <c r="E17" s="10"/>
    </row>
    <row r="18" spans="1:5" x14ac:dyDescent="0.25">
      <c r="A18" s="10" t="s">
        <v>134</v>
      </c>
      <c r="B18" s="10" t="s">
        <v>135</v>
      </c>
      <c r="C18" s="10" t="s">
        <v>184</v>
      </c>
      <c r="D18" s="10"/>
      <c r="E18" s="10"/>
    </row>
    <row r="19" spans="1:5" x14ac:dyDescent="0.25">
      <c r="A19" s="10" t="s">
        <v>136</v>
      </c>
      <c r="B19" s="10" t="s">
        <v>137</v>
      </c>
      <c r="C19" s="10" t="s">
        <v>184</v>
      </c>
      <c r="D19" s="10"/>
      <c r="E19" s="10"/>
    </row>
    <row r="20" spans="1:5" x14ac:dyDescent="0.25">
      <c r="A20" s="10" t="s">
        <v>138</v>
      </c>
      <c r="B20" s="10" t="s">
        <v>139</v>
      </c>
      <c r="C20" s="10" t="s">
        <v>184</v>
      </c>
      <c r="D20" s="10"/>
      <c r="E20" s="10"/>
    </row>
    <row r="21" spans="1:5" x14ac:dyDescent="0.25">
      <c r="A21" s="10" t="s">
        <v>140</v>
      </c>
      <c r="B21" s="10" t="s">
        <v>141</v>
      </c>
      <c r="C21" s="10" t="s">
        <v>185</v>
      </c>
      <c r="D21" s="10" t="s">
        <v>192</v>
      </c>
      <c r="E21" s="10"/>
    </row>
    <row r="22" spans="1:5" x14ac:dyDescent="0.25">
      <c r="A22" s="10" t="s">
        <v>142</v>
      </c>
      <c r="B22" s="10" t="s">
        <v>143</v>
      </c>
      <c r="C22" s="10" t="s">
        <v>184</v>
      </c>
      <c r="D22" s="10"/>
      <c r="E22" s="10"/>
    </row>
    <row r="23" spans="1:5" x14ac:dyDescent="0.25">
      <c r="A23" s="10" t="s">
        <v>144</v>
      </c>
      <c r="B23" s="10" t="s">
        <v>143</v>
      </c>
      <c r="C23" s="10" t="s">
        <v>185</v>
      </c>
      <c r="D23" s="10" t="s">
        <v>198</v>
      </c>
      <c r="E23" s="12">
        <v>17527</v>
      </c>
    </row>
    <row r="24" spans="1:5" x14ac:dyDescent="0.25">
      <c r="A24" s="10" t="s">
        <v>145</v>
      </c>
      <c r="B24" s="10" t="s">
        <v>146</v>
      </c>
      <c r="C24" s="10" t="s">
        <v>184</v>
      </c>
      <c r="D24" s="10"/>
      <c r="E24" s="10"/>
    </row>
    <row r="25" spans="1:5" x14ac:dyDescent="0.25">
      <c r="A25" s="10" t="s">
        <v>147</v>
      </c>
      <c r="B25" s="10" t="s">
        <v>148</v>
      </c>
      <c r="C25" s="10" t="s">
        <v>184</v>
      </c>
      <c r="D25" s="10"/>
      <c r="E25" s="10"/>
    </row>
    <row r="26" spans="1:5" x14ac:dyDescent="0.25">
      <c r="A26" s="10" t="s">
        <v>117</v>
      </c>
      <c r="B26" s="10" t="s">
        <v>118</v>
      </c>
      <c r="C26" s="10" t="s">
        <v>185</v>
      </c>
      <c r="D26" s="10" t="s">
        <v>194</v>
      </c>
      <c r="E26" s="12">
        <v>30485</v>
      </c>
    </row>
    <row r="27" spans="1:5" x14ac:dyDescent="0.25">
      <c r="A27" s="10" t="s">
        <v>149</v>
      </c>
      <c r="B27" s="10" t="s">
        <v>141</v>
      </c>
      <c r="C27" s="10" t="s">
        <v>184</v>
      </c>
      <c r="D27" s="10"/>
      <c r="E27" s="10"/>
    </row>
    <row r="28" spans="1:5" x14ac:dyDescent="0.25">
      <c r="A28" s="10" t="s">
        <v>150</v>
      </c>
      <c r="B28" s="10" t="s">
        <v>7</v>
      </c>
      <c r="C28" s="10" t="s">
        <v>184</v>
      </c>
      <c r="D28" s="10"/>
      <c r="E28" s="10"/>
    </row>
    <row r="29" spans="1:5" x14ac:dyDescent="0.25">
      <c r="A29" s="10" t="s">
        <v>151</v>
      </c>
      <c r="B29" s="10" t="s">
        <v>152</v>
      </c>
      <c r="C29" s="10" t="s">
        <v>184</v>
      </c>
      <c r="D29" s="10"/>
      <c r="E29" s="10"/>
    </row>
    <row r="30" spans="1:5" x14ac:dyDescent="0.25">
      <c r="A30" s="10" t="s">
        <v>153</v>
      </c>
      <c r="B30" s="10" t="s">
        <v>154</v>
      </c>
      <c r="C30" s="10" t="s">
        <v>184</v>
      </c>
      <c r="D30" s="10"/>
      <c r="E30" s="10"/>
    </row>
    <row r="31" spans="1:5" x14ac:dyDescent="0.25">
      <c r="A31" s="10" t="s">
        <v>155</v>
      </c>
      <c r="B31" s="10" t="s">
        <v>156</v>
      </c>
      <c r="C31" s="10" t="s">
        <v>185</v>
      </c>
      <c r="D31" s="10" t="s">
        <v>195</v>
      </c>
      <c r="E31" s="12">
        <v>17554</v>
      </c>
    </row>
    <row r="32" spans="1:5" x14ac:dyDescent="0.25">
      <c r="A32" s="10" t="s">
        <v>157</v>
      </c>
      <c r="B32" s="10" t="s">
        <v>158</v>
      </c>
      <c r="C32" s="10" t="s">
        <v>184</v>
      </c>
      <c r="D32" s="10"/>
      <c r="E32" s="10"/>
    </row>
    <row r="33" spans="1:5" x14ac:dyDescent="0.25">
      <c r="A33" s="10" t="s">
        <v>159</v>
      </c>
      <c r="B33" s="10" t="s">
        <v>160</v>
      </c>
      <c r="C33" s="10" t="s">
        <v>184</v>
      </c>
      <c r="D33" s="10"/>
      <c r="E33" s="10"/>
    </row>
    <row r="34" spans="1:5" x14ac:dyDescent="0.25">
      <c r="A34" s="10" t="s">
        <v>161</v>
      </c>
      <c r="B34" s="10" t="s">
        <v>162</v>
      </c>
      <c r="C34" s="10" t="s">
        <v>184</v>
      </c>
      <c r="D34" s="10"/>
      <c r="E34" s="10"/>
    </row>
    <row r="35" spans="1:5" x14ac:dyDescent="0.25">
      <c r="A35" s="10" t="s">
        <v>163</v>
      </c>
      <c r="B35" s="10" t="s">
        <v>164</v>
      </c>
      <c r="C35" s="10" t="s">
        <v>184</v>
      </c>
      <c r="D35" s="10"/>
      <c r="E35" s="10"/>
    </row>
    <row r="36" spans="1:5" x14ac:dyDescent="0.25">
      <c r="A36" s="10" t="s">
        <v>165</v>
      </c>
      <c r="B36" s="10" t="s">
        <v>166</v>
      </c>
      <c r="C36" s="10" t="s">
        <v>184</v>
      </c>
      <c r="D36" s="10"/>
      <c r="E36" s="10"/>
    </row>
    <row r="37" spans="1:5" x14ac:dyDescent="0.25">
      <c r="B37" s="13" t="s">
        <v>190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workbookViewId="0"/>
  </sheetViews>
  <sheetFormatPr defaultRowHeight="15" x14ac:dyDescent="0.25"/>
  <cols>
    <col min="1" max="1" width="52.5703125" customWidth="1"/>
    <col min="2" max="2" width="51.28515625" customWidth="1"/>
    <col min="3" max="3" width="13" customWidth="1"/>
    <col min="4" max="4" width="39.7109375" customWidth="1"/>
    <col min="5" max="5" width="13.28515625" customWidth="1"/>
  </cols>
  <sheetData>
    <row r="1" spans="1:8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G1" s="4" t="s">
        <v>184</v>
      </c>
      <c r="H1" s="5">
        <f>COUNTIF(C:C,G1)</f>
        <v>28</v>
      </c>
    </row>
    <row r="2" spans="1:8" x14ac:dyDescent="0.25">
      <c r="A2" s="10" t="s">
        <v>26</v>
      </c>
      <c r="B2" s="10" t="s">
        <v>106</v>
      </c>
      <c r="C2" s="10" t="s">
        <v>184</v>
      </c>
      <c r="D2" s="10"/>
      <c r="E2" s="10"/>
      <c r="G2" s="6" t="s">
        <v>185</v>
      </c>
      <c r="H2" s="7">
        <f>COUNTIF(C:C,G2)</f>
        <v>7</v>
      </c>
    </row>
    <row r="3" spans="1:8" ht="15.75" thickBot="1" x14ac:dyDescent="0.3">
      <c r="A3" s="10" t="s">
        <v>107</v>
      </c>
      <c r="B3" s="10" t="s">
        <v>7</v>
      </c>
      <c r="C3" s="10" t="s">
        <v>184</v>
      </c>
      <c r="D3" s="10"/>
      <c r="E3" s="10"/>
      <c r="G3" s="8" t="s">
        <v>186</v>
      </c>
      <c r="H3" s="9">
        <f>H1/SUM(H1:H2)</f>
        <v>0.8</v>
      </c>
    </row>
    <row r="4" spans="1:8" x14ac:dyDescent="0.25">
      <c r="A4" s="10" t="s">
        <v>16</v>
      </c>
      <c r="B4" s="10" t="s">
        <v>108</v>
      </c>
      <c r="C4" s="10" t="s">
        <v>184</v>
      </c>
      <c r="D4" s="10"/>
      <c r="E4" s="10"/>
    </row>
    <row r="5" spans="1:8" x14ac:dyDescent="0.25">
      <c r="A5" s="10" t="s">
        <v>109</v>
      </c>
      <c r="B5" s="10" t="s">
        <v>110</v>
      </c>
      <c r="C5" s="10" t="s">
        <v>184</v>
      </c>
      <c r="D5" s="10"/>
      <c r="E5" s="10"/>
    </row>
    <row r="6" spans="1:8" x14ac:dyDescent="0.25">
      <c r="A6" s="10" t="s">
        <v>111</v>
      </c>
      <c r="B6" s="10" t="s">
        <v>112</v>
      </c>
      <c r="C6" s="10" t="s">
        <v>185</v>
      </c>
      <c r="D6" s="10" t="s">
        <v>193</v>
      </c>
      <c r="E6" s="12">
        <v>30361</v>
      </c>
    </row>
    <row r="7" spans="1:8" x14ac:dyDescent="0.25">
      <c r="A7" s="10" t="s">
        <v>113</v>
      </c>
      <c r="B7" s="10" t="s">
        <v>114</v>
      </c>
      <c r="C7" s="10" t="s">
        <v>184</v>
      </c>
      <c r="D7" s="10" t="s">
        <v>190</v>
      </c>
      <c r="E7" s="10"/>
    </row>
    <row r="8" spans="1:8" x14ac:dyDescent="0.25">
      <c r="A8" s="10" t="s">
        <v>115</v>
      </c>
      <c r="B8" s="10" t="s">
        <v>116</v>
      </c>
      <c r="C8" s="10" t="s">
        <v>184</v>
      </c>
      <c r="D8" s="10" t="s">
        <v>116</v>
      </c>
      <c r="E8" s="12">
        <v>30479</v>
      </c>
    </row>
    <row r="9" spans="1:8" x14ac:dyDescent="0.25">
      <c r="A9" s="10" t="s">
        <v>117</v>
      </c>
      <c r="B9" s="10" t="s">
        <v>118</v>
      </c>
      <c r="C9" s="10" t="s">
        <v>184</v>
      </c>
      <c r="D9" s="10" t="s">
        <v>118</v>
      </c>
      <c r="E9" s="12">
        <v>30481</v>
      </c>
    </row>
    <row r="10" spans="1:8" x14ac:dyDescent="0.25">
      <c r="A10" s="10" t="s">
        <v>119</v>
      </c>
      <c r="B10" s="10" t="s">
        <v>120</v>
      </c>
      <c r="C10" s="10" t="s">
        <v>185</v>
      </c>
      <c r="D10" s="10" t="s">
        <v>192</v>
      </c>
      <c r="E10" s="10"/>
    </row>
    <row r="11" spans="1:8" x14ac:dyDescent="0.25">
      <c r="A11" s="10" t="s">
        <v>121</v>
      </c>
      <c r="B11" s="10" t="s">
        <v>93</v>
      </c>
      <c r="C11" s="10" t="s">
        <v>184</v>
      </c>
      <c r="D11" s="10"/>
      <c r="E11" s="10"/>
    </row>
    <row r="12" spans="1:8" x14ac:dyDescent="0.25">
      <c r="A12" s="10" t="s">
        <v>122</v>
      </c>
      <c r="B12" s="10" t="s">
        <v>123</v>
      </c>
      <c r="C12" s="10" t="s">
        <v>184</v>
      </c>
      <c r="D12" s="10"/>
      <c r="E12" s="10"/>
    </row>
    <row r="13" spans="1:8" x14ac:dyDescent="0.25">
      <c r="A13" s="10" t="s">
        <v>124</v>
      </c>
      <c r="B13" s="10" t="s">
        <v>125</v>
      </c>
      <c r="C13" s="10" t="s">
        <v>184</v>
      </c>
      <c r="D13" s="10"/>
      <c r="E13" s="10"/>
    </row>
    <row r="14" spans="1:8" x14ac:dyDescent="0.25">
      <c r="A14" s="10" t="s">
        <v>126</v>
      </c>
      <c r="B14" s="10" t="s">
        <v>127</v>
      </c>
      <c r="C14" s="10" t="s">
        <v>184</v>
      </c>
      <c r="D14" s="10"/>
      <c r="E14" s="10"/>
    </row>
    <row r="15" spans="1:8" x14ac:dyDescent="0.25">
      <c r="A15" s="10" t="s">
        <v>128</v>
      </c>
      <c r="B15" s="10" t="s">
        <v>129</v>
      </c>
      <c r="C15" s="10" t="s">
        <v>184</v>
      </c>
      <c r="D15" s="10"/>
      <c r="E15" s="10"/>
    </row>
    <row r="16" spans="1:8" x14ac:dyDescent="0.25">
      <c r="A16" s="16" t="s">
        <v>199</v>
      </c>
      <c r="B16" s="11"/>
      <c r="C16" s="11" t="s">
        <v>185</v>
      </c>
      <c r="D16" s="11" t="s">
        <v>133</v>
      </c>
      <c r="E16" s="11">
        <v>30627</v>
      </c>
      <c r="F16" s="16" t="s">
        <v>197</v>
      </c>
    </row>
    <row r="17" spans="1:5" x14ac:dyDescent="0.25">
      <c r="A17" s="10" t="s">
        <v>130</v>
      </c>
      <c r="B17" s="10" t="s">
        <v>131</v>
      </c>
      <c r="C17" s="10" t="s">
        <v>184</v>
      </c>
      <c r="D17" s="10"/>
      <c r="E17" s="10"/>
    </row>
    <row r="18" spans="1:5" x14ac:dyDescent="0.25">
      <c r="A18" s="10" t="s">
        <v>134</v>
      </c>
      <c r="B18" s="10" t="s">
        <v>135</v>
      </c>
      <c r="C18" s="10" t="s">
        <v>184</v>
      </c>
      <c r="D18" s="10"/>
      <c r="E18" s="10"/>
    </row>
    <row r="19" spans="1:5" x14ac:dyDescent="0.25">
      <c r="A19" s="10" t="s">
        <v>136</v>
      </c>
      <c r="B19" s="10" t="s">
        <v>137</v>
      </c>
      <c r="C19" s="10" t="s">
        <v>184</v>
      </c>
      <c r="D19" s="10"/>
      <c r="E19" s="10"/>
    </row>
    <row r="20" spans="1:5" x14ac:dyDescent="0.25">
      <c r="A20" s="10" t="s">
        <v>138</v>
      </c>
      <c r="B20" s="10" t="s">
        <v>139</v>
      </c>
      <c r="C20" s="10" t="s">
        <v>184</v>
      </c>
      <c r="D20" s="10"/>
      <c r="E20" s="10"/>
    </row>
    <row r="21" spans="1:5" x14ac:dyDescent="0.25">
      <c r="A21" s="10" t="s">
        <v>140</v>
      </c>
      <c r="B21" s="10" t="s">
        <v>141</v>
      </c>
      <c r="C21" s="10" t="s">
        <v>185</v>
      </c>
      <c r="D21" s="10" t="s">
        <v>192</v>
      </c>
      <c r="E21" s="10"/>
    </row>
    <row r="22" spans="1:5" x14ac:dyDescent="0.25">
      <c r="A22" s="10" t="s">
        <v>142</v>
      </c>
      <c r="B22" s="10" t="s">
        <v>143</v>
      </c>
      <c r="C22" s="10" t="s">
        <v>184</v>
      </c>
      <c r="D22" s="10"/>
      <c r="E22" s="10"/>
    </row>
    <row r="23" spans="1:5" x14ac:dyDescent="0.25">
      <c r="A23" s="10" t="s">
        <v>144</v>
      </c>
      <c r="B23" s="10" t="s">
        <v>143</v>
      </c>
      <c r="C23" s="10" t="s">
        <v>185</v>
      </c>
      <c r="D23" s="10" t="s">
        <v>198</v>
      </c>
      <c r="E23" s="12">
        <v>17527</v>
      </c>
    </row>
    <row r="24" spans="1:5" x14ac:dyDescent="0.25">
      <c r="A24" s="10" t="s">
        <v>145</v>
      </c>
      <c r="B24" s="10" t="s">
        <v>146</v>
      </c>
      <c r="C24" s="10" t="s">
        <v>184</v>
      </c>
      <c r="D24" s="10"/>
      <c r="E24" s="10"/>
    </row>
    <row r="25" spans="1:5" x14ac:dyDescent="0.25">
      <c r="A25" s="10" t="s">
        <v>147</v>
      </c>
      <c r="B25" s="10" t="s">
        <v>148</v>
      </c>
      <c r="C25" s="10" t="s">
        <v>184</v>
      </c>
      <c r="D25" s="10"/>
      <c r="E25" s="10"/>
    </row>
    <row r="26" spans="1:5" x14ac:dyDescent="0.25">
      <c r="A26" s="10" t="s">
        <v>117</v>
      </c>
      <c r="B26" s="10" t="s">
        <v>118</v>
      </c>
      <c r="C26" s="10" t="s">
        <v>185</v>
      </c>
      <c r="D26" s="10" t="s">
        <v>194</v>
      </c>
      <c r="E26" s="12">
        <v>30485</v>
      </c>
    </row>
    <row r="27" spans="1:5" x14ac:dyDescent="0.25">
      <c r="A27" s="10" t="s">
        <v>149</v>
      </c>
      <c r="B27" s="10" t="s">
        <v>141</v>
      </c>
      <c r="C27" s="10" t="s">
        <v>184</v>
      </c>
      <c r="D27" s="10"/>
      <c r="E27" s="10"/>
    </row>
    <row r="28" spans="1:5" x14ac:dyDescent="0.25">
      <c r="A28" s="10" t="s">
        <v>150</v>
      </c>
      <c r="B28" s="10" t="s">
        <v>7</v>
      </c>
      <c r="C28" s="10" t="s">
        <v>184</v>
      </c>
      <c r="D28" s="10"/>
      <c r="E28" s="10"/>
    </row>
    <row r="29" spans="1:5" x14ac:dyDescent="0.25">
      <c r="A29" s="10" t="s">
        <v>151</v>
      </c>
      <c r="B29" s="10" t="s">
        <v>152</v>
      </c>
      <c r="C29" s="10" t="s">
        <v>184</v>
      </c>
      <c r="D29" s="10"/>
      <c r="E29" s="10"/>
    </row>
    <row r="30" spans="1:5" x14ac:dyDescent="0.25">
      <c r="A30" s="10" t="s">
        <v>153</v>
      </c>
      <c r="B30" s="10" t="s">
        <v>154</v>
      </c>
      <c r="C30" s="10" t="s">
        <v>184</v>
      </c>
      <c r="D30" s="10"/>
      <c r="E30" s="10"/>
    </row>
    <row r="31" spans="1:5" x14ac:dyDescent="0.25">
      <c r="A31" s="10" t="s">
        <v>155</v>
      </c>
      <c r="B31" s="10" t="s">
        <v>156</v>
      </c>
      <c r="C31" s="10" t="s">
        <v>185</v>
      </c>
      <c r="D31" s="10" t="s">
        <v>195</v>
      </c>
      <c r="E31" s="12">
        <v>17554</v>
      </c>
    </row>
    <row r="32" spans="1:5" x14ac:dyDescent="0.25">
      <c r="A32" s="10" t="s">
        <v>157</v>
      </c>
      <c r="B32" s="10" t="s">
        <v>158</v>
      </c>
      <c r="C32" s="10" t="s">
        <v>184</v>
      </c>
      <c r="D32" s="10"/>
      <c r="E32" s="10"/>
    </row>
    <row r="33" spans="1:5" x14ac:dyDescent="0.25">
      <c r="A33" s="10" t="s">
        <v>159</v>
      </c>
      <c r="B33" s="10" t="s">
        <v>160</v>
      </c>
      <c r="C33" s="10" t="s">
        <v>184</v>
      </c>
      <c r="D33" s="10"/>
      <c r="E33" s="10"/>
    </row>
    <row r="34" spans="1:5" x14ac:dyDescent="0.25">
      <c r="A34" s="10" t="s">
        <v>161</v>
      </c>
      <c r="B34" s="10" t="s">
        <v>162</v>
      </c>
      <c r="C34" s="10" t="s">
        <v>184</v>
      </c>
      <c r="D34" s="10"/>
      <c r="E34" s="10"/>
    </row>
    <row r="35" spans="1:5" x14ac:dyDescent="0.25">
      <c r="A35" s="10" t="s">
        <v>163</v>
      </c>
      <c r="B35" s="10" t="s">
        <v>164</v>
      </c>
      <c r="C35" s="10" t="s">
        <v>184</v>
      </c>
      <c r="D35" s="10"/>
      <c r="E35" s="10"/>
    </row>
    <row r="36" spans="1:5" x14ac:dyDescent="0.25">
      <c r="A36" s="10" t="s">
        <v>165</v>
      </c>
      <c r="B36" s="10" t="s">
        <v>166</v>
      </c>
      <c r="C36" s="10" t="s">
        <v>184</v>
      </c>
      <c r="D36" s="10"/>
      <c r="E3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2026-03-24T14:29:35Z</dcterms:created>
  <dcterms:modified xsi:type="dcterms:W3CDTF">2026-04-02T03:39:43Z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2026-03-30T05:25:38Z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45396cf1-005c-4e8d-b1cf-cd7321b4ec05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