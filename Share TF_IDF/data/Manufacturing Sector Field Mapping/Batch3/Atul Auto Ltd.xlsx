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8824B431-D1D0-4FE7-92D8-E3CE02D22A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R_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2" i="7"/>
  <c r="H1" i="7"/>
  <c r="H2" i="3"/>
  <c r="H1" i="3"/>
  <c r="H2" i="5"/>
  <c r="H1" i="5"/>
  <c r="H2" i="2"/>
  <c r="H1" i="2"/>
  <c r="H2" i="4"/>
  <c r="H1" i="4"/>
  <c r="H2" i="1"/>
  <c r="H1" i="1"/>
  <c r="H2" i="6"/>
  <c r="H1" i="6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<sst xmlns="http://schemas.openxmlformats.org/spreadsheetml/2006/main" count="971" uniqueCount="305">
  <si>
    <t>Particulars</t>
  </si>
  <si>
    <t>Cogencis Field</t>
  </si>
  <si>
    <t>Income from Operations</t>
  </si>
  <si>
    <t>Gross Sales/Income from Operations</t>
  </si>
  <si>
    <t>Gross Sales</t>
  </si>
  <si>
    <t>NOVAL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</si>
  <si>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</si>
  <si>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</si>
  <si>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</si>
  <si>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</si>
  <si>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</si>
  <si>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</si>
  <si>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</si>
  <si>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</si>
  <si>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</si>
  <si>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</si>
  <si>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traded goods, work-in-progress and stock-in-trade</t>
  </si>
  <si>
    <t>Purchase of Stock-in-Trade</t>
  </si>
  <si>
    <t>Employee benefits expense</t>
  </si>
  <si>
    <t>Employee Benefit Expense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</si>
  <si>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</si>
  <si>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</si>
  <si>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</si>
  <si>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</si>
  <si>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</si>
  <si>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</si>
  <si>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Profit/(Loss ) before exceptional items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</si>
  <si>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</si>
  <si>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</si>
  <si>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</si>
  <si>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</si>
  <si>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expenses</t>
  </si>
  <si>
    <t>Current Tax ( incl . income tax of earlier years )</t>
  </si>
  <si>
    <t>Tax Expense</t>
  </si>
  <si>
    <t>Deferred tax</t>
  </si>
  <si>
    <t>Deferred Tax</t>
  </si>
  <si>
    <t>Profit/(Loss ) for the period</t>
  </si>
  <si>
    <t>Net Profit/(Loss) for the Period</t>
  </si>
  <si>
    <t>Other Comprehensive Income/(Expense ), Net of Tax</t>
  </si>
  <si>
    <t>Items that will not be reclassified to profit or loss</t>
  </si>
  <si>
    <t>Items that will not be reclassified to Profit or Loss</t>
  </si>
  <si>
    <t>Remeasurement of Post Employment Benefit Obligation</t>
  </si>
  <si>
    <t>Income Tax Relating to Remeasurement of Defined Benefit Obligation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</si>
  <si>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</si>
  <si>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</si>
  <si>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</si>
  <si>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Total Comprehensive Income/(Expense ) for the Period</t>
  </si>
  <si>
    <t>Total Comprehensive Gain (Loss) For the Year</t>
  </si>
  <si>
    <t>Paid-up equity share capital (Face Value of Rs. 5/-)</t>
  </si>
  <si>
    <t>Paid-Up Equity Share Capital</t>
  </si>
  <si>
    <t>Other Equity</t>
  </si>
  <si>
    <t>Reserve excluding Revaluation Reserves (as per Balance Sheet of Previous Accounting Year)</t>
  </si>
  <si>
    <t>Earning Per Share on net profit/(loss ) ( of Rs . 5 each )</t>
  </si>
  <si>
    <t>Basic EPS and Diluted EPS</t>
  </si>
  <si>
    <t>Basic EPS</t>
  </si>
  <si>
    <t>Non - current Assets</t>
  </si>
  <si>
    <t>Property, Plant and Equipment</t>
  </si>
  <si>
    <t>Property, Plant &amp; Equipment</t>
  </si>
  <si>
    <t>Right of use Asset</t>
  </si>
  <si>
    <t>Right-of-use asset</t>
  </si>
  <si>
    <t>Capital Work - in - Progress</t>
  </si>
  <si>
    <t>Capital Work-In-Progress</t>
  </si>
  <si>
    <t>Investment Property</t>
  </si>
  <si>
    <t>Intangible Assets</t>
  </si>
  <si>
    <t>Other Intangible Assets</t>
  </si>
  <si>
    <t>Financial Assets</t>
  </si>
  <si>
    <t>Investments</t>
  </si>
  <si>
    <t>Non-Current Investments</t>
  </si>
  <si>
    <t>Trade Receivables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</si>
  <si>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</si>
  <si>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</si>
  <si>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</si>
  <si>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</si>
  <si>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</si>
  <si>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</si>
  <si>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</si>
  <si>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</si>
  <si>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</si>
  <si>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</si>
  <si>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 other than cash and cash equivalent</t>
  </si>
  <si>
    <t>Bank balance other than cash and cash equivalents</t>
  </si>
  <si>
    <t>Loans</t>
  </si>
  <si>
    <t>Loans, Current</t>
  </si>
  <si>
    <t>Other Financial Assets</t>
  </si>
  <si>
    <t>Other Non-Current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</si>
  <si>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</si>
  <si>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</si>
  <si>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</si>
  <si>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</si>
  <si>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</si>
  <si>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</si>
  <si>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</si>
  <si>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</si>
  <si>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</si>
  <si>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</si>
  <si>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</si>
  <si>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</si>
  <si>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Liability</t>
  </si>
  <si>
    <t>Borrowings</t>
  </si>
  <si>
    <t>Lease Liability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</si>
  <si>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</si>
  <si>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</si>
  <si>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</si>
  <si>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</si>
  <si>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</si>
  <si>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</si>
  <si>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</si>
  <si>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</si>
  <si>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</si>
  <si>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</si>
  <si>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Financial Liabilities</t>
  </si>
  <si>
    <t>Lease Liabilities</t>
  </si>
  <si>
    <t>Trade Payables</t>
  </si>
  <si>
    <t xml:space="preserve">Total outstanding dues of micro enterprises and small enterprises ; and </t>
  </si>
  <si>
    <t>Total outstanding dues of creditors other than micro enterprises and small enterprises</t>
  </si>
  <si>
    <t>Other Current Liabilities</t>
  </si>
  <si>
    <t>Other liabilities</t>
  </si>
  <si>
    <t>Current Tax Liability ( Net )</t>
  </si>
  <si>
    <t>Current Tax Liabilities (Net)</t>
  </si>
  <si>
    <t>Total Current Liabilities</t>
  </si>
  <si>
    <t>Total Equity and Liabilities</t>
  </si>
  <si>
    <t>Total Equity And Liabilities</t>
  </si>
  <si>
    <t>Net Profit Before Taxation</t>
  </si>
  <si>
    <t>Net Profit Before Tax And Exceptional Item</t>
  </si>
  <si>
    <t>Adjustment for :</t>
  </si>
  <si>
    <t>Add / Less :</t>
  </si>
  <si>
    <t>Bad Debts and Provision for Doubtful Debts ( Reversal of Provision )</t>
  </si>
  <si>
    <t>Provision For Doubtful Debts</t>
  </si>
  <si>
    <t>Depreciation &amp; Impairment</t>
  </si>
  <si>
    <t>Depreciation and Amortisation Expense</t>
  </si>
  <si>
    <t>Finance Cost</t>
  </si>
  <si>
    <t>Interest Expense</t>
  </si>
  <si>
    <t>Loss/(Profit ) on Sale of Property Plant and Equipment</t>
  </si>
  <si>
    <t>Profit On Sale Of Fixed Assets</t>
  </si>
  <si>
    <t>Profit on Redemption / Revaluation of Mutual Fund</t>
  </si>
  <si>
    <t>Profit On Sale Of Investments</t>
  </si>
  <si>
    <t>Interest Received on Deposits</t>
  </si>
  <si>
    <t>Fixed Deposits</t>
  </si>
  <si>
    <t>Rental Income</t>
  </si>
  <si>
    <t>Fin Lease &amp; Rental Charges</t>
  </si>
  <si>
    <t>Sub Total</t>
  </si>
  <si>
    <t>Cash Generated From Operations</t>
  </si>
  <si>
    <t>Operating Profit Before Working Capital Changes</t>
  </si>
  <si>
    <t>Movements in Working Capital :</t>
  </si>
  <si>
    <t>Decrease/-Increase in Trade Receivable</t>
  </si>
  <si>
    <t>Trade And Other Receivables</t>
  </si>
  <si>
    <t>Decrease/-Increase in Inventories</t>
  </si>
  <si>
    <t>Decrease/-Increase in Loans and Other Assets</t>
  </si>
  <si>
    <t>Loans And Advances</t>
  </si>
  <si>
    <t>Increase/-Decrease in Trade Payables</t>
  </si>
  <si>
    <t>Trade Payables And Others</t>
  </si>
  <si>
    <t>Increase/-Decrease in Liabilities / Provisions</t>
  </si>
  <si>
    <t>Other Current and Non Current Liabilities</t>
  </si>
  <si>
    <t>Total Movement in Working Capital</t>
  </si>
  <si>
    <t>Cash Generated from Operations</t>
  </si>
  <si>
    <t>Direct Taxes Paid ( Net of Refunds 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</si>
  <si>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</si>
  <si>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</si>
  <si>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</si>
  <si>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</si>
  <si>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</si>
  <si>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Purchaseof Property Plant and Equipment, CapitalWIP and Advances for Capital Goods &amp; of Payable</t>
  </si>
  <si>
    <t>Purchase Of Fixed Assets (Tangible / Intangible)</t>
  </si>
  <si>
    <t>Proceeds from Sale of Property Plant and Equipment</t>
  </si>
  <si>
    <t>Sale Of Fixed Assets (Tangible / Intangible)</t>
  </si>
  <si>
    <t>Investment in Subsidiary Company</t>
  </si>
  <si>
    <t>Investment In Subsidiaries</t>
  </si>
  <si>
    <t>Net (Investment)/ Ne Proceeds from sale of mutual fund</t>
  </si>
  <si>
    <t>Sale Of Investments</t>
  </si>
  <si>
    <t>(Increase)/Decrease in Other Bank Balance</t>
  </si>
  <si>
    <t>Other Current and Non Current Assets</t>
  </si>
  <si>
    <t>(Increase)/Decrease in inter corporate Deposits</t>
  </si>
  <si>
    <t>Inter Corporate Deposits</t>
  </si>
  <si>
    <t>NET CASH FLOW FROM INVESTING ACTIVITIES</t>
  </si>
  <si>
    <t>Cash Flow form Financing Activities</t>
  </si>
  <si>
    <t xml:space="preserve">Decrease/increase in Lease Liability </t>
  </si>
  <si>
    <t>Others-Before Working Capital Changes</t>
  </si>
  <si>
    <t>Proceeds from Issue of Equity Shares/ Share Warrant</t>
  </si>
  <si>
    <t>Proeeds From Issue Of Share Warrants</t>
  </si>
  <si>
    <t>Proceeds from Bank Borrowing / (Repayment of Loan)</t>
  </si>
  <si>
    <t>Proceeds From Long Term Borrowings</t>
  </si>
  <si>
    <t>Other Borrowing Cost</t>
  </si>
  <si>
    <t>NET CASH CLOW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</si>
  <si>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</si>
  <si>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</si>
  <si>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</si>
  <si>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</si>
  <si>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</si>
  <si>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</si>
  <si>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</si>
  <si>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 as at the End of the Year</t>
  </si>
  <si>
    <t>Gross Sales / Finance Income</t>
  </si>
  <si>
    <t>Income from finance business</t>
  </si>
  <si>
    <t>Purchase of traded goods</t>
  </si>
  <si>
    <t>Changes in inventories of finished goods, work-in-progress and stock-in-trade</t>
  </si>
  <si>
    <t>Changes in Inventories of Finished Goods, Work-In-Progress and Stock-In-Trade</t>
  </si>
  <si>
    <t>Loan, Losses &amp; Provisions</t>
  </si>
  <si>
    <t>Profit/(Loss ) Before Tax</t>
  </si>
  <si>
    <t>Share of Profit from Associates</t>
  </si>
  <si>
    <t>Share of Profit/(Loss) of Associates/Joint Ventures</t>
  </si>
  <si>
    <t>Total Profit/(Loss ) for the Period</t>
  </si>
  <si>
    <t>Profit (Loss) Attributable To [Total]</t>
  </si>
  <si>
    <t>Other Comprehensive Income/ ( Expense ), Net of tax</t>
  </si>
  <si>
    <t>Remeasurement of Post Employment Benefit</t>
  </si>
  <si>
    <t>Income Tax reating to Remeasurement of Defined Benefit Obligation</t>
  </si>
  <si>
    <t>Profits attributable to :</t>
  </si>
  <si>
    <t>Owners of the Company ( Atul Auto Limited )</t>
  </si>
  <si>
    <t>Owners of the company</t>
  </si>
  <si>
    <t>Non - controlling interest</t>
  </si>
  <si>
    <t>Total comprehensive income attributable to :</t>
  </si>
  <si>
    <t>Total Comprehensive Income Attributable To</t>
  </si>
  <si>
    <t>Basic and Diluted EPS</t>
  </si>
  <si>
    <t>Non - current assets</t>
  </si>
  <si>
    <t>Capital work - in - progress</t>
  </si>
  <si>
    <t>Other Bank Balance</t>
  </si>
  <si>
    <t>Loans and Advances</t>
  </si>
  <si>
    <t>Loans Non-Current</t>
  </si>
  <si>
    <t>Income tax assets ( net )</t>
  </si>
  <si>
    <t>Deferred Tax Assets</t>
  </si>
  <si>
    <t>Deferred Tax Assets (Net)</t>
  </si>
  <si>
    <t>Other Non - Current assets</t>
  </si>
  <si>
    <t>Total Non - Current Assets</t>
  </si>
  <si>
    <t>Current assets</t>
  </si>
  <si>
    <t>Cash and cash equivalents</t>
  </si>
  <si>
    <t>Current Tax assets ( net )</t>
  </si>
  <si>
    <t>Other Current assets</t>
  </si>
  <si>
    <t>Equity attributable to owners of the company</t>
  </si>
  <si>
    <t>Non Controlling Interest</t>
  </si>
  <si>
    <t>Minority Interest</t>
  </si>
  <si>
    <t>Non - current liabilities</t>
  </si>
  <si>
    <t>Other Financial Liability</t>
  </si>
  <si>
    <t>Deferred tax liabilities ( Net )</t>
  </si>
  <si>
    <t>Other Non - current Liabilities</t>
  </si>
  <si>
    <t>Other Non-Current Liabilities</t>
  </si>
  <si>
    <t>Total Non - Current Liabilities</t>
  </si>
  <si>
    <t>Current liabilities</t>
  </si>
  <si>
    <t>Preference Shares</t>
  </si>
  <si>
    <t xml:space="preserve">Trade Payables </t>
  </si>
  <si>
    <t xml:space="preserve">total outstanding dues of micro and small enterprises ; and </t>
  </si>
  <si>
    <t>total outstanding dues of creditors other than</t>
  </si>
  <si>
    <t>Other current liabilities</t>
  </si>
  <si>
    <t>Current Tax Liabilities</t>
  </si>
  <si>
    <t>Add -</t>
  </si>
  <si>
    <t>Provision for Doubtful Debts</t>
  </si>
  <si>
    <t>Provision for doubtful debts</t>
  </si>
  <si>
    <t>Less -</t>
  </si>
  <si>
    <t>Loss/(Profit ) on Sale of Fixed Assets</t>
  </si>
  <si>
    <t>Interest Received</t>
  </si>
  <si>
    <t>Interest Income</t>
  </si>
  <si>
    <t>Decrease/-Increase in Loans and Other Assets ( net of impairment )</t>
  </si>
  <si>
    <t>Cash Flow from Investing Activities</t>
  </si>
  <si>
    <t>Proceeds from sale of Fixed Assets less Purchase of Fixed Assets, Capital WIP and Advances for Capital Goods &amp; of Payable</t>
  </si>
  <si>
    <t>Net ( Investment)/ Net Proceeds from Sale of Mutual Fund</t>
  </si>
  <si>
    <t>Rent Income</t>
  </si>
  <si>
    <t>Cash Flow from Financing Activities</t>
  </si>
  <si>
    <t>Proceeds from the issue of PPS</t>
  </si>
  <si>
    <t>Share issue expenses reduced from Security Premium</t>
  </si>
  <si>
    <t>Proceeds From Issue Of Equity Shares (Inclu Share Premium)</t>
  </si>
  <si>
    <t>Increase in Lease Liability ( Principal and Interest )</t>
  </si>
  <si>
    <t>Payments of lease liabilities</t>
  </si>
  <si>
    <t>Proceeds from/(Repayment of ) Borrowings</t>
  </si>
  <si>
    <t>Repayment Of Long Term Borrowings</t>
  </si>
  <si>
    <t>Proceeds from Issue of Shares to NCI shareholders</t>
  </si>
  <si>
    <t>Effect of Change in Cash or Cash Equivalent held in Foreign Currency due to Exchange Rate Fluctuation</t>
  </si>
  <si>
    <t>Effect of Exchange Fluctuation Translation Reserve</t>
  </si>
  <si>
    <t>Cash and Cash Equivalents at the End of the Period</t>
  </si>
  <si>
    <t>Automobiles Business ( Gross )</t>
  </si>
  <si>
    <t>Non Banking Financial Business ( Gross )</t>
  </si>
  <si>
    <t>Total segment revenue</t>
  </si>
  <si>
    <t>Less : Inter - Segment Revenue</t>
  </si>
  <si>
    <t>Total Revenue from Operations ( Net )</t>
  </si>
  <si>
    <t>Segment Results</t>
  </si>
  <si>
    <t>Profit before tax and Interest</t>
  </si>
  <si>
    <t>Automobiles Business</t>
  </si>
  <si>
    <t>Non Banking Financial Business</t>
  </si>
  <si>
    <t>Segment Assets</t>
  </si>
  <si>
    <t>Segment Liabilities</t>
  </si>
  <si>
    <t>Total Field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</si>
  <si>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</si>
  <si>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</si>
  <si>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</si>
  <si>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</si>
  <si>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</si>
  <si>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</si>
  <si>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</si>
  <si>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Profit/(Loss) From Ordinary Activities before Tax</t>
  </si>
  <si>
    <t>Other Comprehensive Income</t>
  </si>
  <si>
    <t>Basic EPS/Diluted EPS</t>
  </si>
  <si>
    <t>222/234</t>
  </si>
  <si>
    <t>Net Profit/(Loss) After Taxes But Before Share of Profit/(Loss) of Associates and Minority Interest</t>
  </si>
  <si>
    <t>Non-Controlling Interests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</si>
  <si>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</si>
  <si>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</si>
  <si>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</si>
  <si>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</si>
  <si>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</si>
  <si>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Ignore this field</t>
  </si>
  <si>
    <t>Profit / Loss from Deployment in Mutual Funds</t>
  </si>
  <si>
    <t>Investments in Mutual Funds</t>
  </si>
  <si>
    <t>Others-Investing Activities</t>
  </si>
  <si>
    <t>Ignore this file</t>
  </si>
  <si>
    <t>All Data Wrongly Captured</t>
  </si>
  <si>
    <t>Proceeds From Preference Shares</t>
  </si>
  <si>
    <t>Provision/Written Off/for Contingencies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</si>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</sst>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4" fillId="3" borderId="0" xfId="0" applyFont="1" applyFill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58.85546875" bestFit="1" customWidth="1"/>
    <col min="2" max="2" width="75.710937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26</v>
      </c>
    </row>
    <row r="2" spans="1:8" x14ac:dyDescent="0.25">
      <c r="A2" s="9" t="s">
        <v>2</v>
      </c>
      <c r="B2" s="9" t="s">
        <v>3</v>
      </c>
      <c r="C2" s="9" t="s">
        <v>282</v>
      </c>
      <c r="D2" s="9" t="s">
        <v>284</v>
      </c>
      <c r="E2" s="9"/>
      <c r="G2" s="5" t="s">
        <v>282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282</v>
      </c>
      <c r="D3" s="9" t="s">
        <v>3</v>
      </c>
      <c r="E3" s="10">
        <v>256</v>
      </c>
      <c r="G3" s="7" t="s">
        <v>283</v>
      </c>
      <c r="H3" s="8">
        <f>H1/SUM(H1:H2)</f>
        <v>0.83870967741935487</v>
      </c>
    </row>
    <row r="4" spans="1:8" x14ac:dyDescent="0.25">
      <c r="A4" s="9" t="s">
        <v>6</v>
      </c>
      <c r="B4" s="9" t="s">
        <v>6</v>
      </c>
      <c r="C4" s="9" t="s">
        <v>281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281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281</v>
      </c>
      <c r="D6" s="9"/>
      <c r="E6" s="9"/>
    </row>
    <row r="7" spans="1:8" x14ac:dyDescent="0.25">
      <c r="A7" s="9" t="s">
        <v>11</v>
      </c>
      <c r="B7" s="9" t="s">
        <v>11</v>
      </c>
      <c r="C7" s="9" t="s">
        <v>281</v>
      </c>
      <c r="D7" s="9"/>
      <c r="E7" s="9"/>
    </row>
    <row r="8" spans="1:8" x14ac:dyDescent="0.25">
      <c r="A8" s="9" t="s">
        <v>12</v>
      </c>
      <c r="B8" s="9" t="s">
        <v>13</v>
      </c>
      <c r="C8" s="9" t="s">
        <v>281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281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281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281</v>
      </c>
      <c r="D11" s="9"/>
      <c r="E11" s="9"/>
    </row>
    <row r="12" spans="1:8" x14ac:dyDescent="0.25">
      <c r="A12" s="9" t="s">
        <v>20</v>
      </c>
      <c r="B12" s="9" t="s">
        <v>20</v>
      </c>
      <c r="C12" s="9" t="s">
        <v>281</v>
      </c>
      <c r="D12" s="9"/>
      <c r="E12" s="9"/>
    </row>
    <row r="13" spans="1:8" x14ac:dyDescent="0.25">
      <c r="A13" s="9" t="s">
        <v>21</v>
      </c>
      <c r="B13" s="9" t="s">
        <v>22</v>
      </c>
      <c r="C13" s="9" t="s">
        <v>281</v>
      </c>
      <c r="D13" s="9"/>
      <c r="E13" s="9"/>
    </row>
    <row r="14" spans="1:8" x14ac:dyDescent="0.25">
      <c r="A14" s="9" t="s">
        <v>23</v>
      </c>
      <c r="B14" s="9" t="s">
        <v>24</v>
      </c>
      <c r="C14" s="9" t="s">
        <v>281</v>
      </c>
      <c r="D14" s="9"/>
      <c r="E14" s="9"/>
    </row>
    <row r="15" spans="1:8" x14ac:dyDescent="0.25">
      <c r="A15" s="9" t="s">
        <v>25</v>
      </c>
      <c r="B15" s="9" t="s">
        <v>25</v>
      </c>
      <c r="C15" s="9" t="s">
        <v>281</v>
      </c>
      <c r="D15" s="9"/>
      <c r="E15" s="9"/>
    </row>
    <row r="16" spans="1:8" x14ac:dyDescent="0.25">
      <c r="A16" s="9" t="s">
        <v>26</v>
      </c>
      <c r="B16" s="9" t="s">
        <v>27</v>
      </c>
      <c r="C16" s="9" t="s">
        <v>281</v>
      </c>
      <c r="D16" s="9"/>
      <c r="E16" s="9"/>
    </row>
    <row r="17" spans="1:5" x14ac:dyDescent="0.25">
      <c r="A17" s="9" t="s">
        <v>28</v>
      </c>
      <c r="B17" s="9" t="s">
        <v>29</v>
      </c>
      <c r="C17" s="9" t="s">
        <v>281</v>
      </c>
      <c r="D17" s="9"/>
      <c r="E17" s="9"/>
    </row>
    <row r="18" spans="1:5" x14ac:dyDescent="0.25">
      <c r="A18" s="9" t="s">
        <v>30</v>
      </c>
      <c r="B18" s="9" t="s">
        <v>13</v>
      </c>
      <c r="C18" s="9" t="s">
        <v>282</v>
      </c>
      <c r="D18" s="9" t="s">
        <v>285</v>
      </c>
      <c r="E18" s="10">
        <v>296</v>
      </c>
    </row>
    <row r="19" spans="1:5" x14ac:dyDescent="0.25">
      <c r="A19" s="9" t="s">
        <v>31</v>
      </c>
      <c r="B19" s="9" t="s">
        <v>13</v>
      </c>
      <c r="C19" s="9" t="s">
        <v>281</v>
      </c>
      <c r="D19" s="9"/>
      <c r="E19" s="9"/>
    </row>
    <row r="20" spans="1:5" x14ac:dyDescent="0.25">
      <c r="A20" s="9" t="s">
        <v>32</v>
      </c>
      <c r="B20" s="9" t="s">
        <v>33</v>
      </c>
      <c r="C20" s="9" t="s">
        <v>281</v>
      </c>
      <c r="D20" s="9"/>
      <c r="E20" s="9"/>
    </row>
    <row r="21" spans="1:5" x14ac:dyDescent="0.25">
      <c r="A21" s="9" t="s">
        <v>34</v>
      </c>
      <c r="B21" s="9" t="s">
        <v>35</v>
      </c>
      <c r="C21" s="9" t="s">
        <v>281</v>
      </c>
      <c r="D21" s="9"/>
      <c r="E21" s="9"/>
    </row>
    <row r="22" spans="1:5" x14ac:dyDescent="0.25">
      <c r="A22" s="9" t="s">
        <v>36</v>
      </c>
      <c r="B22" s="9" t="s">
        <v>37</v>
      </c>
      <c r="C22" s="9" t="s">
        <v>281</v>
      </c>
      <c r="D22" s="9"/>
      <c r="E22" s="9"/>
    </row>
    <row r="23" spans="1:5" x14ac:dyDescent="0.25">
      <c r="A23" s="9" t="s">
        <v>38</v>
      </c>
      <c r="B23" s="9" t="s">
        <v>13</v>
      </c>
      <c r="C23" s="9" t="s">
        <v>282</v>
      </c>
      <c r="D23" s="9" t="s">
        <v>286</v>
      </c>
      <c r="E23" s="10">
        <v>16484</v>
      </c>
    </row>
    <row r="24" spans="1:5" x14ac:dyDescent="0.25">
      <c r="A24" s="9" t="s">
        <v>39</v>
      </c>
      <c r="B24" s="9" t="s">
        <v>40</v>
      </c>
      <c r="C24" s="9" t="s">
        <v>282</v>
      </c>
      <c r="D24" s="9" t="s">
        <v>277</v>
      </c>
      <c r="E24" s="9"/>
    </row>
    <row r="25" spans="1:5" x14ac:dyDescent="0.25">
      <c r="A25" s="9" t="s">
        <v>41</v>
      </c>
      <c r="B25" s="9" t="s">
        <v>40</v>
      </c>
      <c r="C25" s="9" t="s">
        <v>281</v>
      </c>
      <c r="D25" s="9"/>
      <c r="E25" s="9"/>
    </row>
    <row r="26" spans="1:5" x14ac:dyDescent="0.25">
      <c r="A26" s="9" t="s">
        <v>42</v>
      </c>
      <c r="B26" s="9" t="s">
        <v>43</v>
      </c>
      <c r="C26" s="9" t="s">
        <v>281</v>
      </c>
      <c r="D26" s="9"/>
      <c r="E26" s="9"/>
    </row>
    <row r="27" spans="1:5" x14ac:dyDescent="0.25">
      <c r="A27" s="9" t="s">
        <v>44</v>
      </c>
      <c r="B27" s="9" t="s">
        <v>45</v>
      </c>
      <c r="C27" s="9" t="s">
        <v>281</v>
      </c>
      <c r="D27" s="9"/>
      <c r="E27" s="9"/>
    </row>
    <row r="28" spans="1:5" x14ac:dyDescent="0.25">
      <c r="A28" s="9" t="s">
        <v>46</v>
      </c>
      <c r="B28" s="9" t="s">
        <v>47</v>
      </c>
      <c r="C28" s="9" t="s">
        <v>281</v>
      </c>
      <c r="D28" s="9"/>
      <c r="E28" s="9"/>
    </row>
    <row r="29" spans="1:5" x14ac:dyDescent="0.25">
      <c r="A29" s="9" t="s">
        <v>48</v>
      </c>
      <c r="B29" s="9" t="s">
        <v>49</v>
      </c>
      <c r="C29" s="9" t="s">
        <v>281</v>
      </c>
      <c r="D29" s="9"/>
      <c r="E29" s="9"/>
    </row>
    <row r="30" spans="1:5" x14ac:dyDescent="0.25">
      <c r="A30" s="9" t="s">
        <v>50</v>
      </c>
      <c r="B30" s="9" t="s">
        <v>51</v>
      </c>
      <c r="C30" s="9" t="s">
        <v>281</v>
      </c>
      <c r="D30" s="9"/>
      <c r="E30" s="9"/>
    </row>
    <row r="31" spans="1:5" x14ac:dyDescent="0.25">
      <c r="A31" s="9" t="s">
        <v>52</v>
      </c>
      <c r="B31" s="9" t="s">
        <v>13</v>
      </c>
      <c r="C31" s="9" t="s">
        <v>281</v>
      </c>
      <c r="D31" s="9"/>
      <c r="E31" s="9"/>
    </row>
    <row r="32" spans="1:5" x14ac:dyDescent="0.25">
      <c r="A32" s="9" t="s">
        <v>53</v>
      </c>
      <c r="B32" s="9" t="s">
        <v>54</v>
      </c>
      <c r="C32" s="9" t="s">
        <v>281</v>
      </c>
      <c r="D32" s="9" t="s">
        <v>287</v>
      </c>
      <c r="E32" s="10" t="s">
        <v>288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5" x14ac:dyDescent="0.25"/>
  <cols>
    <col min="1" max="1" width="64.85546875" bestFit="1" customWidth="1"/>
    <col min="2" max="2" width="57.5703125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31</v>
      </c>
    </row>
    <row r="2" spans="1:8" x14ac:dyDescent="0.25">
      <c r="A2" s="9" t="s">
        <v>2</v>
      </c>
      <c r="B2" s="9" t="s">
        <v>3</v>
      </c>
      <c r="C2" s="9" t="s">
        <v>282</v>
      </c>
      <c r="D2" s="9" t="s">
        <v>284</v>
      </c>
      <c r="E2" s="9"/>
      <c r="G2" s="5" t="s">
        <v>282</v>
      </c>
      <c r="H2" s="6">
        <f>COUNTIF(C:C,G2)</f>
        <v>10</v>
      </c>
    </row>
    <row r="3" spans="1:8" ht="15.75" thickBot="1" x14ac:dyDescent="0.3">
      <c r="A3" s="9" t="s">
        <v>191</v>
      </c>
      <c r="B3" s="9" t="s">
        <v>5</v>
      </c>
      <c r="C3" s="9" t="s">
        <v>282</v>
      </c>
      <c r="D3" s="9" t="s">
        <v>3</v>
      </c>
      <c r="E3" s="10">
        <v>256</v>
      </c>
      <c r="G3" s="7" t="s">
        <v>283</v>
      </c>
      <c r="H3" s="8">
        <f>H1/SUM(H1:H2)</f>
        <v>0.75609756097560976</v>
      </c>
    </row>
    <row r="4" spans="1:8" x14ac:dyDescent="0.25">
      <c r="A4" s="9" t="s">
        <v>192</v>
      </c>
      <c r="B4" s="9" t="s">
        <v>3</v>
      </c>
      <c r="C4" s="9" t="s">
        <v>281</v>
      </c>
      <c r="D4" s="9"/>
      <c r="E4" s="9"/>
    </row>
    <row r="5" spans="1:8" x14ac:dyDescent="0.25">
      <c r="A5" s="9" t="s">
        <v>6</v>
      </c>
      <c r="B5" s="9" t="s">
        <v>6</v>
      </c>
      <c r="C5" s="9" t="s">
        <v>281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281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281</v>
      </c>
      <c r="D7" s="9"/>
      <c r="E7" s="9"/>
    </row>
    <row r="8" spans="1:8" x14ac:dyDescent="0.25">
      <c r="A8" s="9" t="s">
        <v>11</v>
      </c>
      <c r="B8" s="9" t="s">
        <v>11</v>
      </c>
      <c r="C8" s="9" t="s">
        <v>281</v>
      </c>
      <c r="D8" s="9"/>
      <c r="E8" s="9"/>
    </row>
    <row r="9" spans="1:8" x14ac:dyDescent="0.25">
      <c r="A9" s="9" t="s">
        <v>12</v>
      </c>
      <c r="B9" s="9" t="s">
        <v>13</v>
      </c>
      <c r="C9" s="9" t="s">
        <v>281</v>
      </c>
      <c r="D9" s="9"/>
      <c r="E9" s="9"/>
    </row>
    <row r="10" spans="1:8" x14ac:dyDescent="0.25">
      <c r="A10" s="9" t="s">
        <v>14</v>
      </c>
      <c r="B10" s="9" t="s">
        <v>15</v>
      </c>
      <c r="C10" s="9" t="s">
        <v>281</v>
      </c>
      <c r="D10" s="9"/>
      <c r="E10" s="9"/>
    </row>
    <row r="11" spans="1:8" x14ac:dyDescent="0.25">
      <c r="A11" s="9" t="s">
        <v>193</v>
      </c>
      <c r="B11" s="9" t="s">
        <v>17</v>
      </c>
      <c r="C11" s="9" t="s">
        <v>281</v>
      </c>
      <c r="D11" s="9"/>
      <c r="E11" s="9"/>
    </row>
    <row r="12" spans="1:8" x14ac:dyDescent="0.25">
      <c r="A12" s="9" t="s">
        <v>194</v>
      </c>
      <c r="B12" s="9" t="s">
        <v>195</v>
      </c>
      <c r="C12" s="9" t="s">
        <v>281</v>
      </c>
      <c r="D12" s="9"/>
      <c r="E12" s="9"/>
    </row>
    <row r="13" spans="1:8" x14ac:dyDescent="0.25">
      <c r="A13" s="9" t="s">
        <v>18</v>
      </c>
      <c r="B13" s="9" t="s">
        <v>19</v>
      </c>
      <c r="C13" s="9" t="s">
        <v>281</v>
      </c>
      <c r="D13" s="9"/>
      <c r="E13" s="9"/>
    </row>
    <row r="14" spans="1:8" x14ac:dyDescent="0.25">
      <c r="A14" s="9" t="s">
        <v>20</v>
      </c>
      <c r="B14" s="9" t="s">
        <v>20</v>
      </c>
      <c r="C14" s="9" t="s">
        <v>281</v>
      </c>
      <c r="D14" s="9"/>
      <c r="E14" s="9"/>
    </row>
    <row r="15" spans="1:8" x14ac:dyDescent="0.25">
      <c r="A15" s="9" t="s">
        <v>21</v>
      </c>
      <c r="B15" s="9" t="s">
        <v>22</v>
      </c>
      <c r="C15" s="9" t="s">
        <v>281</v>
      </c>
      <c r="D15" s="9"/>
      <c r="E15" s="9"/>
    </row>
    <row r="16" spans="1:8" x14ac:dyDescent="0.25">
      <c r="A16" s="9" t="s">
        <v>196</v>
      </c>
      <c r="B16" s="9" t="s">
        <v>51</v>
      </c>
      <c r="C16" s="9" t="s">
        <v>282</v>
      </c>
      <c r="D16" s="9" t="s">
        <v>303</v>
      </c>
      <c r="E16" s="10">
        <v>305</v>
      </c>
    </row>
    <row r="17" spans="1:5" x14ac:dyDescent="0.25">
      <c r="A17" s="9" t="s">
        <v>23</v>
      </c>
      <c r="B17" s="9" t="s">
        <v>24</v>
      </c>
      <c r="C17" s="9" t="s">
        <v>281</v>
      </c>
      <c r="D17" s="9"/>
      <c r="E17" s="9"/>
    </row>
    <row r="18" spans="1:5" x14ac:dyDescent="0.25">
      <c r="A18" s="9" t="s">
        <v>25</v>
      </c>
      <c r="B18" s="9" t="s">
        <v>25</v>
      </c>
      <c r="C18" s="9" t="s">
        <v>281</v>
      </c>
      <c r="D18" s="9"/>
      <c r="E18" s="9"/>
    </row>
    <row r="19" spans="1:5" x14ac:dyDescent="0.25">
      <c r="A19" s="9" t="s">
        <v>26</v>
      </c>
      <c r="B19" s="9" t="s">
        <v>27</v>
      </c>
      <c r="C19" s="9" t="s">
        <v>281</v>
      </c>
      <c r="D19" s="9"/>
      <c r="E19" s="9"/>
    </row>
    <row r="20" spans="1:5" x14ac:dyDescent="0.25">
      <c r="A20" s="9" t="s">
        <v>28</v>
      </c>
      <c r="B20" s="9" t="s">
        <v>29</v>
      </c>
      <c r="C20" s="9" t="s">
        <v>281</v>
      </c>
      <c r="D20" s="9"/>
      <c r="E20" s="9"/>
    </row>
    <row r="21" spans="1:5" x14ac:dyDescent="0.25">
      <c r="A21" s="9" t="s">
        <v>197</v>
      </c>
      <c r="B21" s="9" t="s">
        <v>13</v>
      </c>
      <c r="C21" s="9" t="s">
        <v>282</v>
      </c>
      <c r="D21" s="9" t="s">
        <v>285</v>
      </c>
      <c r="E21" s="10">
        <v>296</v>
      </c>
    </row>
    <row r="22" spans="1:5" x14ac:dyDescent="0.25">
      <c r="A22" s="9" t="s">
        <v>31</v>
      </c>
      <c r="B22" s="9" t="s">
        <v>13</v>
      </c>
      <c r="C22" s="9" t="s">
        <v>281</v>
      </c>
      <c r="D22" s="9"/>
      <c r="E22" s="9"/>
    </row>
    <row r="23" spans="1:5" x14ac:dyDescent="0.25">
      <c r="A23" s="9" t="s">
        <v>32</v>
      </c>
      <c r="B23" s="9" t="s">
        <v>33</v>
      </c>
      <c r="C23" s="9" t="s">
        <v>281</v>
      </c>
      <c r="D23" s="9"/>
      <c r="E23" s="9"/>
    </row>
    <row r="24" spans="1:5" x14ac:dyDescent="0.25">
      <c r="A24" s="9" t="s">
        <v>34</v>
      </c>
      <c r="B24" s="9" t="s">
        <v>35</v>
      </c>
      <c r="C24" s="9" t="s">
        <v>281</v>
      </c>
      <c r="D24" s="9"/>
      <c r="E24" s="9"/>
    </row>
    <row r="25" spans="1:5" x14ac:dyDescent="0.25">
      <c r="A25" s="9" t="s">
        <v>36</v>
      </c>
      <c r="B25" s="9" t="s">
        <v>37</v>
      </c>
      <c r="C25" s="9" t="s">
        <v>282</v>
      </c>
      <c r="D25" s="9" t="s">
        <v>289</v>
      </c>
      <c r="E25" s="10">
        <v>268</v>
      </c>
    </row>
    <row r="26" spans="1:5" x14ac:dyDescent="0.25">
      <c r="A26" s="9" t="s">
        <v>198</v>
      </c>
      <c r="B26" s="9" t="s">
        <v>199</v>
      </c>
      <c r="C26" s="9" t="s">
        <v>281</v>
      </c>
      <c r="D26" s="9"/>
      <c r="E26" s="9"/>
    </row>
    <row r="27" spans="1:5" x14ac:dyDescent="0.25">
      <c r="A27" s="9" t="s">
        <v>200</v>
      </c>
      <c r="B27" s="9" t="s">
        <v>201</v>
      </c>
      <c r="C27" s="9" t="s">
        <v>282</v>
      </c>
      <c r="D27" s="9" t="s">
        <v>37</v>
      </c>
      <c r="E27" s="10">
        <v>269</v>
      </c>
    </row>
    <row r="28" spans="1:5" x14ac:dyDescent="0.25">
      <c r="A28" s="9" t="s">
        <v>202</v>
      </c>
      <c r="B28" s="9" t="s">
        <v>13</v>
      </c>
      <c r="C28" s="9" t="s">
        <v>282</v>
      </c>
      <c r="D28" s="9" t="s">
        <v>286</v>
      </c>
      <c r="E28" s="10">
        <v>16484</v>
      </c>
    </row>
    <row r="29" spans="1:5" x14ac:dyDescent="0.25">
      <c r="A29" s="9" t="s">
        <v>39</v>
      </c>
      <c r="B29" s="9" t="s">
        <v>40</v>
      </c>
      <c r="C29" s="9" t="s">
        <v>282</v>
      </c>
      <c r="D29" s="9" t="s">
        <v>284</v>
      </c>
      <c r="E29" s="9"/>
    </row>
    <row r="30" spans="1:5" x14ac:dyDescent="0.25">
      <c r="A30" s="9" t="s">
        <v>203</v>
      </c>
      <c r="B30" s="9" t="s">
        <v>40</v>
      </c>
      <c r="C30" s="9" t="s">
        <v>281</v>
      </c>
      <c r="D30" s="9"/>
      <c r="E30" s="9"/>
    </row>
    <row r="31" spans="1:5" x14ac:dyDescent="0.25">
      <c r="A31" s="9" t="s">
        <v>204</v>
      </c>
      <c r="B31" s="9" t="s">
        <v>43</v>
      </c>
      <c r="C31" s="9" t="s">
        <v>281</v>
      </c>
      <c r="D31" s="9"/>
      <c r="E31" s="9"/>
    </row>
    <row r="32" spans="1:5" x14ac:dyDescent="0.25">
      <c r="A32" s="9" t="s">
        <v>44</v>
      </c>
      <c r="B32" s="9" t="s">
        <v>45</v>
      </c>
      <c r="C32" s="9" t="s">
        <v>281</v>
      </c>
      <c r="D32" s="9"/>
      <c r="E32" s="9"/>
    </row>
    <row r="33" spans="1:5" x14ac:dyDescent="0.25">
      <c r="A33" s="9" t="s">
        <v>46</v>
      </c>
      <c r="B33" s="9" t="s">
        <v>47</v>
      </c>
      <c r="C33" s="9" t="s">
        <v>281</v>
      </c>
      <c r="D33" s="9"/>
      <c r="E33" s="9"/>
    </row>
    <row r="34" spans="1:5" x14ac:dyDescent="0.25">
      <c r="A34" s="9" t="s">
        <v>205</v>
      </c>
      <c r="B34" s="9" t="s">
        <v>13</v>
      </c>
      <c r="C34" s="9" t="s">
        <v>281</v>
      </c>
      <c r="D34" s="13" t="s">
        <v>201</v>
      </c>
      <c r="E34" s="14">
        <v>22300</v>
      </c>
    </row>
    <row r="35" spans="1:5" x14ac:dyDescent="0.25">
      <c r="A35" s="9" t="s">
        <v>206</v>
      </c>
      <c r="B35" s="9" t="s">
        <v>207</v>
      </c>
      <c r="C35" s="9" t="s">
        <v>281</v>
      </c>
      <c r="D35" s="9" t="s">
        <v>207</v>
      </c>
      <c r="E35" s="10">
        <v>22299</v>
      </c>
    </row>
    <row r="36" spans="1:5" x14ac:dyDescent="0.25">
      <c r="A36" s="9" t="s">
        <v>208</v>
      </c>
      <c r="B36" s="9" t="s">
        <v>13</v>
      </c>
      <c r="C36" s="9" t="s">
        <v>282</v>
      </c>
      <c r="D36" s="9" t="s">
        <v>290</v>
      </c>
      <c r="E36" s="10">
        <v>22298</v>
      </c>
    </row>
    <row r="37" spans="1:5" x14ac:dyDescent="0.25">
      <c r="A37" s="9" t="s">
        <v>209</v>
      </c>
      <c r="B37" s="9" t="s">
        <v>210</v>
      </c>
      <c r="C37" s="9" t="s">
        <v>281</v>
      </c>
      <c r="D37" s="13" t="s">
        <v>210</v>
      </c>
      <c r="E37" s="14">
        <v>22301</v>
      </c>
    </row>
    <row r="38" spans="1:5" x14ac:dyDescent="0.25">
      <c r="A38" s="9" t="s">
        <v>206</v>
      </c>
      <c r="B38" s="9" t="s">
        <v>207</v>
      </c>
      <c r="C38" s="9" t="s">
        <v>281</v>
      </c>
      <c r="D38" s="9" t="s">
        <v>207</v>
      </c>
      <c r="E38" s="10">
        <v>22303</v>
      </c>
    </row>
    <row r="39" spans="1:5" x14ac:dyDescent="0.25">
      <c r="A39" s="9" t="s">
        <v>208</v>
      </c>
      <c r="B39" s="9" t="s">
        <v>13</v>
      </c>
      <c r="C39" s="9" t="s">
        <v>282</v>
      </c>
      <c r="D39" s="9" t="s">
        <v>290</v>
      </c>
      <c r="E39" s="10">
        <v>22302</v>
      </c>
    </row>
    <row r="40" spans="1:5" x14ac:dyDescent="0.25">
      <c r="A40" s="9" t="s">
        <v>48</v>
      </c>
      <c r="B40" s="9" t="s">
        <v>49</v>
      </c>
      <c r="C40" s="9" t="s">
        <v>281</v>
      </c>
      <c r="D40" s="9"/>
      <c r="E40" s="9"/>
    </row>
    <row r="41" spans="1:5" x14ac:dyDescent="0.25">
      <c r="A41" s="9" t="s">
        <v>52</v>
      </c>
      <c r="B41" s="9" t="s">
        <v>13</v>
      </c>
      <c r="C41" s="9" t="s">
        <v>281</v>
      </c>
      <c r="D41" s="9"/>
      <c r="E41" s="9"/>
    </row>
    <row r="42" spans="1:5" x14ac:dyDescent="0.25">
      <c r="A42" s="9" t="s">
        <v>211</v>
      </c>
      <c r="B42" s="9" t="s">
        <v>54</v>
      </c>
      <c r="C42" s="9" t="s">
        <v>281</v>
      </c>
      <c r="D42" s="9" t="s">
        <v>287</v>
      </c>
      <c r="E42" s="10" t="s">
        <v>288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48.28515625" customWidth="1"/>
    <col min="2" max="2" width="43" bestFit="1" customWidth="1"/>
    <col min="3" max="3" width="9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45</v>
      </c>
    </row>
    <row r="2" spans="1:8" x14ac:dyDescent="0.25">
      <c r="A2" s="9" t="s">
        <v>55</v>
      </c>
      <c r="B2" s="9" t="s">
        <v>13</v>
      </c>
      <c r="C2" s="9" t="s">
        <v>281</v>
      </c>
      <c r="D2" s="9"/>
      <c r="E2" s="9"/>
      <c r="G2" s="5" t="s">
        <v>282</v>
      </c>
      <c r="H2" s="6">
        <f>COUNTIF(C:C,G2)</f>
        <v>6</v>
      </c>
    </row>
    <row r="3" spans="1:8" ht="15.75" thickBot="1" x14ac:dyDescent="0.3">
      <c r="A3" s="9" t="s">
        <v>56</v>
      </c>
      <c r="B3" s="9" t="s">
        <v>57</v>
      </c>
      <c r="C3" s="9" t="s">
        <v>281</v>
      </c>
      <c r="D3" s="9"/>
      <c r="E3" s="9"/>
      <c r="G3" s="7" t="s">
        <v>283</v>
      </c>
      <c r="H3" s="8">
        <f>H1/SUM(H1:H2)</f>
        <v>0.88235294117647056</v>
      </c>
    </row>
    <row r="4" spans="1:8" x14ac:dyDescent="0.25">
      <c r="A4" s="9" t="s">
        <v>58</v>
      </c>
      <c r="B4" s="9" t="s">
        <v>59</v>
      </c>
      <c r="C4" s="9" t="s">
        <v>281</v>
      </c>
      <c r="D4" s="9"/>
      <c r="E4" s="9"/>
    </row>
    <row r="5" spans="1:8" x14ac:dyDescent="0.25">
      <c r="A5" s="9" t="s">
        <v>60</v>
      </c>
      <c r="B5" s="9" t="s">
        <v>61</v>
      </c>
      <c r="C5" s="9" t="s">
        <v>281</v>
      </c>
      <c r="D5" s="9"/>
      <c r="E5" s="9"/>
    </row>
    <row r="6" spans="1:8" x14ac:dyDescent="0.25">
      <c r="A6" s="9" t="s">
        <v>62</v>
      </c>
      <c r="B6" s="9" t="s">
        <v>62</v>
      </c>
      <c r="C6" s="9" t="s">
        <v>281</v>
      </c>
      <c r="D6" s="9"/>
      <c r="E6" s="9"/>
    </row>
    <row r="7" spans="1:8" x14ac:dyDescent="0.25">
      <c r="A7" s="9" t="s">
        <v>63</v>
      </c>
      <c r="B7" s="9" t="s">
        <v>64</v>
      </c>
      <c r="C7" s="9" t="s">
        <v>281</v>
      </c>
      <c r="D7" s="9"/>
      <c r="E7" s="9"/>
    </row>
    <row r="8" spans="1:8" x14ac:dyDescent="0.25">
      <c r="A8" s="9" t="s">
        <v>65</v>
      </c>
      <c r="B8" s="9" t="s">
        <v>13</v>
      </c>
      <c r="C8" s="9" t="s">
        <v>281</v>
      </c>
      <c r="D8" s="9"/>
      <c r="E8" s="9"/>
    </row>
    <row r="9" spans="1:8" x14ac:dyDescent="0.25">
      <c r="A9" s="9" t="s">
        <v>66</v>
      </c>
      <c r="B9" s="9" t="s">
        <v>67</v>
      </c>
      <c r="C9" s="9" t="s">
        <v>281</v>
      </c>
      <c r="D9" s="9" t="s">
        <v>67</v>
      </c>
      <c r="E9" s="10">
        <v>13748</v>
      </c>
    </row>
    <row r="10" spans="1:8" x14ac:dyDescent="0.25">
      <c r="A10" s="9" t="s">
        <v>68</v>
      </c>
      <c r="B10" s="9" t="s">
        <v>68</v>
      </c>
      <c r="C10" s="9" t="s">
        <v>281</v>
      </c>
      <c r="D10" s="9" t="s">
        <v>68</v>
      </c>
      <c r="E10" s="10">
        <v>20218</v>
      </c>
    </row>
    <row r="11" spans="1:8" x14ac:dyDescent="0.25">
      <c r="A11" s="9" t="s">
        <v>69</v>
      </c>
      <c r="B11" s="9" t="s">
        <v>70</v>
      </c>
      <c r="C11" s="9" t="s">
        <v>282</v>
      </c>
      <c r="D11" s="9" t="s">
        <v>291</v>
      </c>
      <c r="E11" s="10">
        <v>20215</v>
      </c>
    </row>
    <row r="12" spans="1:8" x14ac:dyDescent="0.25">
      <c r="A12" s="9" t="s">
        <v>71</v>
      </c>
      <c r="B12" s="9" t="s">
        <v>72</v>
      </c>
      <c r="C12" s="9" t="s">
        <v>281</v>
      </c>
      <c r="D12" s="9"/>
      <c r="E12" s="9"/>
    </row>
    <row r="13" spans="1:8" x14ac:dyDescent="0.25">
      <c r="A13" s="9" t="s">
        <v>73</v>
      </c>
      <c r="B13" s="9" t="s">
        <v>74</v>
      </c>
      <c r="C13" s="9" t="s">
        <v>281</v>
      </c>
      <c r="D13" s="9"/>
      <c r="E13" s="9"/>
    </row>
    <row r="14" spans="1:8" x14ac:dyDescent="0.25">
      <c r="A14" s="9" t="s">
        <v>75</v>
      </c>
      <c r="B14" s="9" t="s">
        <v>13</v>
      </c>
      <c r="C14" s="9" t="s">
        <v>281</v>
      </c>
      <c r="D14" s="9"/>
      <c r="E14" s="9"/>
    </row>
    <row r="15" spans="1:8" x14ac:dyDescent="0.25">
      <c r="A15" s="9" t="s">
        <v>76</v>
      </c>
      <c r="B15" s="9" t="s">
        <v>76</v>
      </c>
      <c r="C15" s="9" t="s">
        <v>281</v>
      </c>
      <c r="D15" s="9"/>
      <c r="E15" s="9"/>
    </row>
    <row r="16" spans="1:8" x14ac:dyDescent="0.25">
      <c r="A16" s="9" t="s">
        <v>65</v>
      </c>
      <c r="B16" s="9" t="s">
        <v>13</v>
      </c>
      <c r="C16" s="9" t="s">
        <v>281</v>
      </c>
      <c r="D16" s="9"/>
      <c r="E16" s="9"/>
    </row>
    <row r="17" spans="1:5" x14ac:dyDescent="0.25">
      <c r="A17" s="9" t="s">
        <v>66</v>
      </c>
      <c r="B17" s="9" t="s">
        <v>67</v>
      </c>
      <c r="C17" s="9" t="s">
        <v>282</v>
      </c>
      <c r="D17" s="9" t="s">
        <v>292</v>
      </c>
      <c r="E17" s="10">
        <v>13724</v>
      </c>
    </row>
    <row r="18" spans="1:5" x14ac:dyDescent="0.25">
      <c r="A18" s="9" t="s">
        <v>68</v>
      </c>
      <c r="B18" s="9" t="s">
        <v>68</v>
      </c>
      <c r="C18" s="9" t="s">
        <v>281</v>
      </c>
      <c r="D18" s="9" t="s">
        <v>68</v>
      </c>
      <c r="E18" s="10">
        <v>13780</v>
      </c>
    </row>
    <row r="19" spans="1:5" x14ac:dyDescent="0.25">
      <c r="A19" s="9" t="s">
        <v>77</v>
      </c>
      <c r="B19" s="9" t="s">
        <v>78</v>
      </c>
      <c r="C19" s="9" t="s">
        <v>281</v>
      </c>
      <c r="D19" s="9"/>
      <c r="E19" s="9"/>
    </row>
    <row r="20" spans="1:5" x14ac:dyDescent="0.25">
      <c r="A20" s="9" t="s">
        <v>79</v>
      </c>
      <c r="B20" s="9" t="s">
        <v>80</v>
      </c>
      <c r="C20" s="9" t="s">
        <v>281</v>
      </c>
      <c r="D20" s="9"/>
      <c r="E20" s="9"/>
    </row>
    <row r="21" spans="1:5" x14ac:dyDescent="0.25">
      <c r="A21" s="9" t="s">
        <v>81</v>
      </c>
      <c r="B21" s="9" t="s">
        <v>82</v>
      </c>
      <c r="C21" s="9" t="s">
        <v>281</v>
      </c>
      <c r="D21" s="9" t="s">
        <v>82</v>
      </c>
      <c r="E21" s="10">
        <v>20230</v>
      </c>
    </row>
    <row r="22" spans="1:5" x14ac:dyDescent="0.25">
      <c r="A22" s="9" t="s">
        <v>83</v>
      </c>
      <c r="B22" s="9" t="s">
        <v>84</v>
      </c>
      <c r="C22" s="9" t="s">
        <v>282</v>
      </c>
      <c r="D22" s="9" t="s">
        <v>293</v>
      </c>
      <c r="E22" s="10">
        <v>20231</v>
      </c>
    </row>
    <row r="23" spans="1:5" x14ac:dyDescent="0.25">
      <c r="A23" s="9" t="s">
        <v>85</v>
      </c>
      <c r="B23" s="9" t="s">
        <v>85</v>
      </c>
      <c r="C23" s="9" t="s">
        <v>281</v>
      </c>
      <c r="D23" s="9"/>
      <c r="E23" s="9"/>
    </row>
    <row r="24" spans="1:5" x14ac:dyDescent="0.25">
      <c r="A24" s="9" t="s">
        <v>86</v>
      </c>
      <c r="B24" s="9" t="s">
        <v>86</v>
      </c>
      <c r="C24" s="9" t="s">
        <v>281</v>
      </c>
      <c r="D24" s="9"/>
      <c r="E24" s="9"/>
    </row>
    <row r="25" spans="1:5" x14ac:dyDescent="0.25">
      <c r="A25" s="9" t="s">
        <v>87</v>
      </c>
      <c r="B25" s="9" t="s">
        <v>87</v>
      </c>
      <c r="C25" s="9" t="s">
        <v>281</v>
      </c>
      <c r="D25" s="9"/>
      <c r="E25" s="9"/>
    </row>
    <row r="26" spans="1:5" x14ac:dyDescent="0.25">
      <c r="A26" s="9" t="s">
        <v>88</v>
      </c>
      <c r="B26" s="9" t="s">
        <v>13</v>
      </c>
      <c r="C26" s="9" t="s">
        <v>281</v>
      </c>
      <c r="D26" s="9"/>
      <c r="E26" s="9"/>
    </row>
    <row r="27" spans="1:5" x14ac:dyDescent="0.25">
      <c r="A27" s="9" t="s">
        <v>89</v>
      </c>
      <c r="B27" s="9" t="s">
        <v>13</v>
      </c>
      <c r="C27" s="9" t="s">
        <v>281</v>
      </c>
      <c r="D27" s="9"/>
      <c r="E27" s="9"/>
    </row>
    <row r="28" spans="1:5" x14ac:dyDescent="0.25">
      <c r="A28" s="9" t="s">
        <v>90</v>
      </c>
      <c r="B28" s="9" t="s">
        <v>91</v>
      </c>
      <c r="C28" s="9" t="s">
        <v>281</v>
      </c>
      <c r="D28" s="9"/>
      <c r="E28" s="9"/>
    </row>
    <row r="29" spans="1:5" x14ac:dyDescent="0.25">
      <c r="A29" s="9" t="s">
        <v>50</v>
      </c>
      <c r="B29" s="9" t="s">
        <v>92</v>
      </c>
      <c r="C29" s="9" t="s">
        <v>281</v>
      </c>
      <c r="D29" s="9"/>
      <c r="E29" s="9"/>
    </row>
    <row r="30" spans="1:5" x14ac:dyDescent="0.25">
      <c r="A30" s="9" t="s">
        <v>93</v>
      </c>
      <c r="B30" s="9" t="s">
        <v>94</v>
      </c>
      <c r="C30" s="9" t="s">
        <v>281</v>
      </c>
      <c r="D30" s="9"/>
      <c r="E30" s="9"/>
    </row>
    <row r="31" spans="1:5" x14ac:dyDescent="0.25">
      <c r="A31" s="9" t="s">
        <v>95</v>
      </c>
      <c r="B31" s="9" t="s">
        <v>13</v>
      </c>
      <c r="C31" s="9" t="s">
        <v>281</v>
      </c>
      <c r="D31" s="9"/>
      <c r="E31" s="9"/>
    </row>
    <row r="32" spans="1:5" x14ac:dyDescent="0.25">
      <c r="A32" s="9" t="s">
        <v>96</v>
      </c>
      <c r="B32" s="9" t="s">
        <v>13</v>
      </c>
      <c r="C32" s="9" t="s">
        <v>281</v>
      </c>
      <c r="D32" s="9"/>
      <c r="E32" s="9"/>
    </row>
    <row r="33" spans="1:5" x14ac:dyDescent="0.25">
      <c r="A33" s="9" t="s">
        <v>97</v>
      </c>
      <c r="B33" s="9" t="s">
        <v>13</v>
      </c>
      <c r="C33" s="9" t="s">
        <v>281</v>
      </c>
      <c r="D33" s="9"/>
      <c r="E33" s="9"/>
    </row>
    <row r="34" spans="1:5" x14ac:dyDescent="0.25">
      <c r="A34" s="9" t="s">
        <v>98</v>
      </c>
      <c r="B34" s="9" t="s">
        <v>98</v>
      </c>
      <c r="C34" s="9" t="s">
        <v>281</v>
      </c>
      <c r="D34" s="9" t="s">
        <v>98</v>
      </c>
      <c r="E34" s="10">
        <v>20223</v>
      </c>
    </row>
    <row r="35" spans="1:5" x14ac:dyDescent="0.25">
      <c r="A35" s="9" t="s">
        <v>99</v>
      </c>
      <c r="B35" s="9" t="s">
        <v>100</v>
      </c>
      <c r="C35" s="9" t="s">
        <v>281</v>
      </c>
      <c r="D35" s="9" t="s">
        <v>100</v>
      </c>
      <c r="E35" s="10">
        <v>30340</v>
      </c>
    </row>
    <row r="36" spans="1:5" x14ac:dyDescent="0.25">
      <c r="A36" s="9" t="s">
        <v>101</v>
      </c>
      <c r="B36" s="9" t="s">
        <v>102</v>
      </c>
      <c r="C36" s="9" t="s">
        <v>281</v>
      </c>
      <c r="D36" s="9"/>
      <c r="E36" s="9"/>
    </row>
    <row r="37" spans="1:5" x14ac:dyDescent="0.25">
      <c r="A37" s="9" t="s">
        <v>103</v>
      </c>
      <c r="B37" s="9" t="s">
        <v>104</v>
      </c>
      <c r="C37" s="9" t="s">
        <v>281</v>
      </c>
      <c r="D37" s="9"/>
      <c r="E37" s="9"/>
    </row>
    <row r="38" spans="1:5" x14ac:dyDescent="0.25">
      <c r="A38" s="9" t="s">
        <v>105</v>
      </c>
      <c r="B38" s="9" t="s">
        <v>106</v>
      </c>
      <c r="C38" s="9" t="s">
        <v>281</v>
      </c>
      <c r="D38" s="9"/>
      <c r="E38" s="9"/>
    </row>
    <row r="39" spans="1:5" x14ac:dyDescent="0.25">
      <c r="A39" s="9" t="s">
        <v>107</v>
      </c>
      <c r="B39" s="9" t="s">
        <v>108</v>
      </c>
      <c r="C39" s="9" t="s">
        <v>281</v>
      </c>
      <c r="D39" s="9"/>
      <c r="E39" s="9"/>
    </row>
    <row r="40" spans="1:5" x14ac:dyDescent="0.25">
      <c r="A40" s="9" t="s">
        <v>109</v>
      </c>
      <c r="B40" s="9" t="s">
        <v>13</v>
      </c>
      <c r="C40" s="9" t="s">
        <v>281</v>
      </c>
      <c r="D40" s="9"/>
      <c r="E40" s="9"/>
    </row>
    <row r="41" spans="1:5" x14ac:dyDescent="0.25">
      <c r="A41" s="9" t="s">
        <v>110</v>
      </c>
      <c r="B41" s="9" t="s">
        <v>13</v>
      </c>
      <c r="C41" s="9" t="s">
        <v>281</v>
      </c>
      <c r="D41" s="9"/>
      <c r="E41" s="9"/>
    </row>
    <row r="42" spans="1:5" x14ac:dyDescent="0.25">
      <c r="A42" s="9" t="s">
        <v>98</v>
      </c>
      <c r="B42" s="9" t="s">
        <v>98</v>
      </c>
      <c r="C42" s="9" t="s">
        <v>281</v>
      </c>
      <c r="D42" s="9" t="s">
        <v>98</v>
      </c>
      <c r="E42" s="10">
        <v>20209</v>
      </c>
    </row>
    <row r="43" spans="1:5" x14ac:dyDescent="0.25">
      <c r="A43" s="9" t="s">
        <v>111</v>
      </c>
      <c r="B43" s="9" t="s">
        <v>100</v>
      </c>
      <c r="C43" s="9" t="s">
        <v>281</v>
      </c>
      <c r="D43" s="9" t="s">
        <v>100</v>
      </c>
      <c r="E43" s="10">
        <v>25716</v>
      </c>
    </row>
    <row r="44" spans="1:5" x14ac:dyDescent="0.25">
      <c r="A44" s="9" t="s">
        <v>112</v>
      </c>
      <c r="B44" s="9" t="s">
        <v>112</v>
      </c>
      <c r="C44" s="9" t="s">
        <v>282</v>
      </c>
      <c r="D44" s="9" t="s">
        <v>284</v>
      </c>
      <c r="E44" s="9"/>
    </row>
    <row r="45" spans="1:5" x14ac:dyDescent="0.25">
      <c r="A45" s="9" t="s">
        <v>113</v>
      </c>
      <c r="B45" s="9" t="s">
        <v>112</v>
      </c>
      <c r="C45" s="9" t="s">
        <v>281</v>
      </c>
      <c r="D45" s="9"/>
      <c r="E45" s="9"/>
    </row>
    <row r="46" spans="1:5" x14ac:dyDescent="0.25">
      <c r="A46" s="9" t="s">
        <v>114</v>
      </c>
      <c r="B46" s="9" t="s">
        <v>112</v>
      </c>
      <c r="C46" s="9" t="s">
        <v>281</v>
      </c>
      <c r="D46" s="9"/>
      <c r="E46" s="9"/>
    </row>
    <row r="47" spans="1:5" x14ac:dyDescent="0.25">
      <c r="A47" s="9" t="s">
        <v>101</v>
      </c>
      <c r="B47" s="9" t="s">
        <v>102</v>
      </c>
      <c r="C47" s="9" t="s">
        <v>282</v>
      </c>
      <c r="D47" s="9" t="s">
        <v>294</v>
      </c>
      <c r="E47" s="10">
        <v>20214</v>
      </c>
    </row>
    <row r="48" spans="1:5" x14ac:dyDescent="0.25">
      <c r="A48" s="9" t="s">
        <v>115</v>
      </c>
      <c r="B48" s="9" t="s">
        <v>116</v>
      </c>
      <c r="C48" s="9" t="s">
        <v>281</v>
      </c>
      <c r="D48" s="9"/>
      <c r="E48" s="9"/>
    </row>
    <row r="49" spans="1:5" x14ac:dyDescent="0.25">
      <c r="A49" s="9" t="s">
        <v>103</v>
      </c>
      <c r="B49" s="9" t="s">
        <v>104</v>
      </c>
      <c r="C49" s="9" t="s">
        <v>282</v>
      </c>
      <c r="D49" s="9" t="s">
        <v>295</v>
      </c>
      <c r="E49" s="10">
        <v>13767</v>
      </c>
    </row>
    <row r="50" spans="1:5" x14ac:dyDescent="0.25">
      <c r="A50" s="9" t="s">
        <v>117</v>
      </c>
      <c r="B50" s="9" t="s">
        <v>118</v>
      </c>
      <c r="C50" s="9" t="s">
        <v>281</v>
      </c>
      <c r="D50" s="9"/>
      <c r="E50" s="9"/>
    </row>
    <row r="51" spans="1:5" x14ac:dyDescent="0.25">
      <c r="A51" s="9" t="s">
        <v>119</v>
      </c>
      <c r="B51" s="9" t="s">
        <v>119</v>
      </c>
      <c r="C51" s="9" t="s">
        <v>281</v>
      </c>
      <c r="D51" s="9"/>
      <c r="E51" s="9"/>
    </row>
    <row r="52" spans="1:5" x14ac:dyDescent="0.25">
      <c r="A52" s="9" t="s">
        <v>120</v>
      </c>
      <c r="B52" s="9" t="s">
        <v>121</v>
      </c>
      <c r="C52" s="9" t="s">
        <v>281</v>
      </c>
      <c r="D52" s="9"/>
      <c r="E5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 x14ac:dyDescent="0.25"/>
  <cols>
    <col min="1" max="1" width="49.85546875" bestFit="1" customWidth="1"/>
    <col min="2" max="2" width="43" bestFit="1" customWidth="1"/>
    <col min="3" max="3" width="8.5703125" customWidth="1"/>
    <col min="4" max="4" width="24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50</v>
      </c>
    </row>
    <row r="2" spans="1:8" x14ac:dyDescent="0.25">
      <c r="A2" s="9" t="s">
        <v>212</v>
      </c>
      <c r="B2" s="9" t="s">
        <v>13</v>
      </c>
      <c r="C2" s="9" t="s">
        <v>281</v>
      </c>
      <c r="D2" s="9"/>
      <c r="E2" s="9"/>
      <c r="G2" s="5" t="s">
        <v>282</v>
      </c>
      <c r="H2" s="6">
        <f>COUNTIF(C:C,G2)</f>
        <v>7</v>
      </c>
    </row>
    <row r="3" spans="1:8" ht="15.75" thickBot="1" x14ac:dyDescent="0.3">
      <c r="A3" s="9" t="s">
        <v>56</v>
      </c>
      <c r="B3" s="9" t="s">
        <v>57</v>
      </c>
      <c r="C3" s="9" t="s">
        <v>281</v>
      </c>
      <c r="D3" s="9"/>
      <c r="E3" s="9"/>
      <c r="G3" s="7" t="s">
        <v>283</v>
      </c>
      <c r="H3" s="8">
        <f>H1/SUM(H1:H2)</f>
        <v>0.8771929824561403</v>
      </c>
    </row>
    <row r="4" spans="1:8" x14ac:dyDescent="0.25">
      <c r="A4" s="9" t="s">
        <v>213</v>
      </c>
      <c r="B4" s="9" t="s">
        <v>61</v>
      </c>
      <c r="C4" s="9" t="s">
        <v>281</v>
      </c>
      <c r="D4" s="9"/>
      <c r="E4" s="9"/>
    </row>
    <row r="5" spans="1:8" x14ac:dyDescent="0.25">
      <c r="A5" s="9" t="s">
        <v>58</v>
      </c>
      <c r="B5" s="9" t="s">
        <v>59</v>
      </c>
      <c r="C5" s="9" t="s">
        <v>281</v>
      </c>
      <c r="D5" s="9"/>
      <c r="E5" s="9"/>
    </row>
    <row r="6" spans="1:8" x14ac:dyDescent="0.25">
      <c r="A6" s="9" t="s">
        <v>63</v>
      </c>
      <c r="B6" s="9" t="s">
        <v>64</v>
      </c>
      <c r="C6" s="9" t="s">
        <v>281</v>
      </c>
      <c r="D6" s="9"/>
      <c r="E6" s="9"/>
    </row>
    <row r="7" spans="1:8" x14ac:dyDescent="0.25">
      <c r="A7" s="9" t="s">
        <v>65</v>
      </c>
      <c r="B7" s="9" t="s">
        <v>13</v>
      </c>
      <c r="C7" s="9" t="s">
        <v>281</v>
      </c>
      <c r="D7" s="9"/>
      <c r="E7" s="9"/>
    </row>
    <row r="8" spans="1:8" x14ac:dyDescent="0.25">
      <c r="A8" s="9" t="s">
        <v>66</v>
      </c>
      <c r="B8" s="9" t="s">
        <v>67</v>
      </c>
      <c r="C8" s="9" t="s">
        <v>281</v>
      </c>
      <c r="D8" s="9" t="s">
        <v>67</v>
      </c>
      <c r="E8" s="10">
        <v>13748</v>
      </c>
    </row>
    <row r="9" spans="1:8" x14ac:dyDescent="0.25">
      <c r="A9" s="9" t="s">
        <v>214</v>
      </c>
      <c r="B9" s="9" t="s">
        <v>80</v>
      </c>
      <c r="C9" s="9" t="s">
        <v>282</v>
      </c>
      <c r="D9" s="9" t="s">
        <v>84</v>
      </c>
      <c r="E9" s="10">
        <v>20216</v>
      </c>
    </row>
    <row r="10" spans="1:8" x14ac:dyDescent="0.25">
      <c r="A10" s="9" t="s">
        <v>215</v>
      </c>
      <c r="B10" s="9" t="s">
        <v>216</v>
      </c>
      <c r="C10" s="9" t="s">
        <v>281</v>
      </c>
      <c r="D10" s="9" t="s">
        <v>216</v>
      </c>
      <c r="E10" s="10">
        <v>20217</v>
      </c>
    </row>
    <row r="11" spans="1:8" x14ac:dyDescent="0.25">
      <c r="A11" s="9" t="s">
        <v>68</v>
      </c>
      <c r="B11" s="9" t="s">
        <v>68</v>
      </c>
      <c r="C11" s="9" t="s">
        <v>281</v>
      </c>
      <c r="D11" s="9" t="s">
        <v>68</v>
      </c>
      <c r="E11" s="10">
        <v>20218</v>
      </c>
    </row>
    <row r="12" spans="1:8" x14ac:dyDescent="0.25">
      <c r="A12" s="9" t="s">
        <v>83</v>
      </c>
      <c r="B12" s="9" t="s">
        <v>84</v>
      </c>
      <c r="C12" s="9" t="s">
        <v>281</v>
      </c>
      <c r="D12" s="9"/>
      <c r="E12" s="9"/>
    </row>
    <row r="13" spans="1:8" x14ac:dyDescent="0.25">
      <c r="A13" s="9" t="s">
        <v>217</v>
      </c>
      <c r="B13" s="9" t="s">
        <v>70</v>
      </c>
      <c r="C13" s="9" t="s">
        <v>282</v>
      </c>
      <c r="D13" s="9" t="s">
        <v>291</v>
      </c>
      <c r="E13" s="10">
        <v>20215</v>
      </c>
    </row>
    <row r="14" spans="1:8" x14ac:dyDescent="0.25">
      <c r="A14" s="9" t="s">
        <v>218</v>
      </c>
      <c r="B14" s="9" t="s">
        <v>219</v>
      </c>
      <c r="C14" s="9" t="s">
        <v>281</v>
      </c>
      <c r="D14" s="9"/>
      <c r="E14" s="9"/>
    </row>
    <row r="15" spans="1:8" x14ac:dyDescent="0.25">
      <c r="A15" s="9" t="s">
        <v>220</v>
      </c>
      <c r="B15" s="9" t="s">
        <v>72</v>
      </c>
      <c r="C15" s="9" t="s">
        <v>281</v>
      </c>
      <c r="D15" s="9"/>
      <c r="E15" s="9"/>
    </row>
    <row r="16" spans="1:8" x14ac:dyDescent="0.25">
      <c r="A16" s="9" t="s">
        <v>221</v>
      </c>
      <c r="B16" s="9" t="s">
        <v>74</v>
      </c>
      <c r="C16" s="9" t="s">
        <v>281</v>
      </c>
      <c r="D16" s="9"/>
      <c r="E16" s="9"/>
    </row>
    <row r="17" spans="1:5" x14ac:dyDescent="0.25">
      <c r="A17" s="9" t="s">
        <v>222</v>
      </c>
      <c r="B17" s="9" t="s">
        <v>13</v>
      </c>
      <c r="C17" s="9" t="s">
        <v>281</v>
      </c>
      <c r="D17" s="9"/>
      <c r="E17" s="9"/>
    </row>
    <row r="18" spans="1:5" x14ac:dyDescent="0.25">
      <c r="A18" s="9" t="s">
        <v>76</v>
      </c>
      <c r="B18" s="9" t="s">
        <v>76</v>
      </c>
      <c r="C18" s="9" t="s">
        <v>281</v>
      </c>
      <c r="D18" s="9"/>
      <c r="E18" s="9"/>
    </row>
    <row r="19" spans="1:5" x14ac:dyDescent="0.25">
      <c r="A19" s="9" t="s">
        <v>65</v>
      </c>
      <c r="B19" s="9" t="s">
        <v>13</v>
      </c>
      <c r="C19" s="9" t="s">
        <v>281</v>
      </c>
      <c r="D19" s="9"/>
      <c r="E19" s="9"/>
    </row>
    <row r="20" spans="1:5" x14ac:dyDescent="0.25">
      <c r="A20" s="9" t="s">
        <v>66</v>
      </c>
      <c r="B20" s="9" t="s">
        <v>67</v>
      </c>
      <c r="C20" s="9" t="s">
        <v>282</v>
      </c>
      <c r="D20" s="9" t="s">
        <v>292</v>
      </c>
      <c r="E20" s="10">
        <v>13724</v>
      </c>
    </row>
    <row r="21" spans="1:5" x14ac:dyDescent="0.25">
      <c r="A21" s="9" t="s">
        <v>68</v>
      </c>
      <c r="B21" s="9" t="s">
        <v>68</v>
      </c>
      <c r="C21" s="9" t="s">
        <v>281</v>
      </c>
      <c r="D21" s="9" t="s">
        <v>68</v>
      </c>
      <c r="E21" s="10">
        <v>13780</v>
      </c>
    </row>
    <row r="22" spans="1:5" x14ac:dyDescent="0.25">
      <c r="A22" s="9" t="s">
        <v>223</v>
      </c>
      <c r="B22" s="9" t="s">
        <v>78</v>
      </c>
      <c r="C22" s="9" t="s">
        <v>281</v>
      </c>
      <c r="D22" s="9"/>
      <c r="E22" s="9"/>
    </row>
    <row r="23" spans="1:5" x14ac:dyDescent="0.25">
      <c r="A23" s="9" t="s">
        <v>214</v>
      </c>
      <c r="B23" s="9" t="s">
        <v>80</v>
      </c>
      <c r="C23" s="9" t="s">
        <v>281</v>
      </c>
      <c r="D23" s="9"/>
      <c r="E23" s="9"/>
    </row>
    <row r="24" spans="1:5" x14ac:dyDescent="0.25">
      <c r="A24" s="9" t="s">
        <v>81</v>
      </c>
      <c r="B24" s="9" t="s">
        <v>82</v>
      </c>
      <c r="C24" s="9" t="s">
        <v>281</v>
      </c>
      <c r="D24" s="9" t="s">
        <v>82</v>
      </c>
      <c r="E24" s="10">
        <v>20230</v>
      </c>
    </row>
    <row r="25" spans="1:5" x14ac:dyDescent="0.25">
      <c r="A25" s="9" t="s">
        <v>83</v>
      </c>
      <c r="B25" s="9" t="s">
        <v>84</v>
      </c>
      <c r="C25" s="9" t="s">
        <v>282</v>
      </c>
      <c r="D25" s="9" t="s">
        <v>293</v>
      </c>
      <c r="E25" s="10">
        <v>20231</v>
      </c>
    </row>
    <row r="26" spans="1:5" x14ac:dyDescent="0.25">
      <c r="A26" s="9" t="s">
        <v>224</v>
      </c>
      <c r="B26" s="9" t="s">
        <v>70</v>
      </c>
      <c r="C26" s="9" t="s">
        <v>281</v>
      </c>
      <c r="D26" s="9"/>
      <c r="E26" s="9"/>
    </row>
    <row r="27" spans="1:5" x14ac:dyDescent="0.25">
      <c r="A27" s="9" t="s">
        <v>225</v>
      </c>
      <c r="B27" s="9" t="s">
        <v>85</v>
      </c>
      <c r="C27" s="9" t="s">
        <v>281</v>
      </c>
      <c r="D27" s="9"/>
      <c r="E27" s="9"/>
    </row>
    <row r="28" spans="1:5" x14ac:dyDescent="0.25">
      <c r="A28" s="9" t="s">
        <v>86</v>
      </c>
      <c r="B28" s="9" t="s">
        <v>86</v>
      </c>
      <c r="C28" s="9" t="s">
        <v>281</v>
      </c>
      <c r="D28" s="9"/>
      <c r="E28" s="9"/>
    </row>
    <row r="29" spans="1:5" x14ac:dyDescent="0.25">
      <c r="A29" s="9" t="s">
        <v>87</v>
      </c>
      <c r="B29" s="9" t="s">
        <v>87</v>
      </c>
      <c r="C29" s="9" t="s">
        <v>281</v>
      </c>
      <c r="D29" s="9"/>
      <c r="E29" s="9"/>
    </row>
    <row r="30" spans="1:5" x14ac:dyDescent="0.25">
      <c r="A30" s="9" t="s">
        <v>88</v>
      </c>
      <c r="B30" s="9" t="s">
        <v>13</v>
      </c>
      <c r="C30" s="9" t="s">
        <v>281</v>
      </c>
      <c r="D30" s="9"/>
      <c r="E30" s="9"/>
    </row>
    <row r="31" spans="1:5" x14ac:dyDescent="0.25">
      <c r="A31" s="9" t="s">
        <v>89</v>
      </c>
      <c r="B31" s="9" t="s">
        <v>13</v>
      </c>
      <c r="C31" s="9" t="s">
        <v>281</v>
      </c>
      <c r="D31" s="9"/>
      <c r="E31" s="9"/>
    </row>
    <row r="32" spans="1:5" x14ac:dyDescent="0.25">
      <c r="A32" s="9" t="s">
        <v>90</v>
      </c>
      <c r="B32" s="9" t="s">
        <v>91</v>
      </c>
      <c r="C32" s="9" t="s">
        <v>281</v>
      </c>
      <c r="D32" s="9"/>
      <c r="E32" s="9"/>
    </row>
    <row r="33" spans="1:5" x14ac:dyDescent="0.25">
      <c r="A33" s="9" t="s">
        <v>50</v>
      </c>
      <c r="B33" s="9" t="s">
        <v>92</v>
      </c>
      <c r="C33" s="9" t="s">
        <v>281</v>
      </c>
      <c r="D33" s="9"/>
      <c r="E33" s="9"/>
    </row>
    <row r="34" spans="1:5" x14ac:dyDescent="0.25">
      <c r="A34" s="9" t="s">
        <v>226</v>
      </c>
      <c r="B34" s="9" t="s">
        <v>94</v>
      </c>
      <c r="C34" s="9" t="s">
        <v>281</v>
      </c>
      <c r="D34" s="9"/>
      <c r="E34" s="9"/>
    </row>
    <row r="35" spans="1:5" x14ac:dyDescent="0.25">
      <c r="A35" s="9" t="s">
        <v>227</v>
      </c>
      <c r="B35" s="9" t="s">
        <v>228</v>
      </c>
      <c r="C35" s="9" t="s">
        <v>281</v>
      </c>
      <c r="D35" s="9"/>
      <c r="E35" s="9"/>
    </row>
    <row r="36" spans="1:5" x14ac:dyDescent="0.25">
      <c r="A36" s="9" t="s">
        <v>93</v>
      </c>
      <c r="B36" s="9" t="s">
        <v>94</v>
      </c>
      <c r="C36" s="9"/>
      <c r="D36" s="9" t="s">
        <v>296</v>
      </c>
      <c r="E36" s="9"/>
    </row>
    <row r="37" spans="1:5" x14ac:dyDescent="0.25">
      <c r="A37" s="9" t="s">
        <v>95</v>
      </c>
      <c r="B37" s="9" t="s">
        <v>13</v>
      </c>
      <c r="C37" s="9" t="s">
        <v>281</v>
      </c>
      <c r="D37" s="9"/>
      <c r="E37" s="9"/>
    </row>
    <row r="38" spans="1:5" x14ac:dyDescent="0.25">
      <c r="A38" s="9" t="s">
        <v>229</v>
      </c>
      <c r="B38" s="9" t="s">
        <v>13</v>
      </c>
      <c r="C38" s="9" t="s">
        <v>281</v>
      </c>
      <c r="D38" s="9"/>
      <c r="E38" s="9"/>
    </row>
    <row r="39" spans="1:5" x14ac:dyDescent="0.25">
      <c r="A39" s="9" t="s">
        <v>110</v>
      </c>
      <c r="B39" s="9" t="s">
        <v>13</v>
      </c>
      <c r="C39" s="9" t="s">
        <v>281</v>
      </c>
      <c r="D39" s="9"/>
      <c r="E39" s="9"/>
    </row>
    <row r="40" spans="1:5" x14ac:dyDescent="0.25">
      <c r="A40" s="9" t="s">
        <v>98</v>
      </c>
      <c r="B40" s="9" t="s">
        <v>98</v>
      </c>
      <c r="C40" s="9" t="s">
        <v>281</v>
      </c>
      <c r="D40" s="9" t="s">
        <v>98</v>
      </c>
      <c r="E40" s="10">
        <v>20223</v>
      </c>
    </row>
    <row r="41" spans="1:5" x14ac:dyDescent="0.25">
      <c r="A41" s="9" t="s">
        <v>230</v>
      </c>
      <c r="B41" s="9" t="s">
        <v>102</v>
      </c>
      <c r="C41" s="9" t="s">
        <v>281</v>
      </c>
    </row>
    <row r="42" spans="1:5" x14ac:dyDescent="0.25">
      <c r="A42" s="9" t="s">
        <v>99</v>
      </c>
      <c r="B42" s="9" t="s">
        <v>100</v>
      </c>
      <c r="C42" s="9" t="s">
        <v>281</v>
      </c>
      <c r="D42" s="9" t="s">
        <v>100</v>
      </c>
      <c r="E42" s="10">
        <v>30340</v>
      </c>
    </row>
    <row r="43" spans="1:5" x14ac:dyDescent="0.25">
      <c r="A43" s="9" t="s">
        <v>103</v>
      </c>
      <c r="B43" s="9" t="s">
        <v>104</v>
      </c>
      <c r="C43" s="9" t="s">
        <v>281</v>
      </c>
    </row>
    <row r="44" spans="1:5" x14ac:dyDescent="0.25">
      <c r="A44" s="9" t="s">
        <v>231</v>
      </c>
      <c r="B44" s="9" t="s">
        <v>106</v>
      </c>
      <c r="C44" s="9" t="s">
        <v>281</v>
      </c>
      <c r="D44" s="9"/>
      <c r="E44" s="9"/>
    </row>
    <row r="45" spans="1:5" x14ac:dyDescent="0.25">
      <c r="A45" s="9" t="s">
        <v>232</v>
      </c>
      <c r="B45" s="9" t="s">
        <v>233</v>
      </c>
      <c r="C45" s="9" t="s">
        <v>281</v>
      </c>
      <c r="D45" s="9"/>
      <c r="E45" s="9"/>
    </row>
    <row r="46" spans="1:5" x14ac:dyDescent="0.25">
      <c r="A46" s="9" t="s">
        <v>234</v>
      </c>
      <c r="B46" s="9" t="s">
        <v>108</v>
      </c>
      <c r="C46" s="9" t="s">
        <v>281</v>
      </c>
      <c r="D46" s="9"/>
      <c r="E46" s="9"/>
    </row>
    <row r="47" spans="1:5" x14ac:dyDescent="0.25">
      <c r="A47" s="9" t="s">
        <v>235</v>
      </c>
      <c r="B47" s="9" t="s">
        <v>13</v>
      </c>
      <c r="C47" s="9" t="s">
        <v>281</v>
      </c>
      <c r="D47" s="9"/>
      <c r="E47" s="9"/>
    </row>
    <row r="48" spans="1:5" x14ac:dyDescent="0.25">
      <c r="A48" s="9" t="s">
        <v>110</v>
      </c>
      <c r="B48" s="9" t="s">
        <v>13</v>
      </c>
      <c r="C48" s="9" t="s">
        <v>281</v>
      </c>
      <c r="D48" s="9"/>
      <c r="E48" s="9"/>
    </row>
    <row r="49" spans="1:5" x14ac:dyDescent="0.25">
      <c r="A49" s="9" t="s">
        <v>98</v>
      </c>
      <c r="B49" s="9" t="s">
        <v>98</v>
      </c>
      <c r="C49" s="9" t="s">
        <v>281</v>
      </c>
      <c r="D49" s="9" t="s">
        <v>98</v>
      </c>
      <c r="E49" s="10">
        <v>20209</v>
      </c>
    </row>
    <row r="50" spans="1:5" x14ac:dyDescent="0.25">
      <c r="A50" s="9" t="s">
        <v>236</v>
      </c>
      <c r="B50" s="9" t="s">
        <v>228</v>
      </c>
      <c r="C50" s="9"/>
      <c r="D50" s="9" t="s">
        <v>296</v>
      </c>
      <c r="E50" s="9"/>
    </row>
    <row r="51" spans="1:5" x14ac:dyDescent="0.25">
      <c r="A51" s="9" t="s">
        <v>237</v>
      </c>
      <c r="B51" s="9" t="s">
        <v>112</v>
      </c>
      <c r="C51" s="9" t="s">
        <v>282</v>
      </c>
      <c r="D51" s="9" t="s">
        <v>284</v>
      </c>
      <c r="E51" s="9"/>
    </row>
    <row r="52" spans="1:5" x14ac:dyDescent="0.25">
      <c r="A52" s="9" t="s">
        <v>238</v>
      </c>
      <c r="B52" s="9" t="s">
        <v>112</v>
      </c>
      <c r="C52" s="9" t="s">
        <v>281</v>
      </c>
      <c r="D52" s="9"/>
      <c r="E52" s="9"/>
    </row>
    <row r="53" spans="1:5" x14ac:dyDescent="0.25">
      <c r="A53" s="9" t="s">
        <v>239</v>
      </c>
      <c r="B53" s="9" t="s">
        <v>112</v>
      </c>
      <c r="C53" s="9" t="s">
        <v>281</v>
      </c>
      <c r="D53" s="9"/>
      <c r="E53" s="9"/>
    </row>
    <row r="54" spans="1:5" x14ac:dyDescent="0.25">
      <c r="A54" s="9" t="s">
        <v>99</v>
      </c>
      <c r="B54" s="9" t="s">
        <v>100</v>
      </c>
      <c r="C54" s="9" t="s">
        <v>281</v>
      </c>
      <c r="D54" s="9" t="s">
        <v>100</v>
      </c>
      <c r="E54" s="10">
        <v>25716</v>
      </c>
    </row>
    <row r="55" spans="1:5" x14ac:dyDescent="0.25">
      <c r="A55" s="9" t="s">
        <v>101</v>
      </c>
      <c r="B55" s="9" t="s">
        <v>102</v>
      </c>
      <c r="C55" s="9" t="s">
        <v>282</v>
      </c>
      <c r="D55" s="9" t="s">
        <v>294</v>
      </c>
      <c r="E55" s="10">
        <v>20214</v>
      </c>
    </row>
    <row r="56" spans="1:5" x14ac:dyDescent="0.25">
      <c r="A56" s="9" t="s">
        <v>240</v>
      </c>
      <c r="B56" s="9" t="s">
        <v>116</v>
      </c>
      <c r="C56" s="9" t="s">
        <v>281</v>
      </c>
      <c r="D56" s="9"/>
      <c r="E56" s="9"/>
    </row>
    <row r="57" spans="1:5" x14ac:dyDescent="0.25">
      <c r="A57" s="9" t="s">
        <v>103</v>
      </c>
      <c r="B57" s="9" t="s">
        <v>104</v>
      </c>
      <c r="C57" s="9" t="s">
        <v>282</v>
      </c>
      <c r="D57" s="9" t="s">
        <v>295</v>
      </c>
      <c r="E57" s="10">
        <v>13767</v>
      </c>
    </row>
    <row r="58" spans="1:5" x14ac:dyDescent="0.25">
      <c r="A58" s="9" t="s">
        <v>241</v>
      </c>
      <c r="B58" s="9" t="s">
        <v>118</v>
      </c>
      <c r="C58" s="9" t="s">
        <v>281</v>
      </c>
      <c r="D58" s="9"/>
      <c r="E58" s="9"/>
    </row>
    <row r="59" spans="1:5" x14ac:dyDescent="0.25">
      <c r="A59" s="9" t="s">
        <v>119</v>
      </c>
      <c r="B59" s="9" t="s">
        <v>119</v>
      </c>
      <c r="C59" s="9" t="s">
        <v>281</v>
      </c>
      <c r="D59" s="9"/>
      <c r="E59" s="9"/>
    </row>
    <row r="60" spans="1:5" x14ac:dyDescent="0.25">
      <c r="A60" s="9" t="s">
        <v>120</v>
      </c>
      <c r="B60" s="9" t="s">
        <v>121</v>
      </c>
      <c r="C60" s="9" t="s">
        <v>281</v>
      </c>
      <c r="D60" s="9"/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/>
  </sheetViews>
  <sheetFormatPr defaultRowHeight="15" x14ac:dyDescent="0.25"/>
  <cols>
    <col min="1" max="1" width="60.28515625" customWidth="1"/>
    <col min="2" max="2" width="57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29</v>
      </c>
    </row>
    <row r="2" spans="1:8" x14ac:dyDescent="0.25">
      <c r="A2" s="9" t="s">
        <v>122</v>
      </c>
      <c r="B2" s="9" t="s">
        <v>123</v>
      </c>
      <c r="C2" s="9" t="s">
        <v>281</v>
      </c>
      <c r="D2" s="9"/>
      <c r="E2" s="9"/>
      <c r="G2" s="5" t="s">
        <v>282</v>
      </c>
      <c r="H2" s="6">
        <f>COUNTIF(C:C,G2)</f>
        <v>12</v>
      </c>
    </row>
    <row r="3" spans="1:8" ht="15.75" thickBot="1" x14ac:dyDescent="0.3">
      <c r="A3" s="9" t="s">
        <v>124</v>
      </c>
      <c r="B3" s="9" t="s">
        <v>13</v>
      </c>
      <c r="C3" s="9" t="s">
        <v>281</v>
      </c>
      <c r="D3" s="9"/>
      <c r="E3" s="9"/>
      <c r="G3" s="7" t="s">
        <v>283</v>
      </c>
      <c r="H3" s="8">
        <f>H1/SUM(H1:H2)</f>
        <v>0.70731707317073167</v>
      </c>
    </row>
    <row r="4" spans="1:8" x14ac:dyDescent="0.25">
      <c r="A4" s="9" t="s">
        <v>125</v>
      </c>
      <c r="B4" s="9" t="s">
        <v>13</v>
      </c>
      <c r="C4" s="9" t="s">
        <v>281</v>
      </c>
      <c r="D4" s="9"/>
      <c r="E4" s="9"/>
    </row>
    <row r="5" spans="1:8" x14ac:dyDescent="0.25">
      <c r="A5" s="9" t="s">
        <v>126</v>
      </c>
      <c r="B5" s="9" t="s">
        <v>127</v>
      </c>
      <c r="C5" s="9" t="s">
        <v>281</v>
      </c>
      <c r="D5" s="9"/>
      <c r="E5" s="9"/>
    </row>
    <row r="6" spans="1:8" x14ac:dyDescent="0.25">
      <c r="A6" s="9" t="s">
        <v>128</v>
      </c>
      <c r="B6" s="9" t="s">
        <v>129</v>
      </c>
      <c r="C6" s="9" t="s">
        <v>281</v>
      </c>
      <c r="D6" s="9"/>
      <c r="E6" s="9"/>
    </row>
    <row r="7" spans="1:8" x14ac:dyDescent="0.25">
      <c r="A7" s="9" t="s">
        <v>130</v>
      </c>
      <c r="B7" s="9" t="s">
        <v>131</v>
      </c>
      <c r="C7" s="9" t="s">
        <v>281</v>
      </c>
      <c r="D7" s="9"/>
      <c r="E7" s="9"/>
    </row>
    <row r="8" spans="1:8" x14ac:dyDescent="0.25">
      <c r="A8" s="9" t="s">
        <v>132</v>
      </c>
      <c r="B8" s="9" t="s">
        <v>133</v>
      </c>
      <c r="C8" s="9" t="s">
        <v>281</v>
      </c>
      <c r="D8" s="9"/>
      <c r="E8" s="9"/>
    </row>
    <row r="9" spans="1:8" x14ac:dyDescent="0.25">
      <c r="A9" s="9" t="s">
        <v>134</v>
      </c>
      <c r="B9" s="9" t="s">
        <v>135</v>
      </c>
      <c r="C9" s="9" t="s">
        <v>282</v>
      </c>
      <c r="D9" s="9" t="s">
        <v>297</v>
      </c>
      <c r="E9" s="10">
        <v>30575</v>
      </c>
    </row>
    <row r="10" spans="1:8" x14ac:dyDescent="0.25">
      <c r="A10" s="9" t="s">
        <v>136</v>
      </c>
      <c r="B10" s="9" t="s">
        <v>137</v>
      </c>
      <c r="C10" s="9" t="s">
        <v>282</v>
      </c>
      <c r="D10" s="9" t="s">
        <v>248</v>
      </c>
      <c r="E10" s="10">
        <v>30481</v>
      </c>
    </row>
    <row r="11" spans="1:8" x14ac:dyDescent="0.25">
      <c r="A11" s="9" t="s">
        <v>138</v>
      </c>
      <c r="B11" s="9" t="s">
        <v>139</v>
      </c>
      <c r="C11" s="9" t="s">
        <v>281</v>
      </c>
      <c r="D11" s="9"/>
      <c r="E11" s="10"/>
    </row>
    <row r="12" spans="1:8" x14ac:dyDescent="0.25">
      <c r="A12" s="9" t="s">
        <v>140</v>
      </c>
      <c r="B12" s="9" t="s">
        <v>141</v>
      </c>
      <c r="C12" s="9" t="s">
        <v>282</v>
      </c>
      <c r="D12" s="9" t="s">
        <v>277</v>
      </c>
      <c r="E12" s="9"/>
    </row>
    <row r="13" spans="1:8" x14ac:dyDescent="0.25">
      <c r="A13" s="9" t="s">
        <v>142</v>
      </c>
      <c r="B13" s="9" t="s">
        <v>142</v>
      </c>
      <c r="C13" s="9" t="s">
        <v>281</v>
      </c>
      <c r="D13" s="9"/>
      <c r="E13" s="9"/>
    </row>
    <row r="14" spans="1:8" x14ac:dyDescent="0.25">
      <c r="A14" s="9" t="s">
        <v>143</v>
      </c>
      <c r="B14" s="9" t="s">
        <v>13</v>
      </c>
      <c r="C14" s="9" t="s">
        <v>281</v>
      </c>
      <c r="D14" s="9"/>
      <c r="E14" s="9"/>
    </row>
    <row r="15" spans="1:8" x14ac:dyDescent="0.25">
      <c r="A15" s="9" t="s">
        <v>144</v>
      </c>
      <c r="B15" s="9" t="s">
        <v>145</v>
      </c>
      <c r="C15" s="9" t="s">
        <v>281</v>
      </c>
      <c r="D15" s="9"/>
      <c r="E15" s="9"/>
    </row>
    <row r="16" spans="1:8" x14ac:dyDescent="0.25">
      <c r="A16" s="9" t="s">
        <v>146</v>
      </c>
      <c r="B16" s="9" t="s">
        <v>76</v>
      </c>
      <c r="C16" s="9" t="s">
        <v>281</v>
      </c>
      <c r="D16" s="9"/>
      <c r="E16" s="9"/>
    </row>
    <row r="17" spans="1:5" x14ac:dyDescent="0.25">
      <c r="A17" s="9" t="s">
        <v>147</v>
      </c>
      <c r="B17" s="9" t="s">
        <v>148</v>
      </c>
      <c r="C17" s="9" t="s">
        <v>281</v>
      </c>
      <c r="D17" s="9"/>
      <c r="E17" s="9"/>
    </row>
    <row r="18" spans="1:5" x14ac:dyDescent="0.25">
      <c r="A18" s="9" t="s">
        <v>149</v>
      </c>
      <c r="B18" s="9" t="s">
        <v>150</v>
      </c>
      <c r="C18" s="9" t="s">
        <v>281</v>
      </c>
      <c r="D18" s="9"/>
      <c r="E18" s="9"/>
    </row>
    <row r="19" spans="1:5" x14ac:dyDescent="0.25">
      <c r="A19" s="9" t="s">
        <v>151</v>
      </c>
      <c r="B19" s="9" t="s">
        <v>152</v>
      </c>
      <c r="C19" s="9" t="s">
        <v>281</v>
      </c>
      <c r="D19" s="9"/>
      <c r="E19" s="9"/>
    </row>
    <row r="20" spans="1:5" x14ac:dyDescent="0.25">
      <c r="A20" s="9" t="s">
        <v>153</v>
      </c>
      <c r="B20" s="9" t="s">
        <v>141</v>
      </c>
      <c r="C20" s="9" t="s">
        <v>282</v>
      </c>
      <c r="D20" s="9" t="s">
        <v>277</v>
      </c>
      <c r="E20" s="9"/>
    </row>
    <row r="21" spans="1:5" x14ac:dyDescent="0.25">
      <c r="A21" s="9" t="s">
        <v>154</v>
      </c>
      <c r="B21" s="9" t="s">
        <v>141</v>
      </c>
      <c r="C21" s="9" t="s">
        <v>281</v>
      </c>
      <c r="D21" s="9"/>
      <c r="E21" s="9"/>
    </row>
    <row r="22" spans="1:5" x14ac:dyDescent="0.25">
      <c r="A22" s="9" t="s">
        <v>155</v>
      </c>
      <c r="B22" s="9" t="s">
        <v>156</v>
      </c>
      <c r="C22" s="9" t="s">
        <v>281</v>
      </c>
      <c r="D22" s="9"/>
      <c r="E22" s="9"/>
    </row>
    <row r="23" spans="1:5" x14ac:dyDescent="0.25">
      <c r="A23" s="9" t="s">
        <v>157</v>
      </c>
      <c r="B23" s="9" t="s">
        <v>158</v>
      </c>
      <c r="C23" s="9" t="s">
        <v>281</v>
      </c>
      <c r="D23" s="9"/>
      <c r="E23" s="9"/>
    </row>
    <row r="24" spans="1:5" x14ac:dyDescent="0.25">
      <c r="A24" s="9" t="s">
        <v>159</v>
      </c>
      <c r="B24" s="9" t="s">
        <v>160</v>
      </c>
      <c r="C24" s="9" t="s">
        <v>282</v>
      </c>
      <c r="D24" s="9" t="s">
        <v>284</v>
      </c>
      <c r="E24" s="9"/>
    </row>
    <row r="25" spans="1:5" x14ac:dyDescent="0.25">
      <c r="A25" s="9" t="s">
        <v>161</v>
      </c>
      <c r="B25" s="9" t="s">
        <v>162</v>
      </c>
      <c r="C25" s="9" t="s">
        <v>281</v>
      </c>
      <c r="D25" s="9"/>
      <c r="E25" s="9"/>
    </row>
    <row r="26" spans="1:5" x14ac:dyDescent="0.25">
      <c r="A26" s="9" t="s">
        <v>163</v>
      </c>
      <c r="B26" s="9" t="s">
        <v>164</v>
      </c>
      <c r="C26" s="9" t="s">
        <v>281</v>
      </c>
      <c r="D26" s="9"/>
      <c r="E26" s="9"/>
    </row>
    <row r="27" spans="1:5" x14ac:dyDescent="0.25">
      <c r="A27" s="9" t="s">
        <v>165</v>
      </c>
      <c r="B27" s="9" t="s">
        <v>166</v>
      </c>
      <c r="C27" s="9" t="s">
        <v>281</v>
      </c>
      <c r="D27" s="9"/>
      <c r="E27" s="9"/>
    </row>
    <row r="28" spans="1:5" x14ac:dyDescent="0.25">
      <c r="A28" s="9" t="s">
        <v>167</v>
      </c>
      <c r="B28" s="9" t="s">
        <v>168</v>
      </c>
      <c r="C28" s="9" t="s">
        <v>282</v>
      </c>
      <c r="D28" s="9" t="s">
        <v>298</v>
      </c>
      <c r="E28" s="10">
        <v>30489</v>
      </c>
    </row>
    <row r="29" spans="1:5" x14ac:dyDescent="0.25">
      <c r="A29" s="9" t="s">
        <v>169</v>
      </c>
      <c r="B29" s="9" t="s">
        <v>170</v>
      </c>
      <c r="C29" s="9" t="s">
        <v>282</v>
      </c>
      <c r="D29" s="9" t="s">
        <v>299</v>
      </c>
      <c r="E29" s="10">
        <v>17545</v>
      </c>
    </row>
    <row r="30" spans="1:5" x14ac:dyDescent="0.25">
      <c r="A30" s="9" t="s">
        <v>171</v>
      </c>
      <c r="B30" s="9" t="s">
        <v>172</v>
      </c>
      <c r="C30" s="9" t="s">
        <v>281</v>
      </c>
      <c r="D30" s="9"/>
      <c r="E30" s="9"/>
    </row>
    <row r="31" spans="1:5" x14ac:dyDescent="0.25">
      <c r="A31" s="9" t="s">
        <v>138</v>
      </c>
      <c r="B31" s="9" t="s">
        <v>139</v>
      </c>
      <c r="C31" s="9" t="s">
        <v>282</v>
      </c>
      <c r="D31" s="9" t="s">
        <v>299</v>
      </c>
      <c r="E31" s="10">
        <v>17545</v>
      </c>
    </row>
    <row r="32" spans="1:5" x14ac:dyDescent="0.25">
      <c r="A32" s="9" t="s">
        <v>136</v>
      </c>
      <c r="B32" s="9" t="s">
        <v>137</v>
      </c>
      <c r="C32" s="9" t="s">
        <v>282</v>
      </c>
      <c r="D32" s="9" t="s">
        <v>247</v>
      </c>
      <c r="E32" s="10">
        <v>30485</v>
      </c>
    </row>
    <row r="33" spans="1:5" x14ac:dyDescent="0.25">
      <c r="A33" s="9" t="s">
        <v>173</v>
      </c>
      <c r="B33" s="9" t="s">
        <v>160</v>
      </c>
      <c r="C33" s="9" t="s">
        <v>281</v>
      </c>
      <c r="D33" s="9"/>
      <c r="E33" s="9"/>
    </row>
    <row r="34" spans="1:5" x14ac:dyDescent="0.25">
      <c r="A34" s="9" t="s">
        <v>174</v>
      </c>
      <c r="B34" s="9" t="s">
        <v>13</v>
      </c>
      <c r="C34" s="9" t="s">
        <v>281</v>
      </c>
      <c r="D34" s="9"/>
      <c r="E34" s="9"/>
    </row>
    <row r="35" spans="1:5" x14ac:dyDescent="0.25">
      <c r="A35" s="9" t="s">
        <v>175</v>
      </c>
      <c r="B35" s="9" t="s">
        <v>176</v>
      </c>
      <c r="C35" s="9" t="s">
        <v>282</v>
      </c>
      <c r="D35" s="9" t="s">
        <v>259</v>
      </c>
      <c r="E35" s="10">
        <v>30467</v>
      </c>
    </row>
    <row r="36" spans="1:5" x14ac:dyDescent="0.25">
      <c r="A36" s="9" t="s">
        <v>177</v>
      </c>
      <c r="B36" s="9" t="s">
        <v>178</v>
      </c>
      <c r="C36" s="9" t="s">
        <v>282</v>
      </c>
      <c r="D36" s="9" t="s">
        <v>257</v>
      </c>
      <c r="E36" s="10">
        <v>17553</v>
      </c>
    </row>
    <row r="37" spans="1:5" x14ac:dyDescent="0.25">
      <c r="A37" s="9" t="s">
        <v>179</v>
      </c>
      <c r="B37" s="9" t="s">
        <v>180</v>
      </c>
      <c r="C37" s="9" t="s">
        <v>281</v>
      </c>
      <c r="D37" s="9"/>
      <c r="E37" s="9"/>
    </row>
    <row r="38" spans="1:5" x14ac:dyDescent="0.25">
      <c r="A38" s="9" t="s">
        <v>181</v>
      </c>
      <c r="B38" s="9" t="s">
        <v>131</v>
      </c>
      <c r="C38" s="9" t="s">
        <v>282</v>
      </c>
      <c r="D38" s="9" t="s">
        <v>304</v>
      </c>
      <c r="E38" s="10">
        <v>30484</v>
      </c>
    </row>
    <row r="39" spans="1:5" x14ac:dyDescent="0.25">
      <c r="A39" s="9" t="s">
        <v>182</v>
      </c>
      <c r="B39" s="9" t="s">
        <v>183</v>
      </c>
      <c r="C39" s="9" t="s">
        <v>281</v>
      </c>
      <c r="D39" s="9"/>
      <c r="E39" s="9"/>
    </row>
    <row r="40" spans="1:5" x14ac:dyDescent="0.25">
      <c r="A40" s="9" t="s">
        <v>184</v>
      </c>
      <c r="B40" s="9" t="s">
        <v>185</v>
      </c>
      <c r="C40" s="9" t="s">
        <v>281</v>
      </c>
      <c r="D40" s="9"/>
      <c r="E40" s="9"/>
    </row>
    <row r="41" spans="1:5" x14ac:dyDescent="0.25">
      <c r="A41" s="9" t="s">
        <v>186</v>
      </c>
      <c r="B41" s="9" t="s">
        <v>187</v>
      </c>
      <c r="C41" s="9" t="s">
        <v>281</v>
      </c>
      <c r="D41" s="9"/>
      <c r="E41" s="9"/>
    </row>
    <row r="42" spans="1:5" x14ac:dyDescent="0.25">
      <c r="A42" s="9" t="s">
        <v>188</v>
      </c>
      <c r="B42" s="9" t="s">
        <v>189</v>
      </c>
      <c r="C42" s="9" t="s">
        <v>281</v>
      </c>
      <c r="D42" s="9"/>
      <c r="E42" s="9"/>
    </row>
    <row r="43" spans="1:5" x14ac:dyDescent="0.25">
      <c r="A43" s="9" t="s">
        <v>190</v>
      </c>
      <c r="B43" s="9" t="s">
        <v>13</v>
      </c>
      <c r="C43" s="9"/>
      <c r="D43" s="9" t="s">
        <v>300</v>
      </c>
      <c r="E4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/>
  </sheetViews>
  <sheetFormatPr defaultRowHeight="15" x14ac:dyDescent="0.25"/>
  <cols>
    <col min="1" max="1" width="57.140625" customWidth="1"/>
    <col min="2" max="2" width="55" customWidth="1"/>
    <col min="3" max="3" width="8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32</v>
      </c>
    </row>
    <row r="2" spans="1:8" x14ac:dyDescent="0.25">
      <c r="A2" s="9" t="s">
        <v>122</v>
      </c>
      <c r="B2" s="9" t="s">
        <v>123</v>
      </c>
      <c r="C2" s="9" t="s">
        <v>281</v>
      </c>
      <c r="D2" s="9"/>
      <c r="E2" s="9"/>
      <c r="G2" s="5" t="s">
        <v>282</v>
      </c>
      <c r="H2" s="6">
        <f>COUNTIF(C:C,G2)</f>
        <v>11</v>
      </c>
    </row>
    <row r="3" spans="1:8" ht="15.75" thickBot="1" x14ac:dyDescent="0.3">
      <c r="A3" s="9" t="s">
        <v>124</v>
      </c>
      <c r="B3" s="9" t="s">
        <v>13</v>
      </c>
      <c r="C3" s="9" t="s">
        <v>281</v>
      </c>
      <c r="D3" s="9"/>
      <c r="E3" s="9"/>
      <c r="G3" s="7" t="s">
        <v>283</v>
      </c>
      <c r="H3" s="8">
        <f>H1/SUM(H1:H2)</f>
        <v>0.7441860465116279</v>
      </c>
    </row>
    <row r="4" spans="1:8" x14ac:dyDescent="0.25">
      <c r="A4" s="9" t="s">
        <v>242</v>
      </c>
      <c r="B4" s="9" t="s">
        <v>13</v>
      </c>
      <c r="C4" s="9" t="s">
        <v>281</v>
      </c>
      <c r="D4" s="9"/>
      <c r="E4" s="9"/>
    </row>
    <row r="5" spans="1:8" x14ac:dyDescent="0.25">
      <c r="A5" s="9" t="s">
        <v>243</v>
      </c>
      <c r="B5" s="9" t="s">
        <v>244</v>
      </c>
      <c r="C5" s="9" t="s">
        <v>281</v>
      </c>
      <c r="D5" s="9"/>
      <c r="E5" s="9"/>
    </row>
    <row r="6" spans="1:8" x14ac:dyDescent="0.25">
      <c r="A6" s="9" t="s">
        <v>128</v>
      </c>
      <c r="B6" s="9" t="s">
        <v>129</v>
      </c>
      <c r="C6" s="9" t="s">
        <v>281</v>
      </c>
      <c r="D6" s="9"/>
      <c r="E6" s="9"/>
    </row>
    <row r="7" spans="1:8" x14ac:dyDescent="0.25">
      <c r="A7" s="9" t="s">
        <v>130</v>
      </c>
      <c r="B7" s="9" t="s">
        <v>131</v>
      </c>
      <c r="C7" s="9" t="s">
        <v>281</v>
      </c>
      <c r="D7" s="9"/>
      <c r="E7" s="9"/>
    </row>
    <row r="8" spans="1:8" x14ac:dyDescent="0.25">
      <c r="A8" s="9" t="s">
        <v>140</v>
      </c>
      <c r="B8" s="9" t="s">
        <v>141</v>
      </c>
      <c r="C8" s="9" t="s">
        <v>282</v>
      </c>
      <c r="D8" s="9" t="s">
        <v>277</v>
      </c>
      <c r="E8" s="9"/>
    </row>
    <row r="9" spans="1:8" x14ac:dyDescent="0.25">
      <c r="A9" s="9" t="s">
        <v>245</v>
      </c>
      <c r="B9" s="9" t="s">
        <v>13</v>
      </c>
      <c r="C9" s="9" t="s">
        <v>281</v>
      </c>
      <c r="D9" s="9"/>
      <c r="E9" s="9"/>
    </row>
    <row r="10" spans="1:8" x14ac:dyDescent="0.25">
      <c r="A10" s="9" t="s">
        <v>246</v>
      </c>
      <c r="B10" s="9" t="s">
        <v>133</v>
      </c>
      <c r="C10" s="9" t="s">
        <v>281</v>
      </c>
      <c r="D10" s="9"/>
      <c r="E10" s="9"/>
    </row>
    <row r="11" spans="1:8" x14ac:dyDescent="0.25">
      <c r="A11" s="9" t="s">
        <v>134</v>
      </c>
      <c r="B11" s="9" t="s">
        <v>135</v>
      </c>
      <c r="C11" s="9" t="s">
        <v>282</v>
      </c>
      <c r="D11" s="9" t="s">
        <v>297</v>
      </c>
      <c r="E11" s="10">
        <v>30575</v>
      </c>
    </row>
    <row r="12" spans="1:8" x14ac:dyDescent="0.25">
      <c r="A12" s="9" t="s">
        <v>247</v>
      </c>
      <c r="B12" s="9" t="s">
        <v>248</v>
      </c>
      <c r="C12" s="9" t="s">
        <v>281</v>
      </c>
      <c r="D12" s="9"/>
      <c r="E12" s="9"/>
    </row>
    <row r="13" spans="1:8" x14ac:dyDescent="0.25">
      <c r="A13" s="9" t="s">
        <v>138</v>
      </c>
      <c r="B13" s="9" t="s">
        <v>139</v>
      </c>
      <c r="C13" s="9" t="s">
        <v>281</v>
      </c>
      <c r="D13" s="9"/>
      <c r="E13" s="9"/>
    </row>
    <row r="14" spans="1:8" x14ac:dyDescent="0.25">
      <c r="A14" s="9" t="s">
        <v>140</v>
      </c>
      <c r="B14" s="9" t="s">
        <v>141</v>
      </c>
      <c r="C14" s="9" t="s">
        <v>282</v>
      </c>
      <c r="D14" s="9" t="s">
        <v>277</v>
      </c>
      <c r="E14" s="9"/>
    </row>
    <row r="15" spans="1:8" x14ac:dyDescent="0.25">
      <c r="A15" s="9" t="s">
        <v>142</v>
      </c>
      <c r="B15" s="9" t="s">
        <v>142</v>
      </c>
      <c r="C15" s="9" t="s">
        <v>281</v>
      </c>
      <c r="D15" s="9"/>
      <c r="E15" s="9"/>
    </row>
    <row r="16" spans="1:8" x14ac:dyDescent="0.25">
      <c r="A16" s="9" t="s">
        <v>143</v>
      </c>
      <c r="B16" s="9" t="s">
        <v>13</v>
      </c>
      <c r="C16" s="9" t="s">
        <v>281</v>
      </c>
      <c r="D16" s="9"/>
      <c r="E16" s="9"/>
    </row>
    <row r="17" spans="1:5" x14ac:dyDescent="0.25">
      <c r="A17" s="9" t="s">
        <v>144</v>
      </c>
      <c r="B17" s="9" t="s">
        <v>145</v>
      </c>
      <c r="C17" s="9" t="s">
        <v>281</v>
      </c>
      <c r="D17" s="9"/>
      <c r="E17" s="9"/>
    </row>
    <row r="18" spans="1:5" x14ac:dyDescent="0.25">
      <c r="A18" s="9" t="s">
        <v>146</v>
      </c>
      <c r="B18" s="9" t="s">
        <v>76</v>
      </c>
      <c r="C18" s="9" t="s">
        <v>281</v>
      </c>
      <c r="D18" s="9"/>
      <c r="E18" s="9"/>
    </row>
    <row r="19" spans="1:5" x14ac:dyDescent="0.25">
      <c r="A19" s="9" t="s">
        <v>249</v>
      </c>
      <c r="B19" s="9" t="s">
        <v>148</v>
      </c>
      <c r="C19" s="9" t="s">
        <v>281</v>
      </c>
      <c r="D19" s="9"/>
      <c r="E19" s="9"/>
    </row>
    <row r="20" spans="1:5" x14ac:dyDescent="0.25">
      <c r="A20" s="9" t="s">
        <v>149</v>
      </c>
      <c r="B20" s="9" t="s">
        <v>150</v>
      </c>
      <c r="C20" s="9" t="s">
        <v>281</v>
      </c>
      <c r="D20" s="9"/>
      <c r="E20" s="9"/>
    </row>
    <row r="21" spans="1:5" x14ac:dyDescent="0.25">
      <c r="A21" s="9" t="s">
        <v>151</v>
      </c>
      <c r="B21" s="9" t="s">
        <v>152</v>
      </c>
      <c r="C21" s="9" t="s">
        <v>281</v>
      </c>
      <c r="D21" s="9"/>
      <c r="E21" s="9"/>
    </row>
    <row r="22" spans="1:5" x14ac:dyDescent="0.25">
      <c r="A22" s="9" t="s">
        <v>153</v>
      </c>
      <c r="B22" s="9" t="s">
        <v>141</v>
      </c>
      <c r="C22" s="9" t="s">
        <v>282</v>
      </c>
      <c r="D22" s="9" t="s">
        <v>277</v>
      </c>
      <c r="E22" s="9"/>
    </row>
    <row r="23" spans="1:5" x14ac:dyDescent="0.25">
      <c r="A23" s="9" t="s">
        <v>154</v>
      </c>
      <c r="B23" s="9" t="s">
        <v>141</v>
      </c>
      <c r="C23" s="9" t="s">
        <v>281</v>
      </c>
      <c r="D23" s="9"/>
      <c r="E23" s="9"/>
    </row>
    <row r="24" spans="1:5" x14ac:dyDescent="0.25">
      <c r="A24" s="9" t="s">
        <v>155</v>
      </c>
      <c r="B24" s="9" t="s">
        <v>156</v>
      </c>
      <c r="C24" s="9" t="s">
        <v>281</v>
      </c>
      <c r="D24" s="9"/>
      <c r="E24" s="9"/>
    </row>
    <row r="25" spans="1:5" x14ac:dyDescent="0.25">
      <c r="A25" s="9" t="s">
        <v>157</v>
      </c>
      <c r="B25" s="9" t="s">
        <v>158</v>
      </c>
      <c r="C25" s="9" t="s">
        <v>281</v>
      </c>
      <c r="D25" s="9"/>
      <c r="E25" s="9"/>
    </row>
    <row r="26" spans="1:5" x14ac:dyDescent="0.25">
      <c r="A26" s="9" t="s">
        <v>250</v>
      </c>
      <c r="B26" s="9" t="s">
        <v>160</v>
      </c>
      <c r="C26" s="9" t="s">
        <v>282</v>
      </c>
      <c r="D26" s="9" t="s">
        <v>284</v>
      </c>
      <c r="E26" s="9"/>
    </row>
    <row r="27" spans="1:5" x14ac:dyDescent="0.25">
      <c r="A27" s="9" t="s">
        <v>251</v>
      </c>
      <c r="B27" s="9" t="s">
        <v>162</v>
      </c>
      <c r="C27" s="9" t="s">
        <v>281</v>
      </c>
      <c r="D27" s="9"/>
      <c r="E27" s="9"/>
    </row>
    <row r="28" spans="1:5" x14ac:dyDescent="0.25">
      <c r="A28" s="9" t="s">
        <v>252</v>
      </c>
      <c r="B28" s="9" t="s">
        <v>168</v>
      </c>
      <c r="C28" s="9" t="s">
        <v>282</v>
      </c>
      <c r="D28" s="9" t="s">
        <v>298</v>
      </c>
      <c r="E28" s="10">
        <v>30489</v>
      </c>
    </row>
    <row r="29" spans="1:5" x14ac:dyDescent="0.25">
      <c r="A29" s="9" t="s">
        <v>169</v>
      </c>
      <c r="B29" s="9" t="s">
        <v>170</v>
      </c>
      <c r="C29" s="9" t="s">
        <v>282</v>
      </c>
      <c r="D29" s="9" t="s">
        <v>299</v>
      </c>
      <c r="E29" s="10">
        <v>17545</v>
      </c>
    </row>
    <row r="30" spans="1:5" x14ac:dyDescent="0.25">
      <c r="A30" s="9" t="s">
        <v>253</v>
      </c>
      <c r="B30" s="9" t="s">
        <v>139</v>
      </c>
      <c r="C30" s="9" t="s">
        <v>282</v>
      </c>
      <c r="D30" s="9" t="s">
        <v>299</v>
      </c>
      <c r="E30" s="10">
        <v>17545</v>
      </c>
    </row>
    <row r="31" spans="1:5" x14ac:dyDescent="0.25">
      <c r="A31" s="9" t="s">
        <v>136</v>
      </c>
      <c r="B31" s="9" t="s">
        <v>137</v>
      </c>
      <c r="C31" s="9" t="s">
        <v>282</v>
      </c>
      <c r="D31" s="9" t="s">
        <v>247</v>
      </c>
      <c r="E31" s="10">
        <v>30485</v>
      </c>
    </row>
    <row r="32" spans="1:5" x14ac:dyDescent="0.25">
      <c r="A32" s="9" t="s">
        <v>173</v>
      </c>
      <c r="B32" s="9" t="s">
        <v>160</v>
      </c>
      <c r="C32" s="9" t="s">
        <v>281</v>
      </c>
      <c r="D32" s="9"/>
      <c r="E32" s="9"/>
    </row>
    <row r="33" spans="1:5" x14ac:dyDescent="0.25">
      <c r="A33" s="9" t="s">
        <v>254</v>
      </c>
      <c r="B33" s="9" t="s">
        <v>13</v>
      </c>
      <c r="C33" s="12" t="s">
        <v>281</v>
      </c>
      <c r="D33" s="9"/>
      <c r="E33" s="9"/>
    </row>
    <row r="34" spans="1:5" x14ac:dyDescent="0.25">
      <c r="A34" s="9" t="s">
        <v>255</v>
      </c>
      <c r="B34" s="9" t="s">
        <v>164</v>
      </c>
      <c r="C34" s="9" t="s">
        <v>282</v>
      </c>
      <c r="D34" s="9" t="s">
        <v>302</v>
      </c>
      <c r="E34" s="10">
        <v>30620</v>
      </c>
    </row>
    <row r="35" spans="1:5" x14ac:dyDescent="0.25">
      <c r="A35" s="9" t="s">
        <v>256</v>
      </c>
      <c r="B35" s="9" t="s">
        <v>257</v>
      </c>
      <c r="C35" s="9" t="s">
        <v>281</v>
      </c>
      <c r="D35" s="9"/>
      <c r="E35" s="9"/>
    </row>
    <row r="36" spans="1:5" x14ac:dyDescent="0.25">
      <c r="A36" s="9" t="s">
        <v>258</v>
      </c>
      <c r="B36" s="9" t="s">
        <v>259</v>
      </c>
      <c r="C36" s="9" t="s">
        <v>281</v>
      </c>
      <c r="D36" s="9"/>
      <c r="E36" s="9"/>
    </row>
    <row r="37" spans="1:5" x14ac:dyDescent="0.25">
      <c r="A37" s="9" t="s">
        <v>260</v>
      </c>
      <c r="B37" s="9" t="s">
        <v>261</v>
      </c>
      <c r="C37" s="9" t="s">
        <v>281</v>
      </c>
      <c r="D37" s="9"/>
      <c r="E37" s="9"/>
    </row>
    <row r="38" spans="1:5" x14ac:dyDescent="0.25">
      <c r="A38" s="9" t="s">
        <v>181</v>
      </c>
      <c r="B38" s="9" t="s">
        <v>131</v>
      </c>
      <c r="C38" s="9" t="s">
        <v>282</v>
      </c>
      <c r="D38" s="9" t="s">
        <v>304</v>
      </c>
      <c r="E38" s="10">
        <v>30484</v>
      </c>
    </row>
    <row r="39" spans="1:5" x14ac:dyDescent="0.25">
      <c r="A39" s="9" t="s">
        <v>262</v>
      </c>
      <c r="B39" s="9" t="s">
        <v>257</v>
      </c>
      <c r="C39" s="9" t="s">
        <v>281</v>
      </c>
      <c r="D39" s="9"/>
      <c r="E39" s="9"/>
    </row>
    <row r="40" spans="1:5" x14ac:dyDescent="0.25">
      <c r="A40" s="9" t="s">
        <v>182</v>
      </c>
      <c r="B40" s="9" t="s">
        <v>183</v>
      </c>
      <c r="C40" s="9" t="s">
        <v>281</v>
      </c>
      <c r="D40" s="9"/>
      <c r="E40" s="9"/>
    </row>
    <row r="41" spans="1:5" x14ac:dyDescent="0.25">
      <c r="A41" s="9" t="s">
        <v>184</v>
      </c>
      <c r="B41" s="9" t="s">
        <v>185</v>
      </c>
      <c r="C41" s="9" t="s">
        <v>281</v>
      </c>
      <c r="D41" s="9"/>
      <c r="E41" s="9"/>
    </row>
    <row r="42" spans="1:5" x14ac:dyDescent="0.25">
      <c r="A42" s="9" t="s">
        <v>263</v>
      </c>
      <c r="B42" s="9" t="s">
        <v>264</v>
      </c>
      <c r="C42" s="9" t="s">
        <v>281</v>
      </c>
      <c r="D42" s="9"/>
      <c r="E42" s="9"/>
    </row>
    <row r="43" spans="1:5" x14ac:dyDescent="0.25">
      <c r="A43" s="9" t="s">
        <v>186</v>
      </c>
      <c r="B43" s="9" t="s">
        <v>187</v>
      </c>
      <c r="C43" s="9" t="s">
        <v>281</v>
      </c>
      <c r="D43" s="9"/>
      <c r="E43" s="9"/>
    </row>
    <row r="44" spans="1:5" x14ac:dyDescent="0.25">
      <c r="A44" s="9" t="s">
        <v>265</v>
      </c>
      <c r="B44" s="9" t="s">
        <v>189</v>
      </c>
      <c r="C44" s="9" t="s">
        <v>281</v>
      </c>
      <c r="D44" s="9"/>
      <c r="E44" s="9"/>
    </row>
    <row r="45" spans="1:5" x14ac:dyDescent="0.25">
      <c r="A45" s="9" t="s">
        <v>190</v>
      </c>
      <c r="B45" s="9" t="s">
        <v>13</v>
      </c>
      <c r="C45" s="9"/>
      <c r="D45" s="9" t="s">
        <v>300</v>
      </c>
      <c r="E4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5" x14ac:dyDescent="0.25"/>
  <cols>
    <col min="1" max="1" width="33.7109375" bestFit="1" customWidth="1"/>
    <col min="2" max="2" width="39.7109375" bestFit="1" customWidth="1"/>
    <col min="3" max="3" width="6.28515625" bestFit="1" customWidth="1"/>
    <col min="4" max="4" width="20" bestFit="1" customWidth="1"/>
    <col min="5" max="5" width="7.140625" bestFit="1" customWidth="1"/>
    <col min="7" max="7" width="22.710937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0</v>
      </c>
    </row>
    <row r="2" spans="1:8" x14ac:dyDescent="0.25">
      <c r="A2" s="9" t="s">
        <v>266</v>
      </c>
      <c r="B2" s="9" t="s">
        <v>162</v>
      </c>
      <c r="C2" s="9"/>
      <c r="D2" s="9"/>
      <c r="E2" s="9"/>
      <c r="G2" s="5" t="s">
        <v>282</v>
      </c>
      <c r="H2" s="6">
        <f>COUNTIF(C:C,G2)</f>
        <v>0</v>
      </c>
    </row>
    <row r="3" spans="1:8" ht="15.75" thickBot="1" x14ac:dyDescent="0.3">
      <c r="A3" s="9" t="s">
        <v>267</v>
      </c>
      <c r="B3" s="9" t="s">
        <v>170</v>
      </c>
      <c r="C3" s="9"/>
      <c r="D3" s="9"/>
      <c r="E3" s="9"/>
      <c r="G3" s="7" t="s">
        <v>283</v>
      </c>
      <c r="H3" s="8" t="e">
        <f>H1/SUM(H1:H2)</f>
        <v>#DIV/0!</v>
      </c>
    </row>
    <row r="4" spans="1:8" x14ac:dyDescent="0.25">
      <c r="A4" s="9" t="s">
        <v>268</v>
      </c>
      <c r="B4" s="9" t="s">
        <v>141</v>
      </c>
      <c r="C4" s="9"/>
      <c r="D4" s="9"/>
      <c r="E4" s="9"/>
    </row>
    <row r="5" spans="1:8" x14ac:dyDescent="0.25">
      <c r="A5" s="9" t="s">
        <v>269</v>
      </c>
      <c r="B5" s="9" t="s">
        <v>141</v>
      </c>
      <c r="C5" s="9"/>
      <c r="D5" s="9"/>
      <c r="E5" s="9"/>
      <c r="G5" s="11" t="s">
        <v>301</v>
      </c>
    </row>
    <row r="6" spans="1:8" x14ac:dyDescent="0.25">
      <c r="A6" s="9" t="s">
        <v>270</v>
      </c>
      <c r="B6" s="9" t="s">
        <v>158</v>
      </c>
      <c r="C6" s="9"/>
      <c r="D6" s="9"/>
      <c r="E6" s="9"/>
    </row>
    <row r="7" spans="1:8" x14ac:dyDescent="0.25">
      <c r="A7" s="9" t="s">
        <v>271</v>
      </c>
      <c r="B7" s="9" t="s">
        <v>13</v>
      </c>
      <c r="C7" s="9"/>
      <c r="D7" s="9"/>
      <c r="E7" s="9"/>
    </row>
    <row r="8" spans="1:8" x14ac:dyDescent="0.25">
      <c r="A8" s="9" t="s">
        <v>272</v>
      </c>
      <c r="B8" s="9" t="s">
        <v>123</v>
      </c>
      <c r="C8" s="9"/>
      <c r="D8" s="9"/>
      <c r="E8" s="9"/>
    </row>
    <row r="9" spans="1:8" x14ac:dyDescent="0.25">
      <c r="A9" s="9" t="s">
        <v>273</v>
      </c>
      <c r="B9" s="9" t="s">
        <v>141</v>
      </c>
      <c r="C9" s="9"/>
      <c r="D9" s="9"/>
      <c r="E9" s="9"/>
    </row>
    <row r="10" spans="1:8" x14ac:dyDescent="0.25">
      <c r="A10" s="9" t="s">
        <v>274</v>
      </c>
      <c r="B10" s="9" t="s">
        <v>170</v>
      </c>
      <c r="C10" s="9"/>
      <c r="D10" s="9"/>
      <c r="E10" s="9"/>
    </row>
    <row r="11" spans="1:8" x14ac:dyDescent="0.25">
      <c r="A11" s="9" t="s">
        <v>275</v>
      </c>
      <c r="B11" s="9" t="s">
        <v>13</v>
      </c>
      <c r="C11" s="9"/>
      <c r="D11" s="9"/>
      <c r="E11" s="9"/>
    </row>
    <row r="12" spans="1:8" x14ac:dyDescent="0.25">
      <c r="A12" s="9" t="s">
        <v>273</v>
      </c>
      <c r="B12" s="9" t="s">
        <v>141</v>
      </c>
      <c r="C12" s="9"/>
      <c r="D12" s="9"/>
      <c r="E12" s="9"/>
    </row>
    <row r="13" spans="1:8" x14ac:dyDescent="0.25">
      <c r="A13" s="9" t="s">
        <v>274</v>
      </c>
      <c r="B13" s="9" t="s">
        <v>170</v>
      </c>
      <c r="C13" s="9"/>
      <c r="D13" s="9"/>
      <c r="E13" s="9"/>
    </row>
    <row r="14" spans="1:8" x14ac:dyDescent="0.25">
      <c r="A14" s="9" t="s">
        <v>275</v>
      </c>
      <c r="B14" s="9" t="s">
        <v>13</v>
      </c>
      <c r="C14" s="9"/>
      <c r="D14" s="9"/>
      <c r="E14" s="9"/>
    </row>
    <row r="15" spans="1:8" x14ac:dyDescent="0.25">
      <c r="A15" s="9" t="s">
        <v>276</v>
      </c>
      <c r="B15" s="9" t="s">
        <v>277</v>
      </c>
      <c r="C15" s="9"/>
      <c r="D15" s="9"/>
      <c r="E15" s="9"/>
    </row>
    <row r="16" spans="1:8" x14ac:dyDescent="0.25">
      <c r="A16" s="9" t="s">
        <v>273</v>
      </c>
      <c r="B16" s="9" t="s">
        <v>141</v>
      </c>
      <c r="C16" s="9"/>
      <c r="D16" s="9"/>
      <c r="E16" s="9"/>
    </row>
    <row r="17" spans="1:5" x14ac:dyDescent="0.25">
      <c r="A17" s="9" t="s">
        <v>274</v>
      </c>
      <c r="B17" s="9" t="s">
        <v>170</v>
      </c>
      <c r="C17" s="9"/>
      <c r="D17" s="9"/>
      <c r="E17" s="9"/>
    </row>
    <row r="18" spans="1:5" x14ac:dyDescent="0.25">
      <c r="A18" s="9" t="s">
        <v>276</v>
      </c>
      <c r="B18" s="9" t="s">
        <v>277</v>
      </c>
      <c r="C18" s="9"/>
      <c r="D18" s="9"/>
      <c r="E1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2026-03-24T14:08:04Z</dcterms:created>
  <dcterms:modified xsi:type="dcterms:W3CDTF">2026-04-01T06:38:46Z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2026-03-27T06:03:16Z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b9795f85-bb3d-45ca-a244-69dec33af174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